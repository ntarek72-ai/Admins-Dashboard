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Line'!$A$1:$AS$1001</definedName>
    <definedName name="_xlnm._FilterDatabase" localSheetId="3" hidden="1">'Per Invoice'!$A$1:$Y$301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EL MASHREQ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A-C, E-Q, S-Z, AD-AE, AG-AN (same order as the system export).</t>
        </is>
      </c>
    </row>
    <row r="6">
      <c r="A6" s="3" t="inlineStr">
        <is>
          <t>3. Green columns (D, R, AA, AB, AC, AF) and the grey helper columns (AO-AS)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October 2026 sheet)</t>
        </is>
      </c>
    </row>
    <row r="15">
      <c r="A15" s="3" t="inlineStr">
        <is>
          <t>Co val = Order Co Payment x 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(14%) if Local is TRUE, otherwise Imported rate (6%). Lines with 'Special Rebates?' = Yes get 0%.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1,000 lines and 300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EL MASHREQ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الوطنية للأسمنت - CLINIC; Resta; المصرية العالمية للتجارة; العربية الدولية للفنادق و السياحة - BULK; Radioshack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0.14</v>
      </c>
      <c r="D6" t="inlineStr">
        <is>
          <t>Source: Oct sheet (Rebates = 14 on Local lines).</t>
        </is>
      </c>
    </row>
    <row r="7">
      <c r="B7" t="inlineStr">
        <is>
          <t>Imported (IMP) products rebate %</t>
        </is>
      </c>
      <c r="C7" s="5" t="n">
        <v>0.06</v>
      </c>
      <c r="D7" t="inlineStr">
        <is>
          <t>Source: Oct sheet (Rebates = 6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Line'!$E$2:$E$1001)</f>
        <v/>
      </c>
    </row>
    <row r="11">
      <c r="B11" t="inlineStr">
        <is>
          <t>Invoices (unique Order #)</t>
        </is>
      </c>
      <c r="C11">
        <f>MAX('Per Line'!$AP$2:$AP$1001)</f>
        <v/>
      </c>
    </row>
    <row r="12">
      <c r="B12" t="inlineStr">
        <is>
          <t>Invoices shown in Per Invoice</t>
        </is>
      </c>
      <c r="C12">
        <f>SUMPRODUCT(--('Per Invoice'!$B$2:$B$301&lt;&gt;""))</f>
        <v/>
      </c>
    </row>
    <row r="13">
      <c r="B13" t="inlineStr">
        <is>
          <t>Grand Total - Per Line (Product Total)</t>
        </is>
      </c>
      <c r="C13" s="7">
        <f>SUM('Per Line'!$Z$2:$Z$1001)</f>
        <v/>
      </c>
    </row>
    <row r="14">
      <c r="B14" t="inlineStr">
        <is>
          <t>Grand Total - Per Invoice</t>
        </is>
      </c>
      <c r="C14" s="7">
        <f>SUM('Per Invoice'!$W$2:$W$301)</f>
        <v/>
      </c>
    </row>
    <row r="15">
      <c r="B15" t="inlineStr">
        <is>
          <t>Discount - Per Line</t>
        </is>
      </c>
      <c r="C15" s="7">
        <f>SUM('Per Line'!$AA$2:$AA$1001)</f>
        <v/>
      </c>
    </row>
    <row r="16">
      <c r="B16" t="inlineStr">
        <is>
          <t>Discount - Per Invoice</t>
        </is>
      </c>
      <c r="C16" s="7">
        <f>SUM('Per Invoice'!$U$2:$U$301)</f>
        <v/>
      </c>
    </row>
    <row r="17">
      <c r="B17" t="inlineStr">
        <is>
          <t>Co val - Per Line</t>
        </is>
      </c>
      <c r="C17" s="7">
        <f>SUM('Per Line'!$R$2:$R$1001)</f>
        <v/>
      </c>
    </row>
    <row r="18">
      <c r="B18" t="inlineStr">
        <is>
          <t>Co val - Per Invoice</t>
        </is>
      </c>
      <c r="C18" s="7">
        <f>SUM('Per Invoice'!$L$2:$L$301)</f>
        <v/>
      </c>
    </row>
    <row r="19">
      <c r="B19" t="inlineStr">
        <is>
          <t>Net - Per Line</t>
        </is>
      </c>
      <c r="C19" s="7">
        <f>SUM('Per Line'!$AC$2:$AC$1001)</f>
        <v/>
      </c>
    </row>
    <row r="20">
      <c r="B20" t="inlineStr">
        <is>
          <t>Net - Per Invoice</t>
        </is>
      </c>
      <c r="C20" s="7">
        <f>SUM('Per Invoice'!$X$2:$X$301)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Line'!$E:$E)-1&gt;1000,"TOO MANY LINES - extend template",IF(C11&gt;300,"TOO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2" customWidth="1" min="6" max="6"/>
    <col width="14" customWidth="1" min="7" max="7"/>
    <col width="17" customWidth="1" min="8" max="8"/>
    <col width="18" customWidth="1" min="9" max="9"/>
    <col width="12" customWidth="1" min="10" max="10"/>
    <col width="24" customWidth="1" min="11" max="11"/>
    <col width="12" customWidth="1" min="12" max="12"/>
    <col width="26" customWidth="1" min="13" max="13"/>
    <col width="14" customWidth="1" min="14" max="14"/>
    <col width="12" customWidth="1" min="15" max="15"/>
    <col width="12" customWidth="1" min="16" max="16"/>
    <col width="12" customWidth="1" min="17" max="17"/>
    <col width="11" customWidth="1" min="18" max="18"/>
    <col width="12" customWidth="1" min="19" max="19"/>
    <col width="12" customWidth="1" min="20" max="20"/>
    <col width="44" customWidth="1" min="21" max="21"/>
    <col width="12" customWidth="1" min="22" max="22"/>
    <col width="20" customWidth="1" min="23" max="23"/>
    <col width="12" customWidth="1" min="24" max="24"/>
    <col width="12" customWidth="1" min="25" max="25"/>
    <col width="12" customWidth="1" min="26" max="26"/>
    <col width="11" customWidth="1" min="27" max="27"/>
    <col width="11" customWidth="1" min="28" max="28"/>
    <col width="11" customWidth="1" min="29" max="29"/>
    <col width="36" customWidth="1" min="30" max="30"/>
    <col width="12" customWidth="1" min="31" max="31"/>
    <col width="11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7" customWidth="1" min="39" max="39"/>
    <col width="12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</cols>
  <sheetData>
    <row r="1" ht="32" customHeight="1">
      <c r="A1" s="8" t="inlineStr">
        <is>
          <t>Cycle</t>
        </is>
      </c>
      <c r="B1" s="8" t="inlineStr">
        <is>
          <t>Ticket #</t>
        </is>
      </c>
      <c r="C1" s="8" t="inlineStr">
        <is>
          <t>Stage</t>
        </is>
      </c>
      <c r="D1" s="9" t="inlineStr">
        <is>
          <t>inv</t>
        </is>
      </c>
      <c r="E1" s="8" t="inlineStr">
        <is>
          <t>Order #</t>
        </is>
      </c>
      <c r="F1" s="8" t="inlineStr">
        <is>
          <t>Approval Ref</t>
        </is>
      </c>
      <c r="G1" s="8" t="inlineStr">
        <is>
          <t>Channel</t>
        </is>
      </c>
      <c r="H1" s="8" t="inlineStr">
        <is>
          <t>Create At</t>
        </is>
      </c>
      <c r="I1" s="8" t="inlineStr">
        <is>
          <t>Insurance Company</t>
        </is>
      </c>
      <c r="J1" s="8" t="inlineStr">
        <is>
          <t>Country Portal ID</t>
        </is>
      </c>
      <c r="K1" s="8" t="inlineStr">
        <is>
          <t>Corporate</t>
        </is>
      </c>
      <c r="L1" s="8" t="inlineStr">
        <is>
          <t>Card</t>
        </is>
      </c>
      <c r="M1" s="8" t="inlineStr">
        <is>
          <t>Name</t>
        </is>
      </c>
      <c r="N1" s="8" t="inlineStr">
        <is>
          <t>Status</t>
        </is>
      </c>
      <c r="O1" s="8" t="inlineStr">
        <is>
          <t>Local Rebates</t>
        </is>
      </c>
      <c r="P1" s="8" t="inlineStr">
        <is>
          <t>Imported Rebates</t>
        </is>
      </c>
      <c r="Q1" s="8" t="inlineStr">
        <is>
          <t>Order Co Payment</t>
        </is>
      </c>
      <c r="R1" s="9" t="inlineStr">
        <is>
          <t>Co val</t>
        </is>
      </c>
      <c r="S1" s="8" t="inlineStr">
        <is>
          <t>By Patient</t>
        </is>
      </c>
      <c r="T1" s="8" t="inlineStr">
        <is>
          <t>heisenberg id</t>
        </is>
      </c>
      <c r="U1" s="8" t="inlineStr">
        <is>
          <t>Product Name</t>
        </is>
      </c>
      <c r="V1" s="8" t="inlineStr">
        <is>
          <t>Local</t>
        </is>
      </c>
      <c r="W1" s="8" t="inlineStr">
        <is>
          <t>Unit</t>
        </is>
      </c>
      <c r="X1" s="8" t="inlineStr">
        <is>
          <t>Quantity</t>
        </is>
      </c>
      <c r="Y1" s="8" t="inlineStr">
        <is>
          <t>Unit Price</t>
        </is>
      </c>
      <c r="Z1" s="8" t="inlineStr">
        <is>
          <t>Product Total</t>
        </is>
      </c>
      <c r="AA1" s="9" t="inlineStr">
        <is>
          <t>Discount</t>
        </is>
      </c>
      <c r="AB1" s="9" t="inlineStr">
        <is>
          <t>Subtotal</t>
        </is>
      </c>
      <c r="AC1" s="9" t="inlineStr">
        <is>
          <t>Net</t>
        </is>
      </c>
      <c r="AD1" s="8" t="inlineStr">
        <is>
          <t>ERX ID</t>
        </is>
      </c>
      <c r="AE1" s="8" t="inlineStr">
        <is>
          <t>Special Rebates?</t>
        </is>
      </c>
      <c r="AF1" s="9" t="inlineStr">
        <is>
          <t>Rebates</t>
        </is>
      </c>
      <c r="AG1" s="8" t="inlineStr">
        <is>
          <t>Approval Type</t>
        </is>
      </c>
      <c r="AH1" s="8" t="inlineStr">
        <is>
          <t>Max Limit</t>
        </is>
      </c>
      <c r="AI1" s="8" t="inlineStr">
        <is>
          <t>Exceeding Limit</t>
        </is>
      </c>
      <c r="AJ1" s="8" t="inlineStr">
        <is>
          <t>Amount collected from customer</t>
        </is>
      </c>
      <c r="AK1" s="8" t="inlineStr">
        <is>
          <t>By Patient (Delivered)</t>
        </is>
      </c>
      <c r="AL1" s="8" t="inlineStr">
        <is>
          <t>Dispense Number</t>
        </is>
      </c>
      <c r="AM1" s="8" t="inlineStr">
        <is>
          <t>Dispense Date</t>
        </is>
      </c>
      <c r="AN1" s="8" t="inlineStr">
        <is>
          <t>Has OTP?</t>
        </is>
      </c>
      <c r="AO1" s="10" t="inlineStr">
        <is>
          <t>Order 1st Row (helper)</t>
        </is>
      </c>
      <c r="AP1" s="10" t="inlineStr">
        <is>
          <t>Invoice # (helper)</t>
        </is>
      </c>
      <c r="AQ1" s="10" t="inlineStr">
        <is>
          <t>Is Local (helper)</t>
        </is>
      </c>
      <c r="AR1" s="10" t="inlineStr">
        <is>
          <t>Is Special (helper)</t>
        </is>
      </c>
      <c r="AS1" s="10" t="inlineStr">
        <is>
          <t>Sort Key (helper)</t>
        </is>
      </c>
    </row>
    <row r="2">
      <c r="D2">
        <f>IF($E2="","",IFERROR(IF(INDEX('Per Invoice'!$A$2:$A$301,MATCH($E2,'Per Invoice'!$B$2:$B$301,0))=0,"",INDEX('Per Invoice'!$A$2:$A$301,MATCH($E2,'Per Invoice'!$B$2:$B$301,0))),""))</f>
        <v/>
      </c>
      <c r="H2" s="11" t="n"/>
      <c r="R2" s="7">
        <f>IF($E2="","",Q2*Z2/100)</f>
        <v/>
      </c>
      <c r="S2" s="7" t="n"/>
      <c r="Y2" s="7" t="n"/>
      <c r="Z2" s="7" t="n"/>
      <c r="AA2" s="7">
        <f>IF($E2="","",Z2*AF2/100)</f>
        <v/>
      </c>
      <c r="AB2" s="7">
        <f>IF($E2="","",Z2-AA2)</f>
        <v/>
      </c>
      <c r="AC2" s="7">
        <f>IF($E2="","",AB2-R2)</f>
        <v/>
      </c>
      <c r="AF2">
        <f>IF($E2="","",IF($AR2=1,0,IF($AQ2=1,Settings!$C$6,Settings!$C$7))*100)</f>
        <v/>
      </c>
      <c r="AJ2" s="7" t="n"/>
      <c r="AM2" s="11" t="n"/>
      <c r="AO2">
        <f>IF($E2="","",IF(COUNTIF($E$2:$E2,$E2)=1,1,0))</f>
        <v/>
      </c>
      <c r="AP2">
        <f>IF($AO2=1,SUMPRODUCT(--($AS$2:$AS$1001&lt;$AS2))+1,"")</f>
        <v/>
      </c>
      <c r="AQ2">
        <f>IF($E2="","",IF(OR($V2=TRUE(),$V2="TRUE"),1,0))</f>
        <v/>
      </c>
      <c r="AR2">
        <f>IF($E2="","",IF($AE2="Yes",1,0))</f>
        <v/>
      </c>
      <c r="AS2">
        <f>IF($AO2=1,IFERROR(IF(VALUE($E2)&lt;100000000,VALUE($E2),1000000000),IFERROR(IF(VALUE(MID($E2,2,20))&lt;100000000,VALUE(MID($E2,2,20)),1000000000),1000000000))+ROW()/100000,"")</f>
        <v/>
      </c>
    </row>
    <row r="3">
      <c r="D3">
        <f>IF($E3="","",IFERROR(IF(INDEX('Per Invoice'!$A$2:$A$301,MATCH($E3,'Per Invoice'!$B$2:$B$301,0))=0,"",INDEX('Per Invoice'!$A$2:$A$301,MATCH($E3,'Per Invoice'!$B$2:$B$301,0))),""))</f>
        <v/>
      </c>
      <c r="H3" s="11" t="n"/>
      <c r="R3" s="7">
        <f>IF($E3="","",Q3*Z3/100)</f>
        <v/>
      </c>
      <c r="S3" s="7" t="n"/>
      <c r="Y3" s="7" t="n"/>
      <c r="Z3" s="7" t="n"/>
      <c r="AA3" s="7">
        <f>IF($E3="","",Z3*AF3/100)</f>
        <v/>
      </c>
      <c r="AB3" s="7">
        <f>IF($E3="","",Z3-AA3)</f>
        <v/>
      </c>
      <c r="AC3" s="7">
        <f>IF($E3="","",AB3-R3)</f>
        <v/>
      </c>
      <c r="AF3">
        <f>IF($E3="","",IF($AR3=1,0,IF($AQ3=1,Settings!$C$6,Settings!$C$7))*100)</f>
        <v/>
      </c>
      <c r="AJ3" s="7" t="n"/>
      <c r="AM3" s="11" t="n"/>
      <c r="AO3">
        <f>IF($E3="","",IF(COUNTIF($E$2:$E3,$E3)=1,1,0))</f>
        <v/>
      </c>
      <c r="AP3">
        <f>IF($AO3=1,SUMPRODUCT(--($AS$2:$AS$1001&lt;$AS3))+1,"")</f>
        <v/>
      </c>
      <c r="AQ3">
        <f>IF($E3="","",IF(OR($V3=TRUE(),$V3="TRUE"),1,0))</f>
        <v/>
      </c>
      <c r="AR3">
        <f>IF($E3="","",IF($AE3="Yes",1,0))</f>
        <v/>
      </c>
      <c r="AS3">
        <f>IF($AO3=1,IFERROR(IF(VALUE($E3)&lt;100000000,VALUE($E3),1000000000),IFERROR(IF(VALUE(MID($E3,2,20))&lt;100000000,VALUE(MID($E3,2,20)),1000000000),1000000000))+ROW()/100000,"")</f>
        <v/>
      </c>
    </row>
    <row r="4">
      <c r="D4">
        <f>IF($E4="","",IFERROR(IF(INDEX('Per Invoice'!$A$2:$A$301,MATCH($E4,'Per Invoice'!$B$2:$B$301,0))=0,"",INDEX('Per Invoice'!$A$2:$A$301,MATCH($E4,'Per Invoice'!$B$2:$B$301,0))),""))</f>
        <v/>
      </c>
      <c r="H4" s="11" t="n"/>
      <c r="R4" s="7">
        <f>IF($E4="","",Q4*Z4/100)</f>
        <v/>
      </c>
      <c r="S4" s="7" t="n"/>
      <c r="Y4" s="7" t="n"/>
      <c r="Z4" s="7" t="n"/>
      <c r="AA4" s="7">
        <f>IF($E4="","",Z4*AF4/100)</f>
        <v/>
      </c>
      <c r="AB4" s="7">
        <f>IF($E4="","",Z4-AA4)</f>
        <v/>
      </c>
      <c r="AC4" s="7">
        <f>IF($E4="","",AB4-R4)</f>
        <v/>
      </c>
      <c r="AF4">
        <f>IF($E4="","",IF($AR4=1,0,IF($AQ4=1,Settings!$C$6,Settings!$C$7))*100)</f>
        <v/>
      </c>
      <c r="AJ4" s="7" t="n"/>
      <c r="AM4" s="11" t="n"/>
      <c r="AO4">
        <f>IF($E4="","",IF(COUNTIF($E$2:$E4,$E4)=1,1,0))</f>
        <v/>
      </c>
      <c r="AP4">
        <f>IF($AO4=1,SUMPRODUCT(--($AS$2:$AS$1001&lt;$AS4))+1,"")</f>
        <v/>
      </c>
      <c r="AQ4">
        <f>IF($E4="","",IF(OR($V4=TRUE(),$V4="TRUE"),1,0))</f>
        <v/>
      </c>
      <c r="AR4">
        <f>IF($E4="","",IF($AE4="Yes",1,0))</f>
        <v/>
      </c>
      <c r="AS4">
        <f>IF($AO4=1,IFERROR(IF(VALUE($E4)&lt;100000000,VALUE($E4),1000000000),IFERROR(IF(VALUE(MID($E4,2,20))&lt;100000000,VALUE(MID($E4,2,20)),1000000000),1000000000))+ROW()/100000,"")</f>
        <v/>
      </c>
    </row>
    <row r="5">
      <c r="D5">
        <f>IF($E5="","",IFERROR(IF(INDEX('Per Invoice'!$A$2:$A$301,MATCH($E5,'Per Invoice'!$B$2:$B$301,0))=0,"",INDEX('Per Invoice'!$A$2:$A$301,MATCH($E5,'Per Invoice'!$B$2:$B$301,0))),""))</f>
        <v/>
      </c>
      <c r="H5" s="11" t="n"/>
      <c r="R5" s="7">
        <f>IF($E5="","",Q5*Z5/100)</f>
        <v/>
      </c>
      <c r="S5" s="7" t="n"/>
      <c r="Y5" s="7" t="n"/>
      <c r="Z5" s="7" t="n"/>
      <c r="AA5" s="7">
        <f>IF($E5="","",Z5*AF5/100)</f>
        <v/>
      </c>
      <c r="AB5" s="7">
        <f>IF($E5="","",Z5-AA5)</f>
        <v/>
      </c>
      <c r="AC5" s="7">
        <f>IF($E5="","",AB5-R5)</f>
        <v/>
      </c>
      <c r="AF5">
        <f>IF($E5="","",IF($AR5=1,0,IF($AQ5=1,Settings!$C$6,Settings!$C$7))*100)</f>
        <v/>
      </c>
      <c r="AJ5" s="7" t="n"/>
      <c r="AM5" s="11" t="n"/>
      <c r="AO5">
        <f>IF($E5="","",IF(COUNTIF($E$2:$E5,$E5)=1,1,0))</f>
        <v/>
      </c>
      <c r="AP5">
        <f>IF($AO5=1,SUMPRODUCT(--($AS$2:$AS$1001&lt;$AS5))+1,"")</f>
        <v/>
      </c>
      <c r="AQ5">
        <f>IF($E5="","",IF(OR($V5=TRUE(),$V5="TRUE"),1,0))</f>
        <v/>
      </c>
      <c r="AR5">
        <f>IF($E5="","",IF($AE5="Yes",1,0))</f>
        <v/>
      </c>
      <c r="AS5">
        <f>IF($AO5=1,IFERROR(IF(VALUE($E5)&lt;100000000,VALUE($E5),1000000000),IFERROR(IF(VALUE(MID($E5,2,20))&lt;100000000,VALUE(MID($E5,2,20)),1000000000),1000000000))+ROW()/100000,"")</f>
        <v/>
      </c>
    </row>
    <row r="6">
      <c r="D6">
        <f>IF($E6="","",IFERROR(IF(INDEX('Per Invoice'!$A$2:$A$301,MATCH($E6,'Per Invoice'!$B$2:$B$301,0))=0,"",INDEX('Per Invoice'!$A$2:$A$301,MATCH($E6,'Per Invoice'!$B$2:$B$301,0))),""))</f>
        <v/>
      </c>
      <c r="H6" s="11" t="n"/>
      <c r="R6" s="7">
        <f>IF($E6="","",Q6*Z6/100)</f>
        <v/>
      </c>
      <c r="S6" s="7" t="n"/>
      <c r="Y6" s="7" t="n"/>
      <c r="Z6" s="7" t="n"/>
      <c r="AA6" s="7">
        <f>IF($E6="","",Z6*AF6/100)</f>
        <v/>
      </c>
      <c r="AB6" s="7">
        <f>IF($E6="","",Z6-AA6)</f>
        <v/>
      </c>
      <c r="AC6" s="7">
        <f>IF($E6="","",AB6-R6)</f>
        <v/>
      </c>
      <c r="AF6">
        <f>IF($E6="","",IF($AR6=1,0,IF($AQ6=1,Settings!$C$6,Settings!$C$7))*100)</f>
        <v/>
      </c>
      <c r="AJ6" s="7" t="n"/>
      <c r="AM6" s="11" t="n"/>
      <c r="AO6">
        <f>IF($E6="","",IF(COUNTIF($E$2:$E6,$E6)=1,1,0))</f>
        <v/>
      </c>
      <c r="AP6">
        <f>IF($AO6=1,SUMPRODUCT(--($AS$2:$AS$1001&lt;$AS6))+1,"")</f>
        <v/>
      </c>
      <c r="AQ6">
        <f>IF($E6="","",IF(OR($V6=TRUE(),$V6="TRUE"),1,0))</f>
        <v/>
      </c>
      <c r="AR6">
        <f>IF($E6="","",IF($AE6="Yes",1,0))</f>
        <v/>
      </c>
      <c r="AS6">
        <f>IF($AO6=1,IFERROR(IF(VALUE($E6)&lt;100000000,VALUE($E6),1000000000),IFERROR(IF(VALUE(MID($E6,2,20))&lt;100000000,VALUE(MID($E6,2,20)),1000000000),1000000000))+ROW()/100000,"")</f>
        <v/>
      </c>
    </row>
    <row r="7">
      <c r="D7">
        <f>IF($E7="","",IFERROR(IF(INDEX('Per Invoice'!$A$2:$A$301,MATCH($E7,'Per Invoice'!$B$2:$B$301,0))=0,"",INDEX('Per Invoice'!$A$2:$A$301,MATCH($E7,'Per Invoice'!$B$2:$B$301,0))),""))</f>
        <v/>
      </c>
      <c r="H7" s="11" t="n"/>
      <c r="R7" s="7">
        <f>IF($E7="","",Q7*Z7/100)</f>
        <v/>
      </c>
      <c r="S7" s="7" t="n"/>
      <c r="Y7" s="7" t="n"/>
      <c r="Z7" s="7" t="n"/>
      <c r="AA7" s="7">
        <f>IF($E7="","",Z7*AF7/100)</f>
        <v/>
      </c>
      <c r="AB7" s="7">
        <f>IF($E7="","",Z7-AA7)</f>
        <v/>
      </c>
      <c r="AC7" s="7">
        <f>IF($E7="","",AB7-R7)</f>
        <v/>
      </c>
      <c r="AF7">
        <f>IF($E7="","",IF($AR7=1,0,IF($AQ7=1,Settings!$C$6,Settings!$C$7))*100)</f>
        <v/>
      </c>
      <c r="AJ7" s="7" t="n"/>
      <c r="AM7" s="11" t="n"/>
      <c r="AO7">
        <f>IF($E7="","",IF(COUNTIF($E$2:$E7,$E7)=1,1,0))</f>
        <v/>
      </c>
      <c r="AP7">
        <f>IF($AO7=1,SUMPRODUCT(--($AS$2:$AS$1001&lt;$AS7))+1,"")</f>
        <v/>
      </c>
      <c r="AQ7">
        <f>IF($E7="","",IF(OR($V7=TRUE(),$V7="TRUE"),1,0))</f>
        <v/>
      </c>
      <c r="AR7">
        <f>IF($E7="","",IF($AE7="Yes",1,0))</f>
        <v/>
      </c>
      <c r="AS7">
        <f>IF($AO7=1,IFERROR(IF(VALUE($E7)&lt;100000000,VALUE($E7),1000000000),IFERROR(IF(VALUE(MID($E7,2,20))&lt;100000000,VALUE(MID($E7,2,20)),1000000000),1000000000))+ROW()/100000,"")</f>
        <v/>
      </c>
    </row>
    <row r="8">
      <c r="D8">
        <f>IF($E8="","",IFERROR(IF(INDEX('Per Invoice'!$A$2:$A$301,MATCH($E8,'Per Invoice'!$B$2:$B$301,0))=0,"",INDEX('Per Invoice'!$A$2:$A$301,MATCH($E8,'Per Invoice'!$B$2:$B$301,0))),""))</f>
        <v/>
      </c>
      <c r="H8" s="11" t="n"/>
      <c r="R8" s="7">
        <f>IF($E8="","",Q8*Z8/100)</f>
        <v/>
      </c>
      <c r="S8" s="7" t="n"/>
      <c r="Y8" s="7" t="n"/>
      <c r="Z8" s="7" t="n"/>
      <c r="AA8" s="7">
        <f>IF($E8="","",Z8*AF8/100)</f>
        <v/>
      </c>
      <c r="AB8" s="7">
        <f>IF($E8="","",Z8-AA8)</f>
        <v/>
      </c>
      <c r="AC8" s="7">
        <f>IF($E8="","",AB8-R8)</f>
        <v/>
      </c>
      <c r="AF8">
        <f>IF($E8="","",IF($AR8=1,0,IF($AQ8=1,Settings!$C$6,Settings!$C$7))*100)</f>
        <v/>
      </c>
      <c r="AJ8" s="7" t="n"/>
      <c r="AM8" s="11" t="n"/>
      <c r="AO8">
        <f>IF($E8="","",IF(COUNTIF($E$2:$E8,$E8)=1,1,0))</f>
        <v/>
      </c>
      <c r="AP8">
        <f>IF($AO8=1,SUMPRODUCT(--($AS$2:$AS$1001&lt;$AS8))+1,"")</f>
        <v/>
      </c>
      <c r="AQ8">
        <f>IF($E8="","",IF(OR($V8=TRUE(),$V8="TRUE"),1,0))</f>
        <v/>
      </c>
      <c r="AR8">
        <f>IF($E8="","",IF($AE8="Yes",1,0))</f>
        <v/>
      </c>
      <c r="AS8">
        <f>IF($AO8=1,IFERROR(IF(VALUE($E8)&lt;100000000,VALUE($E8),1000000000),IFERROR(IF(VALUE(MID($E8,2,20))&lt;100000000,VALUE(MID($E8,2,20)),1000000000),1000000000))+ROW()/100000,"")</f>
        <v/>
      </c>
    </row>
    <row r="9">
      <c r="D9">
        <f>IF($E9="","",IFERROR(IF(INDEX('Per Invoice'!$A$2:$A$301,MATCH($E9,'Per Invoice'!$B$2:$B$301,0))=0,"",INDEX('Per Invoice'!$A$2:$A$301,MATCH($E9,'Per Invoice'!$B$2:$B$301,0))),""))</f>
        <v/>
      </c>
      <c r="H9" s="11" t="n"/>
      <c r="R9" s="7">
        <f>IF($E9="","",Q9*Z9/100)</f>
        <v/>
      </c>
      <c r="S9" s="7" t="n"/>
      <c r="Y9" s="7" t="n"/>
      <c r="Z9" s="7" t="n"/>
      <c r="AA9" s="7">
        <f>IF($E9="","",Z9*AF9/100)</f>
        <v/>
      </c>
      <c r="AB9" s="7">
        <f>IF($E9="","",Z9-AA9)</f>
        <v/>
      </c>
      <c r="AC9" s="7">
        <f>IF($E9="","",AB9-R9)</f>
        <v/>
      </c>
      <c r="AF9">
        <f>IF($E9="","",IF($AR9=1,0,IF($AQ9=1,Settings!$C$6,Settings!$C$7))*100)</f>
        <v/>
      </c>
      <c r="AJ9" s="7" t="n"/>
      <c r="AM9" s="11" t="n"/>
      <c r="AO9">
        <f>IF($E9="","",IF(COUNTIF($E$2:$E9,$E9)=1,1,0))</f>
        <v/>
      </c>
      <c r="AP9">
        <f>IF($AO9=1,SUMPRODUCT(--($AS$2:$AS$1001&lt;$AS9))+1,"")</f>
        <v/>
      </c>
      <c r="AQ9">
        <f>IF($E9="","",IF(OR($V9=TRUE(),$V9="TRUE"),1,0))</f>
        <v/>
      </c>
      <c r="AR9">
        <f>IF($E9="","",IF($AE9="Yes",1,0))</f>
        <v/>
      </c>
      <c r="AS9">
        <f>IF($AO9=1,IFERROR(IF(VALUE($E9)&lt;100000000,VALUE($E9),1000000000),IFERROR(IF(VALUE(MID($E9,2,20))&lt;100000000,VALUE(MID($E9,2,20)),1000000000),1000000000))+ROW()/100000,"")</f>
        <v/>
      </c>
    </row>
    <row r="10">
      <c r="D10">
        <f>IF($E10="","",IFERROR(IF(INDEX('Per Invoice'!$A$2:$A$301,MATCH($E10,'Per Invoice'!$B$2:$B$301,0))=0,"",INDEX('Per Invoice'!$A$2:$A$301,MATCH($E10,'Per Invoice'!$B$2:$B$301,0))),""))</f>
        <v/>
      </c>
      <c r="H10" s="11" t="n"/>
      <c r="R10" s="7">
        <f>IF($E10="","",Q10*Z10/100)</f>
        <v/>
      </c>
      <c r="S10" s="7" t="n"/>
      <c r="Y10" s="7" t="n"/>
      <c r="Z10" s="7" t="n"/>
      <c r="AA10" s="7">
        <f>IF($E10="","",Z10*AF10/100)</f>
        <v/>
      </c>
      <c r="AB10" s="7">
        <f>IF($E10="","",Z10-AA10)</f>
        <v/>
      </c>
      <c r="AC10" s="7">
        <f>IF($E10="","",AB10-R10)</f>
        <v/>
      </c>
      <c r="AF10">
        <f>IF($E10="","",IF($AR10=1,0,IF($AQ10=1,Settings!$C$6,Settings!$C$7))*100)</f>
        <v/>
      </c>
      <c r="AJ10" s="7" t="n"/>
      <c r="AM10" s="11" t="n"/>
      <c r="AO10">
        <f>IF($E10="","",IF(COUNTIF($E$2:$E10,$E10)=1,1,0))</f>
        <v/>
      </c>
      <c r="AP10">
        <f>IF($AO10=1,SUMPRODUCT(--($AS$2:$AS$1001&lt;$AS10))+1,"")</f>
        <v/>
      </c>
      <c r="AQ10">
        <f>IF($E10="","",IF(OR($V10=TRUE(),$V10="TRUE"),1,0))</f>
        <v/>
      </c>
      <c r="AR10">
        <f>IF($E10="","",IF($AE10="Yes",1,0))</f>
        <v/>
      </c>
      <c r="AS10">
        <f>IF($AO10=1,IFERROR(IF(VALUE($E10)&lt;100000000,VALUE($E10),1000000000),IFERROR(IF(VALUE(MID($E10,2,20))&lt;100000000,VALUE(MID($E10,2,20)),1000000000),1000000000))+ROW()/100000,"")</f>
        <v/>
      </c>
    </row>
    <row r="11">
      <c r="D11">
        <f>IF($E11="","",IFERROR(IF(INDEX('Per Invoice'!$A$2:$A$301,MATCH($E11,'Per Invoice'!$B$2:$B$301,0))=0,"",INDEX('Per Invoice'!$A$2:$A$301,MATCH($E11,'Per Invoice'!$B$2:$B$301,0))),""))</f>
        <v/>
      </c>
      <c r="H11" s="11" t="n"/>
      <c r="R11" s="7">
        <f>IF($E11="","",Q11*Z11/100)</f>
        <v/>
      </c>
      <c r="S11" s="7" t="n"/>
      <c r="Y11" s="7" t="n"/>
      <c r="Z11" s="7" t="n"/>
      <c r="AA11" s="7">
        <f>IF($E11="","",Z11*AF11/100)</f>
        <v/>
      </c>
      <c r="AB11" s="7">
        <f>IF($E11="","",Z11-AA11)</f>
        <v/>
      </c>
      <c r="AC11" s="7">
        <f>IF($E11="","",AB11-R11)</f>
        <v/>
      </c>
      <c r="AF11">
        <f>IF($E11="","",IF($AR11=1,0,IF($AQ11=1,Settings!$C$6,Settings!$C$7))*100)</f>
        <v/>
      </c>
      <c r="AJ11" s="7" t="n"/>
      <c r="AM11" s="11" t="n"/>
      <c r="AO11">
        <f>IF($E11="","",IF(COUNTIF($E$2:$E11,$E11)=1,1,0))</f>
        <v/>
      </c>
      <c r="AP11">
        <f>IF($AO11=1,SUMPRODUCT(--($AS$2:$AS$1001&lt;$AS11))+1,"")</f>
        <v/>
      </c>
      <c r="AQ11">
        <f>IF($E11="","",IF(OR($V11=TRUE(),$V11="TRUE"),1,0))</f>
        <v/>
      </c>
      <c r="AR11">
        <f>IF($E11="","",IF($AE11="Yes",1,0))</f>
        <v/>
      </c>
      <c r="AS11">
        <f>IF($AO11=1,IFERROR(IF(VALUE($E11)&lt;100000000,VALUE($E11),1000000000),IFERROR(IF(VALUE(MID($E11,2,20))&lt;100000000,VALUE(MID($E11,2,20)),1000000000),1000000000))+ROW()/100000,"")</f>
        <v/>
      </c>
    </row>
    <row r="12">
      <c r="D12">
        <f>IF($E12="","",IFERROR(IF(INDEX('Per Invoice'!$A$2:$A$301,MATCH($E12,'Per Invoice'!$B$2:$B$301,0))=0,"",INDEX('Per Invoice'!$A$2:$A$301,MATCH($E12,'Per Invoice'!$B$2:$B$301,0))),""))</f>
        <v/>
      </c>
      <c r="H12" s="11" t="n"/>
      <c r="R12" s="7">
        <f>IF($E12="","",Q12*Z12/100)</f>
        <v/>
      </c>
      <c r="S12" s="7" t="n"/>
      <c r="Y12" s="7" t="n"/>
      <c r="Z12" s="7" t="n"/>
      <c r="AA12" s="7">
        <f>IF($E12="","",Z12*AF12/100)</f>
        <v/>
      </c>
      <c r="AB12" s="7">
        <f>IF($E12="","",Z12-AA12)</f>
        <v/>
      </c>
      <c r="AC12" s="7">
        <f>IF($E12="","",AB12-R12)</f>
        <v/>
      </c>
      <c r="AF12">
        <f>IF($E12="","",IF($AR12=1,0,IF($AQ12=1,Settings!$C$6,Settings!$C$7))*100)</f>
        <v/>
      </c>
      <c r="AJ12" s="7" t="n"/>
      <c r="AM12" s="11" t="n"/>
      <c r="AO12">
        <f>IF($E12="","",IF(COUNTIF($E$2:$E12,$E12)=1,1,0))</f>
        <v/>
      </c>
      <c r="AP12">
        <f>IF($AO12=1,SUMPRODUCT(--($AS$2:$AS$1001&lt;$AS12))+1,"")</f>
        <v/>
      </c>
      <c r="AQ12">
        <f>IF($E12="","",IF(OR($V12=TRUE(),$V12="TRUE"),1,0))</f>
        <v/>
      </c>
      <c r="AR12">
        <f>IF($E12="","",IF($AE12="Yes",1,0))</f>
        <v/>
      </c>
      <c r="AS12">
        <f>IF($AO12=1,IFERROR(IF(VALUE($E12)&lt;100000000,VALUE($E12),1000000000),IFERROR(IF(VALUE(MID($E12,2,20))&lt;100000000,VALUE(MID($E12,2,20)),1000000000),1000000000))+ROW()/100000,"")</f>
        <v/>
      </c>
    </row>
    <row r="13">
      <c r="D13">
        <f>IF($E13="","",IFERROR(IF(INDEX('Per Invoice'!$A$2:$A$301,MATCH($E13,'Per Invoice'!$B$2:$B$301,0))=0,"",INDEX('Per Invoice'!$A$2:$A$301,MATCH($E13,'Per Invoice'!$B$2:$B$301,0))),""))</f>
        <v/>
      </c>
      <c r="H13" s="11" t="n"/>
      <c r="R13" s="7">
        <f>IF($E13="","",Q13*Z13/100)</f>
        <v/>
      </c>
      <c r="S13" s="7" t="n"/>
      <c r="Y13" s="7" t="n"/>
      <c r="Z13" s="7" t="n"/>
      <c r="AA13" s="7">
        <f>IF($E13="","",Z13*AF13/100)</f>
        <v/>
      </c>
      <c r="AB13" s="7">
        <f>IF($E13="","",Z13-AA13)</f>
        <v/>
      </c>
      <c r="AC13" s="7">
        <f>IF($E13="","",AB13-R13)</f>
        <v/>
      </c>
      <c r="AF13">
        <f>IF($E13="","",IF($AR13=1,0,IF($AQ13=1,Settings!$C$6,Settings!$C$7))*100)</f>
        <v/>
      </c>
      <c r="AJ13" s="7" t="n"/>
      <c r="AM13" s="11" t="n"/>
      <c r="AO13">
        <f>IF($E13="","",IF(COUNTIF($E$2:$E13,$E13)=1,1,0))</f>
        <v/>
      </c>
      <c r="AP13">
        <f>IF($AO13=1,SUMPRODUCT(--($AS$2:$AS$1001&lt;$AS13))+1,"")</f>
        <v/>
      </c>
      <c r="AQ13">
        <f>IF($E13="","",IF(OR($V13=TRUE(),$V13="TRUE"),1,0))</f>
        <v/>
      </c>
      <c r="AR13">
        <f>IF($E13="","",IF($AE13="Yes",1,0))</f>
        <v/>
      </c>
      <c r="AS13">
        <f>IF($AO13=1,IFERROR(IF(VALUE($E13)&lt;100000000,VALUE($E13),1000000000),IFERROR(IF(VALUE(MID($E13,2,20))&lt;100000000,VALUE(MID($E13,2,20)),1000000000),1000000000))+ROW()/100000,"")</f>
        <v/>
      </c>
    </row>
    <row r="14">
      <c r="D14">
        <f>IF($E14="","",IFERROR(IF(INDEX('Per Invoice'!$A$2:$A$301,MATCH($E14,'Per Invoice'!$B$2:$B$301,0))=0,"",INDEX('Per Invoice'!$A$2:$A$301,MATCH($E14,'Per Invoice'!$B$2:$B$301,0))),""))</f>
        <v/>
      </c>
      <c r="H14" s="11" t="n"/>
      <c r="R14" s="7">
        <f>IF($E14="","",Q14*Z14/100)</f>
        <v/>
      </c>
      <c r="S14" s="7" t="n"/>
      <c r="Y14" s="7" t="n"/>
      <c r="Z14" s="7" t="n"/>
      <c r="AA14" s="7">
        <f>IF($E14="","",Z14*AF14/100)</f>
        <v/>
      </c>
      <c r="AB14" s="7">
        <f>IF($E14="","",Z14-AA14)</f>
        <v/>
      </c>
      <c r="AC14" s="7">
        <f>IF($E14="","",AB14-R14)</f>
        <v/>
      </c>
      <c r="AF14">
        <f>IF($E14="","",IF($AR14=1,0,IF($AQ14=1,Settings!$C$6,Settings!$C$7))*100)</f>
        <v/>
      </c>
      <c r="AJ14" s="7" t="n"/>
      <c r="AM14" s="11" t="n"/>
      <c r="AO14">
        <f>IF($E14="","",IF(COUNTIF($E$2:$E14,$E14)=1,1,0))</f>
        <v/>
      </c>
      <c r="AP14">
        <f>IF($AO14=1,SUMPRODUCT(--($AS$2:$AS$1001&lt;$AS14))+1,"")</f>
        <v/>
      </c>
      <c r="AQ14">
        <f>IF($E14="","",IF(OR($V14=TRUE(),$V14="TRUE"),1,0))</f>
        <v/>
      </c>
      <c r="AR14">
        <f>IF($E14="","",IF($AE14="Yes",1,0))</f>
        <v/>
      </c>
      <c r="AS14">
        <f>IF($AO14=1,IFERROR(IF(VALUE($E14)&lt;100000000,VALUE($E14),1000000000),IFERROR(IF(VALUE(MID($E14,2,20))&lt;100000000,VALUE(MID($E14,2,20)),1000000000),1000000000))+ROW()/100000,"")</f>
        <v/>
      </c>
    </row>
    <row r="15">
      <c r="D15">
        <f>IF($E15="","",IFERROR(IF(INDEX('Per Invoice'!$A$2:$A$301,MATCH($E15,'Per Invoice'!$B$2:$B$301,0))=0,"",INDEX('Per Invoice'!$A$2:$A$301,MATCH($E15,'Per Invoice'!$B$2:$B$301,0))),""))</f>
        <v/>
      </c>
      <c r="H15" s="11" t="n"/>
      <c r="R15" s="7">
        <f>IF($E15="","",Q15*Z15/100)</f>
        <v/>
      </c>
      <c r="S15" s="7" t="n"/>
      <c r="Y15" s="7" t="n"/>
      <c r="Z15" s="7" t="n"/>
      <c r="AA15" s="7">
        <f>IF($E15="","",Z15*AF15/100)</f>
        <v/>
      </c>
      <c r="AB15" s="7">
        <f>IF($E15="","",Z15-AA15)</f>
        <v/>
      </c>
      <c r="AC15" s="7">
        <f>IF($E15="","",AB15-R15)</f>
        <v/>
      </c>
      <c r="AF15">
        <f>IF($E15="","",IF($AR15=1,0,IF($AQ15=1,Settings!$C$6,Settings!$C$7))*100)</f>
        <v/>
      </c>
      <c r="AJ15" s="7" t="n"/>
      <c r="AM15" s="11" t="n"/>
      <c r="AO15">
        <f>IF($E15="","",IF(COUNTIF($E$2:$E15,$E15)=1,1,0))</f>
        <v/>
      </c>
      <c r="AP15">
        <f>IF($AO15=1,SUMPRODUCT(--($AS$2:$AS$1001&lt;$AS15))+1,"")</f>
        <v/>
      </c>
      <c r="AQ15">
        <f>IF($E15="","",IF(OR($V15=TRUE(),$V15="TRUE"),1,0))</f>
        <v/>
      </c>
      <c r="AR15">
        <f>IF($E15="","",IF($AE15="Yes",1,0))</f>
        <v/>
      </c>
      <c r="AS15">
        <f>IF($AO15=1,IFERROR(IF(VALUE($E15)&lt;100000000,VALUE($E15),1000000000),IFERROR(IF(VALUE(MID($E15,2,20))&lt;100000000,VALUE(MID($E15,2,20)),1000000000),1000000000))+ROW()/100000,"")</f>
        <v/>
      </c>
    </row>
    <row r="16">
      <c r="D16">
        <f>IF($E16="","",IFERROR(IF(INDEX('Per Invoice'!$A$2:$A$301,MATCH($E16,'Per Invoice'!$B$2:$B$301,0))=0,"",INDEX('Per Invoice'!$A$2:$A$301,MATCH($E16,'Per Invoice'!$B$2:$B$301,0))),""))</f>
        <v/>
      </c>
      <c r="H16" s="11" t="n"/>
      <c r="R16" s="7">
        <f>IF($E16="","",Q16*Z16/100)</f>
        <v/>
      </c>
      <c r="S16" s="7" t="n"/>
      <c r="Y16" s="7" t="n"/>
      <c r="Z16" s="7" t="n"/>
      <c r="AA16" s="7">
        <f>IF($E16="","",Z16*AF16/100)</f>
        <v/>
      </c>
      <c r="AB16" s="7">
        <f>IF($E16="","",Z16-AA16)</f>
        <v/>
      </c>
      <c r="AC16" s="7">
        <f>IF($E16="","",AB16-R16)</f>
        <v/>
      </c>
      <c r="AF16">
        <f>IF($E16="","",IF($AR16=1,0,IF($AQ16=1,Settings!$C$6,Settings!$C$7))*100)</f>
        <v/>
      </c>
      <c r="AJ16" s="7" t="n"/>
      <c r="AM16" s="11" t="n"/>
      <c r="AO16">
        <f>IF($E16="","",IF(COUNTIF($E$2:$E16,$E16)=1,1,0))</f>
        <v/>
      </c>
      <c r="AP16">
        <f>IF($AO16=1,SUMPRODUCT(--($AS$2:$AS$1001&lt;$AS16))+1,"")</f>
        <v/>
      </c>
      <c r="AQ16">
        <f>IF($E16="","",IF(OR($V16=TRUE(),$V16="TRUE"),1,0))</f>
        <v/>
      </c>
      <c r="AR16">
        <f>IF($E16="","",IF($AE16="Yes",1,0))</f>
        <v/>
      </c>
      <c r="AS16">
        <f>IF($AO16=1,IFERROR(IF(VALUE($E16)&lt;100000000,VALUE($E16),1000000000),IFERROR(IF(VALUE(MID($E16,2,20))&lt;100000000,VALUE(MID($E16,2,20)),1000000000),1000000000))+ROW()/100000,"")</f>
        <v/>
      </c>
    </row>
    <row r="17">
      <c r="D17">
        <f>IF($E17="","",IFERROR(IF(INDEX('Per Invoice'!$A$2:$A$301,MATCH($E17,'Per Invoice'!$B$2:$B$301,0))=0,"",INDEX('Per Invoice'!$A$2:$A$301,MATCH($E17,'Per Invoice'!$B$2:$B$301,0))),""))</f>
        <v/>
      </c>
      <c r="H17" s="11" t="n"/>
      <c r="R17" s="7">
        <f>IF($E17="","",Q17*Z17/100)</f>
        <v/>
      </c>
      <c r="S17" s="7" t="n"/>
      <c r="Y17" s="7" t="n"/>
      <c r="Z17" s="7" t="n"/>
      <c r="AA17" s="7">
        <f>IF($E17="","",Z17*AF17/100)</f>
        <v/>
      </c>
      <c r="AB17" s="7">
        <f>IF($E17="","",Z17-AA17)</f>
        <v/>
      </c>
      <c r="AC17" s="7">
        <f>IF($E17="","",AB17-R17)</f>
        <v/>
      </c>
      <c r="AF17">
        <f>IF($E17="","",IF($AR17=1,0,IF($AQ17=1,Settings!$C$6,Settings!$C$7))*100)</f>
        <v/>
      </c>
      <c r="AJ17" s="7" t="n"/>
      <c r="AM17" s="11" t="n"/>
      <c r="AO17">
        <f>IF($E17="","",IF(COUNTIF($E$2:$E17,$E17)=1,1,0))</f>
        <v/>
      </c>
      <c r="AP17">
        <f>IF($AO17=1,SUMPRODUCT(--($AS$2:$AS$1001&lt;$AS17))+1,"")</f>
        <v/>
      </c>
      <c r="AQ17">
        <f>IF($E17="","",IF(OR($V17=TRUE(),$V17="TRUE"),1,0))</f>
        <v/>
      </c>
      <c r="AR17">
        <f>IF($E17="","",IF($AE17="Yes",1,0))</f>
        <v/>
      </c>
      <c r="AS17">
        <f>IF($AO17=1,IFERROR(IF(VALUE($E17)&lt;100000000,VALUE($E17),1000000000),IFERROR(IF(VALUE(MID($E17,2,20))&lt;100000000,VALUE(MID($E17,2,20)),1000000000),1000000000))+ROW()/100000,"")</f>
        <v/>
      </c>
    </row>
    <row r="18">
      <c r="D18">
        <f>IF($E18="","",IFERROR(IF(INDEX('Per Invoice'!$A$2:$A$301,MATCH($E18,'Per Invoice'!$B$2:$B$301,0))=0,"",INDEX('Per Invoice'!$A$2:$A$301,MATCH($E18,'Per Invoice'!$B$2:$B$301,0))),""))</f>
        <v/>
      </c>
      <c r="H18" s="11" t="n"/>
      <c r="R18" s="7">
        <f>IF($E18="","",Q18*Z18/100)</f>
        <v/>
      </c>
      <c r="S18" s="7" t="n"/>
      <c r="Y18" s="7" t="n"/>
      <c r="Z18" s="7" t="n"/>
      <c r="AA18" s="7">
        <f>IF($E18="","",Z18*AF18/100)</f>
        <v/>
      </c>
      <c r="AB18" s="7">
        <f>IF($E18="","",Z18-AA18)</f>
        <v/>
      </c>
      <c r="AC18" s="7">
        <f>IF($E18="","",AB18-R18)</f>
        <v/>
      </c>
      <c r="AF18">
        <f>IF($E18="","",IF($AR18=1,0,IF($AQ18=1,Settings!$C$6,Settings!$C$7))*100)</f>
        <v/>
      </c>
      <c r="AJ18" s="7" t="n"/>
      <c r="AM18" s="11" t="n"/>
      <c r="AO18">
        <f>IF($E18="","",IF(COUNTIF($E$2:$E18,$E18)=1,1,0))</f>
        <v/>
      </c>
      <c r="AP18">
        <f>IF($AO18=1,SUMPRODUCT(--($AS$2:$AS$1001&lt;$AS18))+1,"")</f>
        <v/>
      </c>
      <c r="AQ18">
        <f>IF($E18="","",IF(OR($V18=TRUE(),$V18="TRUE"),1,0))</f>
        <v/>
      </c>
      <c r="AR18">
        <f>IF($E18="","",IF($AE18="Yes",1,0))</f>
        <v/>
      </c>
      <c r="AS18">
        <f>IF($AO18=1,IFERROR(IF(VALUE($E18)&lt;100000000,VALUE($E18),1000000000),IFERROR(IF(VALUE(MID($E18,2,20))&lt;100000000,VALUE(MID($E18,2,20)),1000000000),1000000000))+ROW()/100000,"")</f>
        <v/>
      </c>
    </row>
    <row r="19">
      <c r="D19">
        <f>IF($E19="","",IFERROR(IF(INDEX('Per Invoice'!$A$2:$A$301,MATCH($E19,'Per Invoice'!$B$2:$B$301,0))=0,"",INDEX('Per Invoice'!$A$2:$A$301,MATCH($E19,'Per Invoice'!$B$2:$B$301,0))),""))</f>
        <v/>
      </c>
      <c r="H19" s="11" t="n"/>
      <c r="R19" s="7">
        <f>IF($E19="","",Q19*Z19/100)</f>
        <v/>
      </c>
      <c r="S19" s="7" t="n"/>
      <c r="Y19" s="7" t="n"/>
      <c r="Z19" s="7" t="n"/>
      <c r="AA19" s="7">
        <f>IF($E19="","",Z19*AF19/100)</f>
        <v/>
      </c>
      <c r="AB19" s="7">
        <f>IF($E19="","",Z19-AA19)</f>
        <v/>
      </c>
      <c r="AC19" s="7">
        <f>IF($E19="","",AB19-R19)</f>
        <v/>
      </c>
      <c r="AF19">
        <f>IF($E19="","",IF($AR19=1,0,IF($AQ19=1,Settings!$C$6,Settings!$C$7))*100)</f>
        <v/>
      </c>
      <c r="AJ19" s="7" t="n"/>
      <c r="AM19" s="11" t="n"/>
      <c r="AO19">
        <f>IF($E19="","",IF(COUNTIF($E$2:$E19,$E19)=1,1,0))</f>
        <v/>
      </c>
      <c r="AP19">
        <f>IF($AO19=1,SUMPRODUCT(--($AS$2:$AS$1001&lt;$AS19))+1,"")</f>
        <v/>
      </c>
      <c r="AQ19">
        <f>IF($E19="","",IF(OR($V19=TRUE(),$V19="TRUE"),1,0))</f>
        <v/>
      </c>
      <c r="AR19">
        <f>IF($E19="","",IF($AE19="Yes",1,0))</f>
        <v/>
      </c>
      <c r="AS19">
        <f>IF($AO19=1,IFERROR(IF(VALUE($E19)&lt;100000000,VALUE($E19),1000000000),IFERROR(IF(VALUE(MID($E19,2,20))&lt;100000000,VALUE(MID($E19,2,20)),1000000000),1000000000))+ROW()/100000,"")</f>
        <v/>
      </c>
    </row>
    <row r="20">
      <c r="D20">
        <f>IF($E20="","",IFERROR(IF(INDEX('Per Invoice'!$A$2:$A$301,MATCH($E20,'Per Invoice'!$B$2:$B$301,0))=0,"",INDEX('Per Invoice'!$A$2:$A$301,MATCH($E20,'Per Invoice'!$B$2:$B$301,0))),""))</f>
        <v/>
      </c>
      <c r="H20" s="11" t="n"/>
      <c r="R20" s="7">
        <f>IF($E20="","",Q20*Z20/100)</f>
        <v/>
      </c>
      <c r="S20" s="7" t="n"/>
      <c r="Y20" s="7" t="n"/>
      <c r="Z20" s="7" t="n"/>
      <c r="AA20" s="7">
        <f>IF($E20="","",Z20*AF20/100)</f>
        <v/>
      </c>
      <c r="AB20" s="7">
        <f>IF($E20="","",Z20-AA20)</f>
        <v/>
      </c>
      <c r="AC20" s="7">
        <f>IF($E20="","",AB20-R20)</f>
        <v/>
      </c>
      <c r="AF20">
        <f>IF($E20="","",IF($AR20=1,0,IF($AQ20=1,Settings!$C$6,Settings!$C$7))*100)</f>
        <v/>
      </c>
      <c r="AJ20" s="7" t="n"/>
      <c r="AM20" s="11" t="n"/>
      <c r="AO20">
        <f>IF($E20="","",IF(COUNTIF($E$2:$E20,$E20)=1,1,0))</f>
        <v/>
      </c>
      <c r="AP20">
        <f>IF($AO20=1,SUMPRODUCT(--($AS$2:$AS$1001&lt;$AS20))+1,"")</f>
        <v/>
      </c>
      <c r="AQ20">
        <f>IF($E20="","",IF(OR($V20=TRUE(),$V20="TRUE"),1,0))</f>
        <v/>
      </c>
      <c r="AR20">
        <f>IF($E20="","",IF($AE20="Yes",1,0))</f>
        <v/>
      </c>
      <c r="AS20">
        <f>IF($AO20=1,IFERROR(IF(VALUE($E20)&lt;100000000,VALUE($E20),1000000000),IFERROR(IF(VALUE(MID($E20,2,20))&lt;100000000,VALUE(MID($E20,2,20)),1000000000),1000000000))+ROW()/100000,"")</f>
        <v/>
      </c>
    </row>
    <row r="21">
      <c r="D21">
        <f>IF($E21="","",IFERROR(IF(INDEX('Per Invoice'!$A$2:$A$301,MATCH($E21,'Per Invoice'!$B$2:$B$301,0))=0,"",INDEX('Per Invoice'!$A$2:$A$301,MATCH($E21,'Per Invoice'!$B$2:$B$301,0))),""))</f>
        <v/>
      </c>
      <c r="H21" s="11" t="n"/>
      <c r="R21" s="7">
        <f>IF($E21="","",Q21*Z21/100)</f>
        <v/>
      </c>
      <c r="S21" s="7" t="n"/>
      <c r="Y21" s="7" t="n"/>
      <c r="Z21" s="7" t="n"/>
      <c r="AA21" s="7">
        <f>IF($E21="","",Z21*AF21/100)</f>
        <v/>
      </c>
      <c r="AB21" s="7">
        <f>IF($E21="","",Z21-AA21)</f>
        <v/>
      </c>
      <c r="AC21" s="7">
        <f>IF($E21="","",AB21-R21)</f>
        <v/>
      </c>
      <c r="AF21">
        <f>IF($E21="","",IF($AR21=1,0,IF($AQ21=1,Settings!$C$6,Settings!$C$7))*100)</f>
        <v/>
      </c>
      <c r="AJ21" s="7" t="n"/>
      <c r="AM21" s="11" t="n"/>
      <c r="AO21">
        <f>IF($E21="","",IF(COUNTIF($E$2:$E21,$E21)=1,1,0))</f>
        <v/>
      </c>
      <c r="AP21">
        <f>IF($AO21=1,SUMPRODUCT(--($AS$2:$AS$1001&lt;$AS21))+1,"")</f>
        <v/>
      </c>
      <c r="AQ21">
        <f>IF($E21="","",IF(OR($V21=TRUE(),$V21="TRUE"),1,0))</f>
        <v/>
      </c>
      <c r="AR21">
        <f>IF($E21="","",IF($AE21="Yes",1,0))</f>
        <v/>
      </c>
      <c r="AS21">
        <f>IF($AO21=1,IFERROR(IF(VALUE($E21)&lt;100000000,VALUE($E21),1000000000),IFERROR(IF(VALUE(MID($E21,2,20))&lt;100000000,VALUE(MID($E21,2,20)),1000000000),1000000000))+ROW()/100000,"")</f>
        <v/>
      </c>
    </row>
    <row r="22">
      <c r="D22">
        <f>IF($E22="","",IFERROR(IF(INDEX('Per Invoice'!$A$2:$A$301,MATCH($E22,'Per Invoice'!$B$2:$B$301,0))=0,"",INDEX('Per Invoice'!$A$2:$A$301,MATCH($E22,'Per Invoice'!$B$2:$B$301,0))),""))</f>
        <v/>
      </c>
      <c r="H22" s="11" t="n"/>
      <c r="R22" s="7">
        <f>IF($E22="","",Q22*Z22/100)</f>
        <v/>
      </c>
      <c r="S22" s="7" t="n"/>
      <c r="Y22" s="7" t="n"/>
      <c r="Z22" s="7" t="n"/>
      <c r="AA22" s="7">
        <f>IF($E22="","",Z22*AF22/100)</f>
        <v/>
      </c>
      <c r="AB22" s="7">
        <f>IF($E22="","",Z22-AA22)</f>
        <v/>
      </c>
      <c r="AC22" s="7">
        <f>IF($E22="","",AB22-R22)</f>
        <v/>
      </c>
      <c r="AF22">
        <f>IF($E22="","",IF($AR22=1,0,IF($AQ22=1,Settings!$C$6,Settings!$C$7))*100)</f>
        <v/>
      </c>
      <c r="AJ22" s="7" t="n"/>
      <c r="AM22" s="11" t="n"/>
      <c r="AO22">
        <f>IF($E22="","",IF(COUNTIF($E$2:$E22,$E22)=1,1,0))</f>
        <v/>
      </c>
      <c r="AP22">
        <f>IF($AO22=1,SUMPRODUCT(--($AS$2:$AS$1001&lt;$AS22))+1,"")</f>
        <v/>
      </c>
      <c r="AQ22">
        <f>IF($E22="","",IF(OR($V22=TRUE(),$V22="TRUE"),1,0))</f>
        <v/>
      </c>
      <c r="AR22">
        <f>IF($E22="","",IF($AE22="Yes",1,0))</f>
        <v/>
      </c>
      <c r="AS22">
        <f>IF($AO22=1,IFERROR(IF(VALUE($E22)&lt;100000000,VALUE($E22),1000000000),IFERROR(IF(VALUE(MID($E22,2,20))&lt;100000000,VALUE(MID($E22,2,20)),1000000000),1000000000))+ROW()/100000,"")</f>
        <v/>
      </c>
    </row>
    <row r="23">
      <c r="D23">
        <f>IF($E23="","",IFERROR(IF(INDEX('Per Invoice'!$A$2:$A$301,MATCH($E23,'Per Invoice'!$B$2:$B$301,0))=0,"",INDEX('Per Invoice'!$A$2:$A$301,MATCH($E23,'Per Invoice'!$B$2:$B$301,0))),""))</f>
        <v/>
      </c>
      <c r="H23" s="11" t="n"/>
      <c r="R23" s="7">
        <f>IF($E23="","",Q23*Z23/100)</f>
        <v/>
      </c>
      <c r="S23" s="7" t="n"/>
      <c r="Y23" s="7" t="n"/>
      <c r="Z23" s="7" t="n"/>
      <c r="AA23" s="7">
        <f>IF($E23="","",Z23*AF23/100)</f>
        <v/>
      </c>
      <c r="AB23" s="7">
        <f>IF($E23="","",Z23-AA23)</f>
        <v/>
      </c>
      <c r="AC23" s="7">
        <f>IF($E23="","",AB23-R23)</f>
        <v/>
      </c>
      <c r="AF23">
        <f>IF($E23="","",IF($AR23=1,0,IF($AQ23=1,Settings!$C$6,Settings!$C$7))*100)</f>
        <v/>
      </c>
      <c r="AJ23" s="7" t="n"/>
      <c r="AM23" s="11" t="n"/>
      <c r="AO23">
        <f>IF($E23="","",IF(COUNTIF($E$2:$E23,$E23)=1,1,0))</f>
        <v/>
      </c>
      <c r="AP23">
        <f>IF($AO23=1,SUMPRODUCT(--($AS$2:$AS$1001&lt;$AS23))+1,"")</f>
        <v/>
      </c>
      <c r="AQ23">
        <f>IF($E23="","",IF(OR($V23=TRUE(),$V23="TRUE"),1,0))</f>
        <v/>
      </c>
      <c r="AR23">
        <f>IF($E23="","",IF($AE23="Yes",1,0))</f>
        <v/>
      </c>
      <c r="AS23">
        <f>IF($AO23=1,IFERROR(IF(VALUE($E23)&lt;100000000,VALUE($E23),1000000000),IFERROR(IF(VALUE(MID($E23,2,20))&lt;100000000,VALUE(MID($E23,2,20)),1000000000),1000000000))+ROW()/100000,"")</f>
        <v/>
      </c>
    </row>
    <row r="24">
      <c r="D24">
        <f>IF($E24="","",IFERROR(IF(INDEX('Per Invoice'!$A$2:$A$301,MATCH($E24,'Per Invoice'!$B$2:$B$301,0))=0,"",INDEX('Per Invoice'!$A$2:$A$301,MATCH($E24,'Per Invoice'!$B$2:$B$301,0))),""))</f>
        <v/>
      </c>
      <c r="H24" s="11" t="n"/>
      <c r="R24" s="7">
        <f>IF($E24="","",Q24*Z24/100)</f>
        <v/>
      </c>
      <c r="S24" s="7" t="n"/>
      <c r="Y24" s="7" t="n"/>
      <c r="Z24" s="7" t="n"/>
      <c r="AA24" s="7">
        <f>IF($E24="","",Z24*AF24/100)</f>
        <v/>
      </c>
      <c r="AB24" s="7">
        <f>IF($E24="","",Z24-AA24)</f>
        <v/>
      </c>
      <c r="AC24" s="7">
        <f>IF($E24="","",AB24-R24)</f>
        <v/>
      </c>
      <c r="AF24">
        <f>IF($E24="","",IF($AR24=1,0,IF($AQ24=1,Settings!$C$6,Settings!$C$7))*100)</f>
        <v/>
      </c>
      <c r="AJ24" s="7" t="n"/>
      <c r="AM24" s="11" t="n"/>
      <c r="AO24">
        <f>IF($E24="","",IF(COUNTIF($E$2:$E24,$E24)=1,1,0))</f>
        <v/>
      </c>
      <c r="AP24">
        <f>IF($AO24=1,SUMPRODUCT(--($AS$2:$AS$1001&lt;$AS24))+1,"")</f>
        <v/>
      </c>
      <c r="AQ24">
        <f>IF($E24="","",IF(OR($V24=TRUE(),$V24="TRUE"),1,0))</f>
        <v/>
      </c>
      <c r="AR24">
        <f>IF($E24="","",IF($AE24="Yes",1,0))</f>
        <v/>
      </c>
      <c r="AS24">
        <f>IF($AO24=1,IFERROR(IF(VALUE($E24)&lt;100000000,VALUE($E24),1000000000),IFERROR(IF(VALUE(MID($E24,2,20))&lt;100000000,VALUE(MID($E24,2,20)),1000000000),1000000000))+ROW()/100000,"")</f>
        <v/>
      </c>
    </row>
    <row r="25">
      <c r="D25">
        <f>IF($E25="","",IFERROR(IF(INDEX('Per Invoice'!$A$2:$A$301,MATCH($E25,'Per Invoice'!$B$2:$B$301,0))=0,"",INDEX('Per Invoice'!$A$2:$A$301,MATCH($E25,'Per Invoice'!$B$2:$B$301,0))),""))</f>
        <v/>
      </c>
      <c r="H25" s="11" t="n"/>
      <c r="R25" s="7">
        <f>IF($E25="","",Q25*Z25/100)</f>
        <v/>
      </c>
      <c r="S25" s="7" t="n"/>
      <c r="Y25" s="7" t="n"/>
      <c r="Z25" s="7" t="n"/>
      <c r="AA25" s="7">
        <f>IF($E25="","",Z25*AF25/100)</f>
        <v/>
      </c>
      <c r="AB25" s="7">
        <f>IF($E25="","",Z25-AA25)</f>
        <v/>
      </c>
      <c r="AC25" s="7">
        <f>IF($E25="","",AB25-R25)</f>
        <v/>
      </c>
      <c r="AF25">
        <f>IF($E25="","",IF($AR25=1,0,IF($AQ25=1,Settings!$C$6,Settings!$C$7))*100)</f>
        <v/>
      </c>
      <c r="AJ25" s="7" t="n"/>
      <c r="AM25" s="11" t="n"/>
      <c r="AO25">
        <f>IF($E25="","",IF(COUNTIF($E$2:$E25,$E25)=1,1,0))</f>
        <v/>
      </c>
      <c r="AP25">
        <f>IF($AO25=1,SUMPRODUCT(--($AS$2:$AS$1001&lt;$AS25))+1,"")</f>
        <v/>
      </c>
      <c r="AQ25">
        <f>IF($E25="","",IF(OR($V25=TRUE(),$V25="TRUE"),1,0))</f>
        <v/>
      </c>
      <c r="AR25">
        <f>IF($E25="","",IF($AE25="Yes",1,0))</f>
        <v/>
      </c>
      <c r="AS25">
        <f>IF($AO25=1,IFERROR(IF(VALUE($E25)&lt;100000000,VALUE($E25),1000000000),IFERROR(IF(VALUE(MID($E25,2,20))&lt;100000000,VALUE(MID($E25,2,20)),1000000000),1000000000))+ROW()/100000,"")</f>
        <v/>
      </c>
    </row>
    <row r="26">
      <c r="D26">
        <f>IF($E26="","",IFERROR(IF(INDEX('Per Invoice'!$A$2:$A$301,MATCH($E26,'Per Invoice'!$B$2:$B$301,0))=0,"",INDEX('Per Invoice'!$A$2:$A$301,MATCH($E26,'Per Invoice'!$B$2:$B$301,0))),""))</f>
        <v/>
      </c>
      <c r="H26" s="11" t="n"/>
      <c r="R26" s="7">
        <f>IF($E26="","",Q26*Z26/100)</f>
        <v/>
      </c>
      <c r="S26" s="7" t="n"/>
      <c r="Y26" s="7" t="n"/>
      <c r="Z26" s="7" t="n"/>
      <c r="AA26" s="7">
        <f>IF($E26="","",Z26*AF26/100)</f>
        <v/>
      </c>
      <c r="AB26" s="7">
        <f>IF($E26="","",Z26-AA26)</f>
        <v/>
      </c>
      <c r="AC26" s="7">
        <f>IF($E26="","",AB26-R26)</f>
        <v/>
      </c>
      <c r="AF26">
        <f>IF($E26="","",IF($AR26=1,0,IF($AQ26=1,Settings!$C$6,Settings!$C$7))*100)</f>
        <v/>
      </c>
      <c r="AJ26" s="7" t="n"/>
      <c r="AM26" s="11" t="n"/>
      <c r="AO26">
        <f>IF($E26="","",IF(COUNTIF($E$2:$E26,$E26)=1,1,0))</f>
        <v/>
      </c>
      <c r="AP26">
        <f>IF($AO26=1,SUMPRODUCT(--($AS$2:$AS$1001&lt;$AS26))+1,"")</f>
        <v/>
      </c>
      <c r="AQ26">
        <f>IF($E26="","",IF(OR($V26=TRUE(),$V26="TRUE"),1,0))</f>
        <v/>
      </c>
      <c r="AR26">
        <f>IF($E26="","",IF($AE26="Yes",1,0))</f>
        <v/>
      </c>
      <c r="AS26">
        <f>IF($AO26=1,IFERROR(IF(VALUE($E26)&lt;100000000,VALUE($E26),1000000000),IFERROR(IF(VALUE(MID($E26,2,20))&lt;100000000,VALUE(MID($E26,2,20)),1000000000),1000000000))+ROW()/100000,"")</f>
        <v/>
      </c>
    </row>
    <row r="27">
      <c r="D27">
        <f>IF($E27="","",IFERROR(IF(INDEX('Per Invoice'!$A$2:$A$301,MATCH($E27,'Per Invoice'!$B$2:$B$301,0))=0,"",INDEX('Per Invoice'!$A$2:$A$301,MATCH($E27,'Per Invoice'!$B$2:$B$301,0))),""))</f>
        <v/>
      </c>
      <c r="H27" s="11" t="n"/>
      <c r="R27" s="7">
        <f>IF($E27="","",Q27*Z27/100)</f>
        <v/>
      </c>
      <c r="S27" s="7" t="n"/>
      <c r="Y27" s="7" t="n"/>
      <c r="Z27" s="7" t="n"/>
      <c r="AA27" s="7">
        <f>IF($E27="","",Z27*AF27/100)</f>
        <v/>
      </c>
      <c r="AB27" s="7">
        <f>IF($E27="","",Z27-AA27)</f>
        <v/>
      </c>
      <c r="AC27" s="7">
        <f>IF($E27="","",AB27-R27)</f>
        <v/>
      </c>
      <c r="AF27">
        <f>IF($E27="","",IF($AR27=1,0,IF($AQ27=1,Settings!$C$6,Settings!$C$7))*100)</f>
        <v/>
      </c>
      <c r="AJ27" s="7" t="n"/>
      <c r="AM27" s="11" t="n"/>
      <c r="AO27">
        <f>IF($E27="","",IF(COUNTIF($E$2:$E27,$E27)=1,1,0))</f>
        <v/>
      </c>
      <c r="AP27">
        <f>IF($AO27=1,SUMPRODUCT(--($AS$2:$AS$1001&lt;$AS27))+1,"")</f>
        <v/>
      </c>
      <c r="AQ27">
        <f>IF($E27="","",IF(OR($V27=TRUE(),$V27="TRUE"),1,0))</f>
        <v/>
      </c>
      <c r="AR27">
        <f>IF($E27="","",IF($AE27="Yes",1,0))</f>
        <v/>
      </c>
      <c r="AS27">
        <f>IF($AO27=1,IFERROR(IF(VALUE($E27)&lt;100000000,VALUE($E27),1000000000),IFERROR(IF(VALUE(MID($E27,2,20))&lt;100000000,VALUE(MID($E27,2,20)),1000000000),1000000000))+ROW()/100000,"")</f>
        <v/>
      </c>
    </row>
    <row r="28">
      <c r="D28">
        <f>IF($E28="","",IFERROR(IF(INDEX('Per Invoice'!$A$2:$A$301,MATCH($E28,'Per Invoice'!$B$2:$B$301,0))=0,"",INDEX('Per Invoice'!$A$2:$A$301,MATCH($E28,'Per Invoice'!$B$2:$B$301,0))),""))</f>
        <v/>
      </c>
      <c r="H28" s="11" t="n"/>
      <c r="R28" s="7">
        <f>IF($E28="","",Q28*Z28/100)</f>
        <v/>
      </c>
      <c r="S28" s="7" t="n"/>
      <c r="Y28" s="7" t="n"/>
      <c r="Z28" s="7" t="n"/>
      <c r="AA28" s="7">
        <f>IF($E28="","",Z28*AF28/100)</f>
        <v/>
      </c>
      <c r="AB28" s="7">
        <f>IF($E28="","",Z28-AA28)</f>
        <v/>
      </c>
      <c r="AC28" s="7">
        <f>IF($E28="","",AB28-R28)</f>
        <v/>
      </c>
      <c r="AF28">
        <f>IF($E28="","",IF($AR28=1,0,IF($AQ28=1,Settings!$C$6,Settings!$C$7))*100)</f>
        <v/>
      </c>
      <c r="AJ28" s="7" t="n"/>
      <c r="AM28" s="11" t="n"/>
      <c r="AO28">
        <f>IF($E28="","",IF(COUNTIF($E$2:$E28,$E28)=1,1,0))</f>
        <v/>
      </c>
      <c r="AP28">
        <f>IF($AO28=1,SUMPRODUCT(--($AS$2:$AS$1001&lt;$AS28))+1,"")</f>
        <v/>
      </c>
      <c r="AQ28">
        <f>IF($E28="","",IF(OR($V28=TRUE(),$V28="TRUE"),1,0))</f>
        <v/>
      </c>
      <c r="AR28">
        <f>IF($E28="","",IF($AE28="Yes",1,0))</f>
        <v/>
      </c>
      <c r="AS28">
        <f>IF($AO28=1,IFERROR(IF(VALUE($E28)&lt;100000000,VALUE($E28),1000000000),IFERROR(IF(VALUE(MID($E28,2,20))&lt;100000000,VALUE(MID($E28,2,20)),1000000000),1000000000))+ROW()/100000,"")</f>
        <v/>
      </c>
    </row>
    <row r="29">
      <c r="D29">
        <f>IF($E29="","",IFERROR(IF(INDEX('Per Invoice'!$A$2:$A$301,MATCH($E29,'Per Invoice'!$B$2:$B$301,0))=0,"",INDEX('Per Invoice'!$A$2:$A$301,MATCH($E29,'Per Invoice'!$B$2:$B$301,0))),""))</f>
        <v/>
      </c>
      <c r="H29" s="11" t="n"/>
      <c r="R29" s="7">
        <f>IF($E29="","",Q29*Z29/100)</f>
        <v/>
      </c>
      <c r="S29" s="7" t="n"/>
      <c r="Y29" s="7" t="n"/>
      <c r="Z29" s="7" t="n"/>
      <c r="AA29" s="7">
        <f>IF($E29="","",Z29*AF29/100)</f>
        <v/>
      </c>
      <c r="AB29" s="7">
        <f>IF($E29="","",Z29-AA29)</f>
        <v/>
      </c>
      <c r="AC29" s="7">
        <f>IF($E29="","",AB29-R29)</f>
        <v/>
      </c>
      <c r="AF29">
        <f>IF($E29="","",IF($AR29=1,0,IF($AQ29=1,Settings!$C$6,Settings!$C$7))*100)</f>
        <v/>
      </c>
      <c r="AJ29" s="7" t="n"/>
      <c r="AM29" s="11" t="n"/>
      <c r="AO29">
        <f>IF($E29="","",IF(COUNTIF($E$2:$E29,$E29)=1,1,0))</f>
        <v/>
      </c>
      <c r="AP29">
        <f>IF($AO29=1,SUMPRODUCT(--($AS$2:$AS$1001&lt;$AS29))+1,"")</f>
        <v/>
      </c>
      <c r="AQ29">
        <f>IF($E29="","",IF(OR($V29=TRUE(),$V29="TRUE"),1,0))</f>
        <v/>
      </c>
      <c r="AR29">
        <f>IF($E29="","",IF($AE29="Yes",1,0))</f>
        <v/>
      </c>
      <c r="AS29">
        <f>IF($AO29=1,IFERROR(IF(VALUE($E29)&lt;100000000,VALUE($E29),1000000000),IFERROR(IF(VALUE(MID($E29,2,20))&lt;100000000,VALUE(MID($E29,2,20)),1000000000),1000000000))+ROW()/100000,"")</f>
        <v/>
      </c>
    </row>
    <row r="30">
      <c r="D30">
        <f>IF($E30="","",IFERROR(IF(INDEX('Per Invoice'!$A$2:$A$301,MATCH($E30,'Per Invoice'!$B$2:$B$301,0))=0,"",INDEX('Per Invoice'!$A$2:$A$301,MATCH($E30,'Per Invoice'!$B$2:$B$301,0))),""))</f>
        <v/>
      </c>
      <c r="H30" s="11" t="n"/>
      <c r="R30" s="7">
        <f>IF($E30="","",Q30*Z30/100)</f>
        <v/>
      </c>
      <c r="S30" s="7" t="n"/>
      <c r="Y30" s="7" t="n"/>
      <c r="Z30" s="7" t="n"/>
      <c r="AA30" s="7">
        <f>IF($E30="","",Z30*AF30/100)</f>
        <v/>
      </c>
      <c r="AB30" s="7">
        <f>IF($E30="","",Z30-AA30)</f>
        <v/>
      </c>
      <c r="AC30" s="7">
        <f>IF($E30="","",AB30-R30)</f>
        <v/>
      </c>
      <c r="AF30">
        <f>IF($E30="","",IF($AR30=1,0,IF($AQ30=1,Settings!$C$6,Settings!$C$7))*100)</f>
        <v/>
      </c>
      <c r="AJ30" s="7" t="n"/>
      <c r="AM30" s="11" t="n"/>
      <c r="AO30">
        <f>IF($E30="","",IF(COUNTIF($E$2:$E30,$E30)=1,1,0))</f>
        <v/>
      </c>
      <c r="AP30">
        <f>IF($AO30=1,SUMPRODUCT(--($AS$2:$AS$1001&lt;$AS30))+1,"")</f>
        <v/>
      </c>
      <c r="AQ30">
        <f>IF($E30="","",IF(OR($V30=TRUE(),$V30="TRUE"),1,0))</f>
        <v/>
      </c>
      <c r="AR30">
        <f>IF($E30="","",IF($AE30="Yes",1,0))</f>
        <v/>
      </c>
      <c r="AS30">
        <f>IF($AO30=1,IFERROR(IF(VALUE($E30)&lt;100000000,VALUE($E30),1000000000),IFERROR(IF(VALUE(MID($E30,2,20))&lt;100000000,VALUE(MID($E30,2,20)),1000000000),1000000000))+ROW()/100000,"")</f>
        <v/>
      </c>
    </row>
    <row r="31">
      <c r="D31">
        <f>IF($E31="","",IFERROR(IF(INDEX('Per Invoice'!$A$2:$A$301,MATCH($E31,'Per Invoice'!$B$2:$B$301,0))=0,"",INDEX('Per Invoice'!$A$2:$A$301,MATCH($E31,'Per Invoice'!$B$2:$B$301,0))),""))</f>
        <v/>
      </c>
      <c r="H31" s="11" t="n"/>
      <c r="R31" s="7">
        <f>IF($E31="","",Q31*Z31/100)</f>
        <v/>
      </c>
      <c r="S31" s="7" t="n"/>
      <c r="Y31" s="7" t="n"/>
      <c r="Z31" s="7" t="n"/>
      <c r="AA31" s="7">
        <f>IF($E31="","",Z31*AF31/100)</f>
        <v/>
      </c>
      <c r="AB31" s="7">
        <f>IF($E31="","",Z31-AA31)</f>
        <v/>
      </c>
      <c r="AC31" s="7">
        <f>IF($E31="","",AB31-R31)</f>
        <v/>
      </c>
      <c r="AF31">
        <f>IF($E31="","",IF($AR31=1,0,IF($AQ31=1,Settings!$C$6,Settings!$C$7))*100)</f>
        <v/>
      </c>
      <c r="AJ31" s="7" t="n"/>
      <c r="AM31" s="11" t="n"/>
      <c r="AO31">
        <f>IF($E31="","",IF(COUNTIF($E$2:$E31,$E31)=1,1,0))</f>
        <v/>
      </c>
      <c r="AP31">
        <f>IF($AO31=1,SUMPRODUCT(--($AS$2:$AS$1001&lt;$AS31))+1,"")</f>
        <v/>
      </c>
      <c r="AQ31">
        <f>IF($E31="","",IF(OR($V31=TRUE(),$V31="TRUE"),1,0))</f>
        <v/>
      </c>
      <c r="AR31">
        <f>IF($E31="","",IF($AE31="Yes",1,0))</f>
        <v/>
      </c>
      <c r="AS31">
        <f>IF($AO31=1,IFERROR(IF(VALUE($E31)&lt;100000000,VALUE($E31),1000000000),IFERROR(IF(VALUE(MID($E31,2,20))&lt;100000000,VALUE(MID($E31,2,20)),1000000000),1000000000))+ROW()/100000,"")</f>
        <v/>
      </c>
    </row>
    <row r="32">
      <c r="D32">
        <f>IF($E32="","",IFERROR(IF(INDEX('Per Invoice'!$A$2:$A$301,MATCH($E32,'Per Invoice'!$B$2:$B$301,0))=0,"",INDEX('Per Invoice'!$A$2:$A$301,MATCH($E32,'Per Invoice'!$B$2:$B$301,0))),""))</f>
        <v/>
      </c>
      <c r="H32" s="11" t="n"/>
      <c r="R32" s="7">
        <f>IF($E32="","",Q32*Z32/100)</f>
        <v/>
      </c>
      <c r="S32" s="7" t="n"/>
      <c r="Y32" s="7" t="n"/>
      <c r="Z32" s="7" t="n"/>
      <c r="AA32" s="7">
        <f>IF($E32="","",Z32*AF32/100)</f>
        <v/>
      </c>
      <c r="AB32" s="7">
        <f>IF($E32="","",Z32-AA32)</f>
        <v/>
      </c>
      <c r="AC32" s="7">
        <f>IF($E32="","",AB32-R32)</f>
        <v/>
      </c>
      <c r="AF32">
        <f>IF($E32="","",IF($AR32=1,0,IF($AQ32=1,Settings!$C$6,Settings!$C$7))*100)</f>
        <v/>
      </c>
      <c r="AJ32" s="7" t="n"/>
      <c r="AM32" s="11" t="n"/>
      <c r="AO32">
        <f>IF($E32="","",IF(COUNTIF($E$2:$E32,$E32)=1,1,0))</f>
        <v/>
      </c>
      <c r="AP32">
        <f>IF($AO32=1,SUMPRODUCT(--($AS$2:$AS$1001&lt;$AS32))+1,"")</f>
        <v/>
      </c>
      <c r="AQ32">
        <f>IF($E32="","",IF(OR($V32=TRUE(),$V32="TRUE"),1,0))</f>
        <v/>
      </c>
      <c r="AR32">
        <f>IF($E32="","",IF($AE32="Yes",1,0))</f>
        <v/>
      </c>
      <c r="AS32">
        <f>IF($AO32=1,IFERROR(IF(VALUE($E32)&lt;100000000,VALUE($E32),1000000000),IFERROR(IF(VALUE(MID($E32,2,20))&lt;100000000,VALUE(MID($E32,2,20)),1000000000),1000000000))+ROW()/100000,"")</f>
        <v/>
      </c>
    </row>
    <row r="33">
      <c r="D33">
        <f>IF($E33="","",IFERROR(IF(INDEX('Per Invoice'!$A$2:$A$301,MATCH($E33,'Per Invoice'!$B$2:$B$301,0))=0,"",INDEX('Per Invoice'!$A$2:$A$301,MATCH($E33,'Per Invoice'!$B$2:$B$301,0))),""))</f>
        <v/>
      </c>
      <c r="H33" s="11" t="n"/>
      <c r="R33" s="7">
        <f>IF($E33="","",Q33*Z33/100)</f>
        <v/>
      </c>
      <c r="S33" s="7" t="n"/>
      <c r="Y33" s="7" t="n"/>
      <c r="Z33" s="7" t="n"/>
      <c r="AA33" s="7">
        <f>IF($E33="","",Z33*AF33/100)</f>
        <v/>
      </c>
      <c r="AB33" s="7">
        <f>IF($E33="","",Z33-AA33)</f>
        <v/>
      </c>
      <c r="AC33" s="7">
        <f>IF($E33="","",AB33-R33)</f>
        <v/>
      </c>
      <c r="AF33">
        <f>IF($E33="","",IF($AR33=1,0,IF($AQ33=1,Settings!$C$6,Settings!$C$7))*100)</f>
        <v/>
      </c>
      <c r="AJ33" s="7" t="n"/>
      <c r="AM33" s="11" t="n"/>
      <c r="AO33">
        <f>IF($E33="","",IF(COUNTIF($E$2:$E33,$E33)=1,1,0))</f>
        <v/>
      </c>
      <c r="AP33">
        <f>IF($AO33=1,SUMPRODUCT(--($AS$2:$AS$1001&lt;$AS33))+1,"")</f>
        <v/>
      </c>
      <c r="AQ33">
        <f>IF($E33="","",IF(OR($V33=TRUE(),$V33="TRUE"),1,0))</f>
        <v/>
      </c>
      <c r="AR33">
        <f>IF($E33="","",IF($AE33="Yes",1,0))</f>
        <v/>
      </c>
      <c r="AS33">
        <f>IF($AO33=1,IFERROR(IF(VALUE($E33)&lt;100000000,VALUE($E33),1000000000),IFERROR(IF(VALUE(MID($E33,2,20))&lt;100000000,VALUE(MID($E33,2,20)),1000000000),1000000000))+ROW()/100000,"")</f>
        <v/>
      </c>
    </row>
    <row r="34">
      <c r="D34">
        <f>IF($E34="","",IFERROR(IF(INDEX('Per Invoice'!$A$2:$A$301,MATCH($E34,'Per Invoice'!$B$2:$B$301,0))=0,"",INDEX('Per Invoice'!$A$2:$A$301,MATCH($E34,'Per Invoice'!$B$2:$B$301,0))),""))</f>
        <v/>
      </c>
      <c r="H34" s="11" t="n"/>
      <c r="R34" s="7">
        <f>IF($E34="","",Q34*Z34/100)</f>
        <v/>
      </c>
      <c r="S34" s="7" t="n"/>
      <c r="Y34" s="7" t="n"/>
      <c r="Z34" s="7" t="n"/>
      <c r="AA34" s="7">
        <f>IF($E34="","",Z34*AF34/100)</f>
        <v/>
      </c>
      <c r="AB34" s="7">
        <f>IF($E34="","",Z34-AA34)</f>
        <v/>
      </c>
      <c r="AC34" s="7">
        <f>IF($E34="","",AB34-R34)</f>
        <v/>
      </c>
      <c r="AF34">
        <f>IF($E34="","",IF($AR34=1,0,IF($AQ34=1,Settings!$C$6,Settings!$C$7))*100)</f>
        <v/>
      </c>
      <c r="AJ34" s="7" t="n"/>
      <c r="AM34" s="11" t="n"/>
      <c r="AO34">
        <f>IF($E34="","",IF(COUNTIF($E$2:$E34,$E34)=1,1,0))</f>
        <v/>
      </c>
      <c r="AP34">
        <f>IF($AO34=1,SUMPRODUCT(--($AS$2:$AS$1001&lt;$AS34))+1,"")</f>
        <v/>
      </c>
      <c r="AQ34">
        <f>IF($E34="","",IF(OR($V34=TRUE(),$V34="TRUE"),1,0))</f>
        <v/>
      </c>
      <c r="AR34">
        <f>IF($E34="","",IF($AE34="Yes",1,0))</f>
        <v/>
      </c>
      <c r="AS34">
        <f>IF($AO34=1,IFERROR(IF(VALUE($E34)&lt;100000000,VALUE($E34),1000000000),IFERROR(IF(VALUE(MID($E34,2,20))&lt;100000000,VALUE(MID($E34,2,20)),1000000000),1000000000))+ROW()/100000,"")</f>
        <v/>
      </c>
    </row>
    <row r="35">
      <c r="D35">
        <f>IF($E35="","",IFERROR(IF(INDEX('Per Invoice'!$A$2:$A$301,MATCH($E35,'Per Invoice'!$B$2:$B$301,0))=0,"",INDEX('Per Invoice'!$A$2:$A$301,MATCH($E35,'Per Invoice'!$B$2:$B$301,0))),""))</f>
        <v/>
      </c>
      <c r="H35" s="11" t="n"/>
      <c r="R35" s="7">
        <f>IF($E35="","",Q35*Z35/100)</f>
        <v/>
      </c>
      <c r="S35" s="7" t="n"/>
      <c r="Y35" s="7" t="n"/>
      <c r="Z35" s="7" t="n"/>
      <c r="AA35" s="7">
        <f>IF($E35="","",Z35*AF35/100)</f>
        <v/>
      </c>
      <c r="AB35" s="7">
        <f>IF($E35="","",Z35-AA35)</f>
        <v/>
      </c>
      <c r="AC35" s="7">
        <f>IF($E35="","",AB35-R35)</f>
        <v/>
      </c>
      <c r="AF35">
        <f>IF($E35="","",IF($AR35=1,0,IF($AQ35=1,Settings!$C$6,Settings!$C$7))*100)</f>
        <v/>
      </c>
      <c r="AJ35" s="7" t="n"/>
      <c r="AM35" s="11" t="n"/>
      <c r="AO35">
        <f>IF($E35="","",IF(COUNTIF($E$2:$E35,$E35)=1,1,0))</f>
        <v/>
      </c>
      <c r="AP35">
        <f>IF($AO35=1,SUMPRODUCT(--($AS$2:$AS$1001&lt;$AS35))+1,"")</f>
        <v/>
      </c>
      <c r="AQ35">
        <f>IF($E35="","",IF(OR($V35=TRUE(),$V35="TRUE"),1,0))</f>
        <v/>
      </c>
      <c r="AR35">
        <f>IF($E35="","",IF($AE35="Yes",1,0))</f>
        <v/>
      </c>
      <c r="AS35">
        <f>IF($AO35=1,IFERROR(IF(VALUE($E35)&lt;100000000,VALUE($E35),1000000000),IFERROR(IF(VALUE(MID($E35,2,20))&lt;100000000,VALUE(MID($E35,2,20)),1000000000),1000000000))+ROW()/100000,"")</f>
        <v/>
      </c>
    </row>
    <row r="36">
      <c r="D36">
        <f>IF($E36="","",IFERROR(IF(INDEX('Per Invoice'!$A$2:$A$301,MATCH($E36,'Per Invoice'!$B$2:$B$301,0))=0,"",INDEX('Per Invoice'!$A$2:$A$301,MATCH($E36,'Per Invoice'!$B$2:$B$301,0))),""))</f>
        <v/>
      </c>
      <c r="H36" s="11" t="n"/>
      <c r="R36" s="7">
        <f>IF($E36="","",Q36*Z36/100)</f>
        <v/>
      </c>
      <c r="S36" s="7" t="n"/>
      <c r="Y36" s="7" t="n"/>
      <c r="Z36" s="7" t="n"/>
      <c r="AA36" s="7">
        <f>IF($E36="","",Z36*AF36/100)</f>
        <v/>
      </c>
      <c r="AB36" s="7">
        <f>IF($E36="","",Z36-AA36)</f>
        <v/>
      </c>
      <c r="AC36" s="7">
        <f>IF($E36="","",AB36-R36)</f>
        <v/>
      </c>
      <c r="AF36">
        <f>IF($E36="","",IF($AR36=1,0,IF($AQ36=1,Settings!$C$6,Settings!$C$7))*100)</f>
        <v/>
      </c>
      <c r="AJ36" s="7" t="n"/>
      <c r="AM36" s="11" t="n"/>
      <c r="AO36">
        <f>IF($E36="","",IF(COUNTIF($E$2:$E36,$E36)=1,1,0))</f>
        <v/>
      </c>
      <c r="AP36">
        <f>IF($AO36=1,SUMPRODUCT(--($AS$2:$AS$1001&lt;$AS36))+1,"")</f>
        <v/>
      </c>
      <c r="AQ36">
        <f>IF($E36="","",IF(OR($V36=TRUE(),$V36="TRUE"),1,0))</f>
        <v/>
      </c>
      <c r="AR36">
        <f>IF($E36="","",IF($AE36="Yes",1,0))</f>
        <v/>
      </c>
      <c r="AS36">
        <f>IF($AO36=1,IFERROR(IF(VALUE($E36)&lt;100000000,VALUE($E36),1000000000),IFERROR(IF(VALUE(MID($E36,2,20))&lt;100000000,VALUE(MID($E36,2,20)),1000000000),1000000000))+ROW()/100000,"")</f>
        <v/>
      </c>
    </row>
    <row r="37">
      <c r="D37">
        <f>IF($E37="","",IFERROR(IF(INDEX('Per Invoice'!$A$2:$A$301,MATCH($E37,'Per Invoice'!$B$2:$B$301,0))=0,"",INDEX('Per Invoice'!$A$2:$A$301,MATCH($E37,'Per Invoice'!$B$2:$B$301,0))),""))</f>
        <v/>
      </c>
      <c r="H37" s="11" t="n"/>
      <c r="R37" s="7">
        <f>IF($E37="","",Q37*Z37/100)</f>
        <v/>
      </c>
      <c r="S37" s="7" t="n"/>
      <c r="Y37" s="7" t="n"/>
      <c r="Z37" s="7" t="n"/>
      <c r="AA37" s="7">
        <f>IF($E37="","",Z37*AF37/100)</f>
        <v/>
      </c>
      <c r="AB37" s="7">
        <f>IF($E37="","",Z37-AA37)</f>
        <v/>
      </c>
      <c r="AC37" s="7">
        <f>IF($E37="","",AB37-R37)</f>
        <v/>
      </c>
      <c r="AF37">
        <f>IF($E37="","",IF($AR37=1,0,IF($AQ37=1,Settings!$C$6,Settings!$C$7))*100)</f>
        <v/>
      </c>
      <c r="AJ37" s="7" t="n"/>
      <c r="AM37" s="11" t="n"/>
      <c r="AO37">
        <f>IF($E37="","",IF(COUNTIF($E$2:$E37,$E37)=1,1,0))</f>
        <v/>
      </c>
      <c r="AP37">
        <f>IF($AO37=1,SUMPRODUCT(--($AS$2:$AS$1001&lt;$AS37))+1,"")</f>
        <v/>
      </c>
      <c r="AQ37">
        <f>IF($E37="","",IF(OR($V37=TRUE(),$V37="TRUE"),1,0))</f>
        <v/>
      </c>
      <c r="AR37">
        <f>IF($E37="","",IF($AE37="Yes",1,0))</f>
        <v/>
      </c>
      <c r="AS37">
        <f>IF($AO37=1,IFERROR(IF(VALUE($E37)&lt;100000000,VALUE($E37),1000000000),IFERROR(IF(VALUE(MID($E37,2,20))&lt;100000000,VALUE(MID($E37,2,20)),1000000000),1000000000))+ROW()/100000,"")</f>
        <v/>
      </c>
    </row>
    <row r="38">
      <c r="D38">
        <f>IF($E38="","",IFERROR(IF(INDEX('Per Invoice'!$A$2:$A$301,MATCH($E38,'Per Invoice'!$B$2:$B$301,0))=0,"",INDEX('Per Invoice'!$A$2:$A$301,MATCH($E38,'Per Invoice'!$B$2:$B$301,0))),""))</f>
        <v/>
      </c>
      <c r="H38" s="11" t="n"/>
      <c r="R38" s="7">
        <f>IF($E38="","",Q38*Z38/100)</f>
        <v/>
      </c>
      <c r="S38" s="7" t="n"/>
      <c r="Y38" s="7" t="n"/>
      <c r="Z38" s="7" t="n"/>
      <c r="AA38" s="7">
        <f>IF($E38="","",Z38*AF38/100)</f>
        <v/>
      </c>
      <c r="AB38" s="7">
        <f>IF($E38="","",Z38-AA38)</f>
        <v/>
      </c>
      <c r="AC38" s="7">
        <f>IF($E38="","",AB38-R38)</f>
        <v/>
      </c>
      <c r="AF38">
        <f>IF($E38="","",IF($AR38=1,0,IF($AQ38=1,Settings!$C$6,Settings!$C$7))*100)</f>
        <v/>
      </c>
      <c r="AJ38" s="7" t="n"/>
      <c r="AM38" s="11" t="n"/>
      <c r="AO38">
        <f>IF($E38="","",IF(COUNTIF($E$2:$E38,$E38)=1,1,0))</f>
        <v/>
      </c>
      <c r="AP38">
        <f>IF($AO38=1,SUMPRODUCT(--($AS$2:$AS$1001&lt;$AS38))+1,"")</f>
        <v/>
      </c>
      <c r="AQ38">
        <f>IF($E38="","",IF(OR($V38=TRUE(),$V38="TRUE"),1,0))</f>
        <v/>
      </c>
      <c r="AR38">
        <f>IF($E38="","",IF($AE38="Yes",1,0))</f>
        <v/>
      </c>
      <c r="AS38">
        <f>IF($AO38=1,IFERROR(IF(VALUE($E38)&lt;100000000,VALUE($E38),1000000000),IFERROR(IF(VALUE(MID($E38,2,20))&lt;100000000,VALUE(MID($E38,2,20)),1000000000),1000000000))+ROW()/100000,"")</f>
        <v/>
      </c>
    </row>
    <row r="39">
      <c r="D39">
        <f>IF($E39="","",IFERROR(IF(INDEX('Per Invoice'!$A$2:$A$301,MATCH($E39,'Per Invoice'!$B$2:$B$301,0))=0,"",INDEX('Per Invoice'!$A$2:$A$301,MATCH($E39,'Per Invoice'!$B$2:$B$301,0))),""))</f>
        <v/>
      </c>
      <c r="H39" s="11" t="n"/>
      <c r="R39" s="7">
        <f>IF($E39="","",Q39*Z39/100)</f>
        <v/>
      </c>
      <c r="S39" s="7" t="n"/>
      <c r="Y39" s="7" t="n"/>
      <c r="Z39" s="7" t="n"/>
      <c r="AA39" s="7">
        <f>IF($E39="","",Z39*AF39/100)</f>
        <v/>
      </c>
      <c r="AB39" s="7">
        <f>IF($E39="","",Z39-AA39)</f>
        <v/>
      </c>
      <c r="AC39" s="7">
        <f>IF($E39="","",AB39-R39)</f>
        <v/>
      </c>
      <c r="AF39">
        <f>IF($E39="","",IF($AR39=1,0,IF($AQ39=1,Settings!$C$6,Settings!$C$7))*100)</f>
        <v/>
      </c>
      <c r="AJ39" s="7" t="n"/>
      <c r="AM39" s="11" t="n"/>
      <c r="AO39">
        <f>IF($E39="","",IF(COUNTIF($E$2:$E39,$E39)=1,1,0))</f>
        <v/>
      </c>
      <c r="AP39">
        <f>IF($AO39=1,SUMPRODUCT(--($AS$2:$AS$1001&lt;$AS39))+1,"")</f>
        <v/>
      </c>
      <c r="AQ39">
        <f>IF($E39="","",IF(OR($V39=TRUE(),$V39="TRUE"),1,0))</f>
        <v/>
      </c>
      <c r="AR39">
        <f>IF($E39="","",IF($AE39="Yes",1,0))</f>
        <v/>
      </c>
      <c r="AS39">
        <f>IF($AO39=1,IFERROR(IF(VALUE($E39)&lt;100000000,VALUE($E39),1000000000),IFERROR(IF(VALUE(MID($E39,2,20))&lt;100000000,VALUE(MID($E39,2,20)),1000000000),1000000000))+ROW()/100000,"")</f>
        <v/>
      </c>
    </row>
    <row r="40">
      <c r="D40">
        <f>IF($E40="","",IFERROR(IF(INDEX('Per Invoice'!$A$2:$A$301,MATCH($E40,'Per Invoice'!$B$2:$B$301,0))=0,"",INDEX('Per Invoice'!$A$2:$A$301,MATCH($E40,'Per Invoice'!$B$2:$B$301,0))),""))</f>
        <v/>
      </c>
      <c r="H40" s="11" t="n"/>
      <c r="R40" s="7">
        <f>IF($E40="","",Q40*Z40/100)</f>
        <v/>
      </c>
      <c r="S40" s="7" t="n"/>
      <c r="Y40" s="7" t="n"/>
      <c r="Z40" s="7" t="n"/>
      <c r="AA40" s="7">
        <f>IF($E40="","",Z40*AF40/100)</f>
        <v/>
      </c>
      <c r="AB40" s="7">
        <f>IF($E40="","",Z40-AA40)</f>
        <v/>
      </c>
      <c r="AC40" s="7">
        <f>IF($E40="","",AB40-R40)</f>
        <v/>
      </c>
      <c r="AF40">
        <f>IF($E40="","",IF($AR40=1,0,IF($AQ40=1,Settings!$C$6,Settings!$C$7))*100)</f>
        <v/>
      </c>
      <c r="AJ40" s="7" t="n"/>
      <c r="AM40" s="11" t="n"/>
      <c r="AO40">
        <f>IF($E40="","",IF(COUNTIF($E$2:$E40,$E40)=1,1,0))</f>
        <v/>
      </c>
      <c r="AP40">
        <f>IF($AO40=1,SUMPRODUCT(--($AS$2:$AS$1001&lt;$AS40))+1,"")</f>
        <v/>
      </c>
      <c r="AQ40">
        <f>IF($E40="","",IF(OR($V40=TRUE(),$V40="TRUE"),1,0))</f>
        <v/>
      </c>
      <c r="AR40">
        <f>IF($E40="","",IF($AE40="Yes",1,0))</f>
        <v/>
      </c>
      <c r="AS40">
        <f>IF($AO40=1,IFERROR(IF(VALUE($E40)&lt;100000000,VALUE($E40),1000000000),IFERROR(IF(VALUE(MID($E40,2,20))&lt;100000000,VALUE(MID($E40,2,20)),1000000000),1000000000))+ROW()/100000,"")</f>
        <v/>
      </c>
    </row>
    <row r="41">
      <c r="D41">
        <f>IF($E41="","",IFERROR(IF(INDEX('Per Invoice'!$A$2:$A$301,MATCH($E41,'Per Invoice'!$B$2:$B$301,0))=0,"",INDEX('Per Invoice'!$A$2:$A$301,MATCH($E41,'Per Invoice'!$B$2:$B$301,0))),""))</f>
        <v/>
      </c>
      <c r="H41" s="11" t="n"/>
      <c r="R41" s="7">
        <f>IF($E41="","",Q41*Z41/100)</f>
        <v/>
      </c>
      <c r="S41" s="7" t="n"/>
      <c r="Y41" s="7" t="n"/>
      <c r="Z41" s="7" t="n"/>
      <c r="AA41" s="7">
        <f>IF($E41="","",Z41*AF41/100)</f>
        <v/>
      </c>
      <c r="AB41" s="7">
        <f>IF($E41="","",Z41-AA41)</f>
        <v/>
      </c>
      <c r="AC41" s="7">
        <f>IF($E41="","",AB41-R41)</f>
        <v/>
      </c>
      <c r="AF41">
        <f>IF($E41="","",IF($AR41=1,0,IF($AQ41=1,Settings!$C$6,Settings!$C$7))*100)</f>
        <v/>
      </c>
      <c r="AJ41" s="7" t="n"/>
      <c r="AM41" s="11" t="n"/>
      <c r="AO41">
        <f>IF($E41="","",IF(COUNTIF($E$2:$E41,$E41)=1,1,0))</f>
        <v/>
      </c>
      <c r="AP41">
        <f>IF($AO41=1,SUMPRODUCT(--($AS$2:$AS$1001&lt;$AS41))+1,"")</f>
        <v/>
      </c>
      <c r="AQ41">
        <f>IF($E41="","",IF(OR($V41=TRUE(),$V41="TRUE"),1,0))</f>
        <v/>
      </c>
      <c r="AR41">
        <f>IF($E41="","",IF($AE41="Yes",1,0))</f>
        <v/>
      </c>
      <c r="AS41">
        <f>IF($AO41=1,IFERROR(IF(VALUE($E41)&lt;100000000,VALUE($E41),1000000000),IFERROR(IF(VALUE(MID($E41,2,20))&lt;100000000,VALUE(MID($E41,2,20)),1000000000),1000000000))+ROW()/100000,"")</f>
        <v/>
      </c>
    </row>
    <row r="42">
      <c r="D42">
        <f>IF($E42="","",IFERROR(IF(INDEX('Per Invoice'!$A$2:$A$301,MATCH($E42,'Per Invoice'!$B$2:$B$301,0))=0,"",INDEX('Per Invoice'!$A$2:$A$301,MATCH($E42,'Per Invoice'!$B$2:$B$301,0))),""))</f>
        <v/>
      </c>
      <c r="H42" s="11" t="n"/>
      <c r="R42" s="7">
        <f>IF($E42="","",Q42*Z42/100)</f>
        <v/>
      </c>
      <c r="S42" s="7" t="n"/>
      <c r="Y42" s="7" t="n"/>
      <c r="Z42" s="7" t="n"/>
      <c r="AA42" s="7">
        <f>IF($E42="","",Z42*AF42/100)</f>
        <v/>
      </c>
      <c r="AB42" s="7">
        <f>IF($E42="","",Z42-AA42)</f>
        <v/>
      </c>
      <c r="AC42" s="7">
        <f>IF($E42="","",AB42-R42)</f>
        <v/>
      </c>
      <c r="AF42">
        <f>IF($E42="","",IF($AR42=1,0,IF($AQ42=1,Settings!$C$6,Settings!$C$7))*100)</f>
        <v/>
      </c>
      <c r="AJ42" s="7" t="n"/>
      <c r="AM42" s="11" t="n"/>
      <c r="AO42">
        <f>IF($E42="","",IF(COUNTIF($E$2:$E42,$E42)=1,1,0))</f>
        <v/>
      </c>
      <c r="AP42">
        <f>IF($AO42=1,SUMPRODUCT(--($AS$2:$AS$1001&lt;$AS42))+1,"")</f>
        <v/>
      </c>
      <c r="AQ42">
        <f>IF($E42="","",IF(OR($V42=TRUE(),$V42="TRUE"),1,0))</f>
        <v/>
      </c>
      <c r="AR42">
        <f>IF($E42="","",IF($AE42="Yes",1,0))</f>
        <v/>
      </c>
      <c r="AS42">
        <f>IF($AO42=1,IFERROR(IF(VALUE($E42)&lt;100000000,VALUE($E42),1000000000),IFERROR(IF(VALUE(MID($E42,2,20))&lt;100000000,VALUE(MID($E42,2,20)),1000000000),1000000000))+ROW()/100000,"")</f>
        <v/>
      </c>
    </row>
    <row r="43">
      <c r="D43">
        <f>IF($E43="","",IFERROR(IF(INDEX('Per Invoice'!$A$2:$A$301,MATCH($E43,'Per Invoice'!$B$2:$B$301,0))=0,"",INDEX('Per Invoice'!$A$2:$A$301,MATCH($E43,'Per Invoice'!$B$2:$B$301,0))),""))</f>
        <v/>
      </c>
      <c r="H43" s="11" t="n"/>
      <c r="R43" s="7">
        <f>IF($E43="","",Q43*Z43/100)</f>
        <v/>
      </c>
      <c r="S43" s="7" t="n"/>
      <c r="Y43" s="7" t="n"/>
      <c r="Z43" s="7" t="n"/>
      <c r="AA43" s="7">
        <f>IF($E43="","",Z43*AF43/100)</f>
        <v/>
      </c>
      <c r="AB43" s="7">
        <f>IF($E43="","",Z43-AA43)</f>
        <v/>
      </c>
      <c r="AC43" s="7">
        <f>IF($E43="","",AB43-R43)</f>
        <v/>
      </c>
      <c r="AF43">
        <f>IF($E43="","",IF($AR43=1,0,IF($AQ43=1,Settings!$C$6,Settings!$C$7))*100)</f>
        <v/>
      </c>
      <c r="AJ43" s="7" t="n"/>
      <c r="AM43" s="11" t="n"/>
      <c r="AO43">
        <f>IF($E43="","",IF(COUNTIF($E$2:$E43,$E43)=1,1,0))</f>
        <v/>
      </c>
      <c r="AP43">
        <f>IF($AO43=1,SUMPRODUCT(--($AS$2:$AS$1001&lt;$AS43))+1,"")</f>
        <v/>
      </c>
      <c r="AQ43">
        <f>IF($E43="","",IF(OR($V43=TRUE(),$V43="TRUE"),1,0))</f>
        <v/>
      </c>
      <c r="AR43">
        <f>IF($E43="","",IF($AE43="Yes",1,0))</f>
        <v/>
      </c>
      <c r="AS43">
        <f>IF($AO43=1,IFERROR(IF(VALUE($E43)&lt;100000000,VALUE($E43),1000000000),IFERROR(IF(VALUE(MID($E43,2,20))&lt;100000000,VALUE(MID($E43,2,20)),1000000000),1000000000))+ROW()/100000,"")</f>
        <v/>
      </c>
    </row>
    <row r="44">
      <c r="D44">
        <f>IF($E44="","",IFERROR(IF(INDEX('Per Invoice'!$A$2:$A$301,MATCH($E44,'Per Invoice'!$B$2:$B$301,0))=0,"",INDEX('Per Invoice'!$A$2:$A$301,MATCH($E44,'Per Invoice'!$B$2:$B$301,0))),""))</f>
        <v/>
      </c>
      <c r="H44" s="11" t="n"/>
      <c r="R44" s="7">
        <f>IF($E44="","",Q44*Z44/100)</f>
        <v/>
      </c>
      <c r="S44" s="7" t="n"/>
      <c r="Y44" s="7" t="n"/>
      <c r="Z44" s="7" t="n"/>
      <c r="AA44" s="7">
        <f>IF($E44="","",Z44*AF44/100)</f>
        <v/>
      </c>
      <c r="AB44" s="7">
        <f>IF($E44="","",Z44-AA44)</f>
        <v/>
      </c>
      <c r="AC44" s="7">
        <f>IF($E44="","",AB44-R44)</f>
        <v/>
      </c>
      <c r="AF44">
        <f>IF($E44="","",IF($AR44=1,0,IF($AQ44=1,Settings!$C$6,Settings!$C$7))*100)</f>
        <v/>
      </c>
      <c r="AJ44" s="7" t="n"/>
      <c r="AM44" s="11" t="n"/>
      <c r="AO44">
        <f>IF($E44="","",IF(COUNTIF($E$2:$E44,$E44)=1,1,0))</f>
        <v/>
      </c>
      <c r="AP44">
        <f>IF($AO44=1,SUMPRODUCT(--($AS$2:$AS$1001&lt;$AS44))+1,"")</f>
        <v/>
      </c>
      <c r="AQ44">
        <f>IF($E44="","",IF(OR($V44=TRUE(),$V44="TRUE"),1,0))</f>
        <v/>
      </c>
      <c r="AR44">
        <f>IF($E44="","",IF($AE44="Yes",1,0))</f>
        <v/>
      </c>
      <c r="AS44">
        <f>IF($AO44=1,IFERROR(IF(VALUE($E44)&lt;100000000,VALUE($E44),1000000000),IFERROR(IF(VALUE(MID($E44,2,20))&lt;100000000,VALUE(MID($E44,2,20)),1000000000),1000000000))+ROW()/100000,"")</f>
        <v/>
      </c>
    </row>
    <row r="45">
      <c r="D45">
        <f>IF($E45="","",IFERROR(IF(INDEX('Per Invoice'!$A$2:$A$301,MATCH($E45,'Per Invoice'!$B$2:$B$301,0))=0,"",INDEX('Per Invoice'!$A$2:$A$301,MATCH($E45,'Per Invoice'!$B$2:$B$301,0))),""))</f>
        <v/>
      </c>
      <c r="H45" s="11" t="n"/>
      <c r="R45" s="7">
        <f>IF($E45="","",Q45*Z45/100)</f>
        <v/>
      </c>
      <c r="S45" s="7" t="n"/>
      <c r="Y45" s="7" t="n"/>
      <c r="Z45" s="7" t="n"/>
      <c r="AA45" s="7">
        <f>IF($E45="","",Z45*AF45/100)</f>
        <v/>
      </c>
      <c r="AB45" s="7">
        <f>IF($E45="","",Z45-AA45)</f>
        <v/>
      </c>
      <c r="AC45" s="7">
        <f>IF($E45="","",AB45-R45)</f>
        <v/>
      </c>
      <c r="AF45">
        <f>IF($E45="","",IF($AR45=1,0,IF($AQ45=1,Settings!$C$6,Settings!$C$7))*100)</f>
        <v/>
      </c>
      <c r="AJ45" s="7" t="n"/>
      <c r="AM45" s="11" t="n"/>
      <c r="AO45">
        <f>IF($E45="","",IF(COUNTIF($E$2:$E45,$E45)=1,1,0))</f>
        <v/>
      </c>
      <c r="AP45">
        <f>IF($AO45=1,SUMPRODUCT(--($AS$2:$AS$1001&lt;$AS45))+1,"")</f>
        <v/>
      </c>
      <c r="AQ45">
        <f>IF($E45="","",IF(OR($V45=TRUE(),$V45="TRUE"),1,0))</f>
        <v/>
      </c>
      <c r="AR45">
        <f>IF($E45="","",IF($AE45="Yes",1,0))</f>
        <v/>
      </c>
      <c r="AS45">
        <f>IF($AO45=1,IFERROR(IF(VALUE($E45)&lt;100000000,VALUE($E45),1000000000),IFERROR(IF(VALUE(MID($E45,2,20))&lt;100000000,VALUE(MID($E45,2,20)),1000000000),1000000000))+ROW()/100000,"")</f>
        <v/>
      </c>
    </row>
    <row r="46">
      <c r="D46">
        <f>IF($E46="","",IFERROR(IF(INDEX('Per Invoice'!$A$2:$A$301,MATCH($E46,'Per Invoice'!$B$2:$B$301,0))=0,"",INDEX('Per Invoice'!$A$2:$A$301,MATCH($E46,'Per Invoice'!$B$2:$B$301,0))),""))</f>
        <v/>
      </c>
      <c r="H46" s="11" t="n"/>
      <c r="R46" s="7">
        <f>IF($E46="","",Q46*Z46/100)</f>
        <v/>
      </c>
      <c r="S46" s="7" t="n"/>
      <c r="Y46" s="7" t="n"/>
      <c r="Z46" s="7" t="n"/>
      <c r="AA46" s="7">
        <f>IF($E46="","",Z46*AF46/100)</f>
        <v/>
      </c>
      <c r="AB46" s="7">
        <f>IF($E46="","",Z46-AA46)</f>
        <v/>
      </c>
      <c r="AC46" s="7">
        <f>IF($E46="","",AB46-R46)</f>
        <v/>
      </c>
      <c r="AF46">
        <f>IF($E46="","",IF($AR46=1,0,IF($AQ46=1,Settings!$C$6,Settings!$C$7))*100)</f>
        <v/>
      </c>
      <c r="AJ46" s="7" t="n"/>
      <c r="AM46" s="11" t="n"/>
      <c r="AO46">
        <f>IF($E46="","",IF(COUNTIF($E$2:$E46,$E46)=1,1,0))</f>
        <v/>
      </c>
      <c r="AP46">
        <f>IF($AO46=1,SUMPRODUCT(--($AS$2:$AS$1001&lt;$AS46))+1,"")</f>
        <v/>
      </c>
      <c r="AQ46">
        <f>IF($E46="","",IF(OR($V46=TRUE(),$V46="TRUE"),1,0))</f>
        <v/>
      </c>
      <c r="AR46">
        <f>IF($E46="","",IF($AE46="Yes",1,0))</f>
        <v/>
      </c>
      <c r="AS46">
        <f>IF($AO46=1,IFERROR(IF(VALUE($E46)&lt;100000000,VALUE($E46),1000000000),IFERROR(IF(VALUE(MID($E46,2,20))&lt;100000000,VALUE(MID($E46,2,20)),1000000000),1000000000))+ROW()/100000,"")</f>
        <v/>
      </c>
    </row>
    <row r="47">
      <c r="D47">
        <f>IF($E47="","",IFERROR(IF(INDEX('Per Invoice'!$A$2:$A$301,MATCH($E47,'Per Invoice'!$B$2:$B$301,0))=0,"",INDEX('Per Invoice'!$A$2:$A$301,MATCH($E47,'Per Invoice'!$B$2:$B$301,0))),""))</f>
        <v/>
      </c>
      <c r="H47" s="11" t="n"/>
      <c r="R47" s="7">
        <f>IF($E47="","",Q47*Z47/100)</f>
        <v/>
      </c>
      <c r="S47" s="7" t="n"/>
      <c r="Y47" s="7" t="n"/>
      <c r="Z47" s="7" t="n"/>
      <c r="AA47" s="7">
        <f>IF($E47="","",Z47*AF47/100)</f>
        <v/>
      </c>
      <c r="AB47" s="7">
        <f>IF($E47="","",Z47-AA47)</f>
        <v/>
      </c>
      <c r="AC47" s="7">
        <f>IF($E47="","",AB47-R47)</f>
        <v/>
      </c>
      <c r="AF47">
        <f>IF($E47="","",IF($AR47=1,0,IF($AQ47=1,Settings!$C$6,Settings!$C$7))*100)</f>
        <v/>
      </c>
      <c r="AJ47" s="7" t="n"/>
      <c r="AM47" s="11" t="n"/>
      <c r="AO47">
        <f>IF($E47="","",IF(COUNTIF($E$2:$E47,$E47)=1,1,0))</f>
        <v/>
      </c>
      <c r="AP47">
        <f>IF($AO47=1,SUMPRODUCT(--($AS$2:$AS$1001&lt;$AS47))+1,"")</f>
        <v/>
      </c>
      <c r="AQ47">
        <f>IF($E47="","",IF(OR($V47=TRUE(),$V47="TRUE"),1,0))</f>
        <v/>
      </c>
      <c r="AR47">
        <f>IF($E47="","",IF($AE47="Yes",1,0))</f>
        <v/>
      </c>
      <c r="AS47">
        <f>IF($AO47=1,IFERROR(IF(VALUE($E47)&lt;100000000,VALUE($E47),1000000000),IFERROR(IF(VALUE(MID($E47,2,20))&lt;100000000,VALUE(MID($E47,2,20)),1000000000),1000000000))+ROW()/100000,"")</f>
        <v/>
      </c>
    </row>
    <row r="48">
      <c r="D48">
        <f>IF($E48="","",IFERROR(IF(INDEX('Per Invoice'!$A$2:$A$301,MATCH($E48,'Per Invoice'!$B$2:$B$301,0))=0,"",INDEX('Per Invoice'!$A$2:$A$301,MATCH($E48,'Per Invoice'!$B$2:$B$301,0))),""))</f>
        <v/>
      </c>
      <c r="H48" s="11" t="n"/>
      <c r="R48" s="7">
        <f>IF($E48="","",Q48*Z48/100)</f>
        <v/>
      </c>
      <c r="S48" s="7" t="n"/>
      <c r="Y48" s="7" t="n"/>
      <c r="Z48" s="7" t="n"/>
      <c r="AA48" s="7">
        <f>IF($E48="","",Z48*AF48/100)</f>
        <v/>
      </c>
      <c r="AB48" s="7">
        <f>IF($E48="","",Z48-AA48)</f>
        <v/>
      </c>
      <c r="AC48" s="7">
        <f>IF($E48="","",AB48-R48)</f>
        <v/>
      </c>
      <c r="AF48">
        <f>IF($E48="","",IF($AR48=1,0,IF($AQ48=1,Settings!$C$6,Settings!$C$7))*100)</f>
        <v/>
      </c>
      <c r="AJ48" s="7" t="n"/>
      <c r="AM48" s="11" t="n"/>
      <c r="AO48">
        <f>IF($E48="","",IF(COUNTIF($E$2:$E48,$E48)=1,1,0))</f>
        <v/>
      </c>
      <c r="AP48">
        <f>IF($AO48=1,SUMPRODUCT(--($AS$2:$AS$1001&lt;$AS48))+1,"")</f>
        <v/>
      </c>
      <c r="AQ48">
        <f>IF($E48="","",IF(OR($V48=TRUE(),$V48="TRUE"),1,0))</f>
        <v/>
      </c>
      <c r="AR48">
        <f>IF($E48="","",IF($AE48="Yes",1,0))</f>
        <v/>
      </c>
      <c r="AS48">
        <f>IF($AO48=1,IFERROR(IF(VALUE($E48)&lt;100000000,VALUE($E48),1000000000),IFERROR(IF(VALUE(MID($E48,2,20))&lt;100000000,VALUE(MID($E48,2,20)),1000000000),1000000000))+ROW()/100000,"")</f>
        <v/>
      </c>
    </row>
    <row r="49">
      <c r="D49">
        <f>IF($E49="","",IFERROR(IF(INDEX('Per Invoice'!$A$2:$A$301,MATCH($E49,'Per Invoice'!$B$2:$B$301,0))=0,"",INDEX('Per Invoice'!$A$2:$A$301,MATCH($E49,'Per Invoice'!$B$2:$B$301,0))),""))</f>
        <v/>
      </c>
      <c r="H49" s="11" t="n"/>
      <c r="R49" s="7">
        <f>IF($E49="","",Q49*Z49/100)</f>
        <v/>
      </c>
      <c r="S49" s="7" t="n"/>
      <c r="Y49" s="7" t="n"/>
      <c r="Z49" s="7" t="n"/>
      <c r="AA49" s="7">
        <f>IF($E49="","",Z49*AF49/100)</f>
        <v/>
      </c>
      <c r="AB49" s="7">
        <f>IF($E49="","",Z49-AA49)</f>
        <v/>
      </c>
      <c r="AC49" s="7">
        <f>IF($E49="","",AB49-R49)</f>
        <v/>
      </c>
      <c r="AF49">
        <f>IF($E49="","",IF($AR49=1,0,IF($AQ49=1,Settings!$C$6,Settings!$C$7))*100)</f>
        <v/>
      </c>
      <c r="AJ49" s="7" t="n"/>
      <c r="AM49" s="11" t="n"/>
      <c r="AO49">
        <f>IF($E49="","",IF(COUNTIF($E$2:$E49,$E49)=1,1,0))</f>
        <v/>
      </c>
      <c r="AP49">
        <f>IF($AO49=1,SUMPRODUCT(--($AS$2:$AS$1001&lt;$AS49))+1,"")</f>
        <v/>
      </c>
      <c r="AQ49">
        <f>IF($E49="","",IF(OR($V49=TRUE(),$V49="TRUE"),1,0))</f>
        <v/>
      </c>
      <c r="AR49">
        <f>IF($E49="","",IF($AE49="Yes",1,0))</f>
        <v/>
      </c>
      <c r="AS49">
        <f>IF($AO49=1,IFERROR(IF(VALUE($E49)&lt;100000000,VALUE($E49),1000000000),IFERROR(IF(VALUE(MID($E49,2,20))&lt;100000000,VALUE(MID($E49,2,20)),1000000000),1000000000))+ROW()/100000,"")</f>
        <v/>
      </c>
    </row>
    <row r="50">
      <c r="D50">
        <f>IF($E50="","",IFERROR(IF(INDEX('Per Invoice'!$A$2:$A$301,MATCH($E50,'Per Invoice'!$B$2:$B$301,0))=0,"",INDEX('Per Invoice'!$A$2:$A$301,MATCH($E50,'Per Invoice'!$B$2:$B$301,0))),""))</f>
        <v/>
      </c>
      <c r="H50" s="11" t="n"/>
      <c r="R50" s="7">
        <f>IF($E50="","",Q50*Z50/100)</f>
        <v/>
      </c>
      <c r="S50" s="7" t="n"/>
      <c r="Y50" s="7" t="n"/>
      <c r="Z50" s="7" t="n"/>
      <c r="AA50" s="7">
        <f>IF($E50="","",Z50*AF50/100)</f>
        <v/>
      </c>
      <c r="AB50" s="7">
        <f>IF($E50="","",Z50-AA50)</f>
        <v/>
      </c>
      <c r="AC50" s="7">
        <f>IF($E50="","",AB50-R50)</f>
        <v/>
      </c>
      <c r="AF50">
        <f>IF($E50="","",IF($AR50=1,0,IF($AQ50=1,Settings!$C$6,Settings!$C$7))*100)</f>
        <v/>
      </c>
      <c r="AJ50" s="7" t="n"/>
      <c r="AM50" s="11" t="n"/>
      <c r="AO50">
        <f>IF($E50="","",IF(COUNTIF($E$2:$E50,$E50)=1,1,0))</f>
        <v/>
      </c>
      <c r="AP50">
        <f>IF($AO50=1,SUMPRODUCT(--($AS$2:$AS$1001&lt;$AS50))+1,"")</f>
        <v/>
      </c>
      <c r="AQ50">
        <f>IF($E50="","",IF(OR($V50=TRUE(),$V50="TRUE"),1,0))</f>
        <v/>
      </c>
      <c r="AR50">
        <f>IF($E50="","",IF($AE50="Yes",1,0))</f>
        <v/>
      </c>
      <c r="AS50">
        <f>IF($AO50=1,IFERROR(IF(VALUE($E50)&lt;100000000,VALUE($E50),1000000000),IFERROR(IF(VALUE(MID($E50,2,20))&lt;100000000,VALUE(MID($E50,2,20)),1000000000),1000000000))+ROW()/100000,"")</f>
        <v/>
      </c>
    </row>
    <row r="51">
      <c r="D51">
        <f>IF($E51="","",IFERROR(IF(INDEX('Per Invoice'!$A$2:$A$301,MATCH($E51,'Per Invoice'!$B$2:$B$301,0))=0,"",INDEX('Per Invoice'!$A$2:$A$301,MATCH($E51,'Per Invoice'!$B$2:$B$301,0))),""))</f>
        <v/>
      </c>
      <c r="H51" s="11" t="n"/>
      <c r="R51" s="7">
        <f>IF($E51="","",Q51*Z51/100)</f>
        <v/>
      </c>
      <c r="S51" s="7" t="n"/>
      <c r="Y51" s="7" t="n"/>
      <c r="Z51" s="7" t="n"/>
      <c r="AA51" s="7">
        <f>IF($E51="","",Z51*AF51/100)</f>
        <v/>
      </c>
      <c r="AB51" s="7">
        <f>IF($E51="","",Z51-AA51)</f>
        <v/>
      </c>
      <c r="AC51" s="7">
        <f>IF($E51="","",AB51-R51)</f>
        <v/>
      </c>
      <c r="AF51">
        <f>IF($E51="","",IF($AR51=1,0,IF($AQ51=1,Settings!$C$6,Settings!$C$7))*100)</f>
        <v/>
      </c>
      <c r="AJ51" s="7" t="n"/>
      <c r="AM51" s="11" t="n"/>
      <c r="AO51">
        <f>IF($E51="","",IF(COUNTIF($E$2:$E51,$E51)=1,1,0))</f>
        <v/>
      </c>
      <c r="AP51">
        <f>IF($AO51=1,SUMPRODUCT(--($AS$2:$AS$1001&lt;$AS51))+1,"")</f>
        <v/>
      </c>
      <c r="AQ51">
        <f>IF($E51="","",IF(OR($V51=TRUE(),$V51="TRUE"),1,0))</f>
        <v/>
      </c>
      <c r="AR51">
        <f>IF($E51="","",IF($AE51="Yes",1,0))</f>
        <v/>
      </c>
      <c r="AS51">
        <f>IF($AO51=1,IFERROR(IF(VALUE($E51)&lt;100000000,VALUE($E51),1000000000),IFERROR(IF(VALUE(MID($E51,2,20))&lt;100000000,VALUE(MID($E51,2,20)),1000000000),1000000000))+ROW()/100000,"")</f>
        <v/>
      </c>
    </row>
    <row r="52">
      <c r="D52">
        <f>IF($E52="","",IFERROR(IF(INDEX('Per Invoice'!$A$2:$A$301,MATCH($E52,'Per Invoice'!$B$2:$B$301,0))=0,"",INDEX('Per Invoice'!$A$2:$A$301,MATCH($E52,'Per Invoice'!$B$2:$B$301,0))),""))</f>
        <v/>
      </c>
      <c r="H52" s="11" t="n"/>
      <c r="R52" s="7">
        <f>IF($E52="","",Q52*Z52/100)</f>
        <v/>
      </c>
      <c r="S52" s="7" t="n"/>
      <c r="Y52" s="7" t="n"/>
      <c r="Z52" s="7" t="n"/>
      <c r="AA52" s="7">
        <f>IF($E52="","",Z52*AF52/100)</f>
        <v/>
      </c>
      <c r="AB52" s="7">
        <f>IF($E52="","",Z52-AA52)</f>
        <v/>
      </c>
      <c r="AC52" s="7">
        <f>IF($E52="","",AB52-R52)</f>
        <v/>
      </c>
      <c r="AF52">
        <f>IF($E52="","",IF($AR52=1,0,IF($AQ52=1,Settings!$C$6,Settings!$C$7))*100)</f>
        <v/>
      </c>
      <c r="AJ52" s="7" t="n"/>
      <c r="AM52" s="11" t="n"/>
      <c r="AO52">
        <f>IF($E52="","",IF(COUNTIF($E$2:$E52,$E52)=1,1,0))</f>
        <v/>
      </c>
      <c r="AP52">
        <f>IF($AO52=1,SUMPRODUCT(--($AS$2:$AS$1001&lt;$AS52))+1,"")</f>
        <v/>
      </c>
      <c r="AQ52">
        <f>IF($E52="","",IF(OR($V52=TRUE(),$V52="TRUE"),1,0))</f>
        <v/>
      </c>
      <c r="AR52">
        <f>IF($E52="","",IF($AE52="Yes",1,0))</f>
        <v/>
      </c>
      <c r="AS52">
        <f>IF($AO52=1,IFERROR(IF(VALUE($E52)&lt;100000000,VALUE($E52),1000000000),IFERROR(IF(VALUE(MID($E52,2,20))&lt;100000000,VALUE(MID($E52,2,20)),1000000000),1000000000))+ROW()/100000,"")</f>
        <v/>
      </c>
    </row>
    <row r="53">
      <c r="D53">
        <f>IF($E53="","",IFERROR(IF(INDEX('Per Invoice'!$A$2:$A$301,MATCH($E53,'Per Invoice'!$B$2:$B$301,0))=0,"",INDEX('Per Invoice'!$A$2:$A$301,MATCH($E53,'Per Invoice'!$B$2:$B$301,0))),""))</f>
        <v/>
      </c>
      <c r="H53" s="11" t="n"/>
      <c r="R53" s="7">
        <f>IF($E53="","",Q53*Z53/100)</f>
        <v/>
      </c>
      <c r="S53" s="7" t="n"/>
      <c r="Y53" s="7" t="n"/>
      <c r="Z53" s="7" t="n"/>
      <c r="AA53" s="7">
        <f>IF($E53="","",Z53*AF53/100)</f>
        <v/>
      </c>
      <c r="AB53" s="7">
        <f>IF($E53="","",Z53-AA53)</f>
        <v/>
      </c>
      <c r="AC53" s="7">
        <f>IF($E53="","",AB53-R53)</f>
        <v/>
      </c>
      <c r="AF53">
        <f>IF($E53="","",IF($AR53=1,0,IF($AQ53=1,Settings!$C$6,Settings!$C$7))*100)</f>
        <v/>
      </c>
      <c r="AJ53" s="7" t="n"/>
      <c r="AM53" s="11" t="n"/>
      <c r="AO53">
        <f>IF($E53="","",IF(COUNTIF($E$2:$E53,$E53)=1,1,0))</f>
        <v/>
      </c>
      <c r="AP53">
        <f>IF($AO53=1,SUMPRODUCT(--($AS$2:$AS$1001&lt;$AS53))+1,"")</f>
        <v/>
      </c>
      <c r="AQ53">
        <f>IF($E53="","",IF(OR($V53=TRUE(),$V53="TRUE"),1,0))</f>
        <v/>
      </c>
      <c r="AR53">
        <f>IF($E53="","",IF($AE53="Yes",1,0))</f>
        <v/>
      </c>
      <c r="AS53">
        <f>IF($AO53=1,IFERROR(IF(VALUE($E53)&lt;100000000,VALUE($E53),1000000000),IFERROR(IF(VALUE(MID($E53,2,20))&lt;100000000,VALUE(MID($E53,2,20)),1000000000),1000000000))+ROW()/100000,"")</f>
        <v/>
      </c>
    </row>
    <row r="54">
      <c r="D54">
        <f>IF($E54="","",IFERROR(IF(INDEX('Per Invoice'!$A$2:$A$301,MATCH($E54,'Per Invoice'!$B$2:$B$301,0))=0,"",INDEX('Per Invoice'!$A$2:$A$301,MATCH($E54,'Per Invoice'!$B$2:$B$301,0))),""))</f>
        <v/>
      </c>
      <c r="H54" s="11" t="n"/>
      <c r="R54" s="7">
        <f>IF($E54="","",Q54*Z54/100)</f>
        <v/>
      </c>
      <c r="S54" s="7" t="n"/>
      <c r="Y54" s="7" t="n"/>
      <c r="Z54" s="7" t="n"/>
      <c r="AA54" s="7">
        <f>IF($E54="","",Z54*AF54/100)</f>
        <v/>
      </c>
      <c r="AB54" s="7">
        <f>IF($E54="","",Z54-AA54)</f>
        <v/>
      </c>
      <c r="AC54" s="7">
        <f>IF($E54="","",AB54-R54)</f>
        <v/>
      </c>
      <c r="AF54">
        <f>IF($E54="","",IF($AR54=1,0,IF($AQ54=1,Settings!$C$6,Settings!$C$7))*100)</f>
        <v/>
      </c>
      <c r="AJ54" s="7" t="n"/>
      <c r="AM54" s="11" t="n"/>
      <c r="AO54">
        <f>IF($E54="","",IF(COUNTIF($E$2:$E54,$E54)=1,1,0))</f>
        <v/>
      </c>
      <c r="AP54">
        <f>IF($AO54=1,SUMPRODUCT(--($AS$2:$AS$1001&lt;$AS54))+1,"")</f>
        <v/>
      </c>
      <c r="AQ54">
        <f>IF($E54="","",IF(OR($V54=TRUE(),$V54="TRUE"),1,0))</f>
        <v/>
      </c>
      <c r="AR54">
        <f>IF($E54="","",IF($AE54="Yes",1,0))</f>
        <v/>
      </c>
      <c r="AS54">
        <f>IF($AO54=1,IFERROR(IF(VALUE($E54)&lt;100000000,VALUE($E54),1000000000),IFERROR(IF(VALUE(MID($E54,2,20))&lt;100000000,VALUE(MID($E54,2,20)),1000000000),1000000000))+ROW()/100000,"")</f>
        <v/>
      </c>
    </row>
    <row r="55">
      <c r="D55">
        <f>IF($E55="","",IFERROR(IF(INDEX('Per Invoice'!$A$2:$A$301,MATCH($E55,'Per Invoice'!$B$2:$B$301,0))=0,"",INDEX('Per Invoice'!$A$2:$A$301,MATCH($E55,'Per Invoice'!$B$2:$B$301,0))),""))</f>
        <v/>
      </c>
      <c r="H55" s="11" t="n"/>
      <c r="R55" s="7">
        <f>IF($E55="","",Q55*Z55/100)</f>
        <v/>
      </c>
      <c r="S55" s="7" t="n"/>
      <c r="Y55" s="7" t="n"/>
      <c r="Z55" s="7" t="n"/>
      <c r="AA55" s="7">
        <f>IF($E55="","",Z55*AF55/100)</f>
        <v/>
      </c>
      <c r="AB55" s="7">
        <f>IF($E55="","",Z55-AA55)</f>
        <v/>
      </c>
      <c r="AC55" s="7">
        <f>IF($E55="","",AB55-R55)</f>
        <v/>
      </c>
      <c r="AF55">
        <f>IF($E55="","",IF($AR55=1,0,IF($AQ55=1,Settings!$C$6,Settings!$C$7))*100)</f>
        <v/>
      </c>
      <c r="AJ55" s="7" t="n"/>
      <c r="AM55" s="11" t="n"/>
      <c r="AO55">
        <f>IF($E55="","",IF(COUNTIF($E$2:$E55,$E55)=1,1,0))</f>
        <v/>
      </c>
      <c r="AP55">
        <f>IF($AO55=1,SUMPRODUCT(--($AS$2:$AS$1001&lt;$AS55))+1,"")</f>
        <v/>
      </c>
      <c r="AQ55">
        <f>IF($E55="","",IF(OR($V55=TRUE(),$V55="TRUE"),1,0))</f>
        <v/>
      </c>
      <c r="AR55">
        <f>IF($E55="","",IF($AE55="Yes",1,0))</f>
        <v/>
      </c>
      <c r="AS55">
        <f>IF($AO55=1,IFERROR(IF(VALUE($E55)&lt;100000000,VALUE($E55),1000000000),IFERROR(IF(VALUE(MID($E55,2,20))&lt;100000000,VALUE(MID($E55,2,20)),1000000000),1000000000))+ROW()/100000,"")</f>
        <v/>
      </c>
    </row>
    <row r="56">
      <c r="D56">
        <f>IF($E56="","",IFERROR(IF(INDEX('Per Invoice'!$A$2:$A$301,MATCH($E56,'Per Invoice'!$B$2:$B$301,0))=0,"",INDEX('Per Invoice'!$A$2:$A$301,MATCH($E56,'Per Invoice'!$B$2:$B$301,0))),""))</f>
        <v/>
      </c>
      <c r="H56" s="11" t="n"/>
      <c r="R56" s="7">
        <f>IF($E56="","",Q56*Z56/100)</f>
        <v/>
      </c>
      <c r="S56" s="7" t="n"/>
      <c r="Y56" s="7" t="n"/>
      <c r="Z56" s="7" t="n"/>
      <c r="AA56" s="7">
        <f>IF($E56="","",Z56*AF56/100)</f>
        <v/>
      </c>
      <c r="AB56" s="7">
        <f>IF($E56="","",Z56-AA56)</f>
        <v/>
      </c>
      <c r="AC56" s="7">
        <f>IF($E56="","",AB56-R56)</f>
        <v/>
      </c>
      <c r="AF56">
        <f>IF($E56="","",IF($AR56=1,0,IF($AQ56=1,Settings!$C$6,Settings!$C$7))*100)</f>
        <v/>
      </c>
      <c r="AJ56" s="7" t="n"/>
      <c r="AM56" s="11" t="n"/>
      <c r="AO56">
        <f>IF($E56="","",IF(COUNTIF($E$2:$E56,$E56)=1,1,0))</f>
        <v/>
      </c>
      <c r="AP56">
        <f>IF($AO56=1,SUMPRODUCT(--($AS$2:$AS$1001&lt;$AS56))+1,"")</f>
        <v/>
      </c>
      <c r="AQ56">
        <f>IF($E56="","",IF(OR($V56=TRUE(),$V56="TRUE"),1,0))</f>
        <v/>
      </c>
      <c r="AR56">
        <f>IF($E56="","",IF($AE56="Yes",1,0))</f>
        <v/>
      </c>
      <c r="AS56">
        <f>IF($AO56=1,IFERROR(IF(VALUE($E56)&lt;100000000,VALUE($E56),1000000000),IFERROR(IF(VALUE(MID($E56,2,20))&lt;100000000,VALUE(MID($E56,2,20)),1000000000),1000000000))+ROW()/100000,"")</f>
        <v/>
      </c>
    </row>
    <row r="57">
      <c r="D57">
        <f>IF($E57="","",IFERROR(IF(INDEX('Per Invoice'!$A$2:$A$301,MATCH($E57,'Per Invoice'!$B$2:$B$301,0))=0,"",INDEX('Per Invoice'!$A$2:$A$301,MATCH($E57,'Per Invoice'!$B$2:$B$301,0))),""))</f>
        <v/>
      </c>
      <c r="H57" s="11" t="n"/>
      <c r="R57" s="7">
        <f>IF($E57="","",Q57*Z57/100)</f>
        <v/>
      </c>
      <c r="S57" s="7" t="n"/>
      <c r="Y57" s="7" t="n"/>
      <c r="Z57" s="7" t="n"/>
      <c r="AA57" s="7">
        <f>IF($E57="","",Z57*AF57/100)</f>
        <v/>
      </c>
      <c r="AB57" s="7">
        <f>IF($E57="","",Z57-AA57)</f>
        <v/>
      </c>
      <c r="AC57" s="7">
        <f>IF($E57="","",AB57-R57)</f>
        <v/>
      </c>
      <c r="AF57">
        <f>IF($E57="","",IF($AR57=1,0,IF($AQ57=1,Settings!$C$6,Settings!$C$7))*100)</f>
        <v/>
      </c>
      <c r="AJ57" s="7" t="n"/>
      <c r="AM57" s="11" t="n"/>
      <c r="AO57">
        <f>IF($E57="","",IF(COUNTIF($E$2:$E57,$E57)=1,1,0))</f>
        <v/>
      </c>
      <c r="AP57">
        <f>IF($AO57=1,SUMPRODUCT(--($AS$2:$AS$1001&lt;$AS57))+1,"")</f>
        <v/>
      </c>
      <c r="AQ57">
        <f>IF($E57="","",IF(OR($V57=TRUE(),$V57="TRUE"),1,0))</f>
        <v/>
      </c>
      <c r="AR57">
        <f>IF($E57="","",IF($AE57="Yes",1,0))</f>
        <v/>
      </c>
      <c r="AS57">
        <f>IF($AO57=1,IFERROR(IF(VALUE($E57)&lt;100000000,VALUE($E57),1000000000),IFERROR(IF(VALUE(MID($E57,2,20))&lt;100000000,VALUE(MID($E57,2,20)),1000000000),1000000000))+ROW()/100000,"")</f>
        <v/>
      </c>
    </row>
    <row r="58">
      <c r="D58">
        <f>IF($E58="","",IFERROR(IF(INDEX('Per Invoice'!$A$2:$A$301,MATCH($E58,'Per Invoice'!$B$2:$B$301,0))=0,"",INDEX('Per Invoice'!$A$2:$A$301,MATCH($E58,'Per Invoice'!$B$2:$B$301,0))),""))</f>
        <v/>
      </c>
      <c r="H58" s="11" t="n"/>
      <c r="R58" s="7">
        <f>IF($E58="","",Q58*Z58/100)</f>
        <v/>
      </c>
      <c r="S58" s="7" t="n"/>
      <c r="Y58" s="7" t="n"/>
      <c r="Z58" s="7" t="n"/>
      <c r="AA58" s="7">
        <f>IF($E58="","",Z58*AF58/100)</f>
        <v/>
      </c>
      <c r="AB58" s="7">
        <f>IF($E58="","",Z58-AA58)</f>
        <v/>
      </c>
      <c r="AC58" s="7">
        <f>IF($E58="","",AB58-R58)</f>
        <v/>
      </c>
      <c r="AF58">
        <f>IF($E58="","",IF($AR58=1,0,IF($AQ58=1,Settings!$C$6,Settings!$C$7))*100)</f>
        <v/>
      </c>
      <c r="AJ58" s="7" t="n"/>
      <c r="AM58" s="11" t="n"/>
      <c r="AO58">
        <f>IF($E58="","",IF(COUNTIF($E$2:$E58,$E58)=1,1,0))</f>
        <v/>
      </c>
      <c r="AP58">
        <f>IF($AO58=1,SUMPRODUCT(--($AS$2:$AS$1001&lt;$AS58))+1,"")</f>
        <v/>
      </c>
      <c r="AQ58">
        <f>IF($E58="","",IF(OR($V58=TRUE(),$V58="TRUE"),1,0))</f>
        <v/>
      </c>
      <c r="AR58">
        <f>IF($E58="","",IF($AE58="Yes",1,0))</f>
        <v/>
      </c>
      <c r="AS58">
        <f>IF($AO58=1,IFERROR(IF(VALUE($E58)&lt;100000000,VALUE($E58),1000000000),IFERROR(IF(VALUE(MID($E58,2,20))&lt;100000000,VALUE(MID($E58,2,20)),1000000000),1000000000))+ROW()/100000,"")</f>
        <v/>
      </c>
    </row>
    <row r="59">
      <c r="D59">
        <f>IF($E59="","",IFERROR(IF(INDEX('Per Invoice'!$A$2:$A$301,MATCH($E59,'Per Invoice'!$B$2:$B$301,0))=0,"",INDEX('Per Invoice'!$A$2:$A$301,MATCH($E59,'Per Invoice'!$B$2:$B$301,0))),""))</f>
        <v/>
      </c>
      <c r="H59" s="11" t="n"/>
      <c r="R59" s="7">
        <f>IF($E59="","",Q59*Z59/100)</f>
        <v/>
      </c>
      <c r="S59" s="7" t="n"/>
      <c r="Y59" s="7" t="n"/>
      <c r="Z59" s="7" t="n"/>
      <c r="AA59" s="7">
        <f>IF($E59="","",Z59*AF59/100)</f>
        <v/>
      </c>
      <c r="AB59" s="7">
        <f>IF($E59="","",Z59-AA59)</f>
        <v/>
      </c>
      <c r="AC59" s="7">
        <f>IF($E59="","",AB59-R59)</f>
        <v/>
      </c>
      <c r="AF59">
        <f>IF($E59="","",IF($AR59=1,0,IF($AQ59=1,Settings!$C$6,Settings!$C$7))*100)</f>
        <v/>
      </c>
      <c r="AJ59" s="7" t="n"/>
      <c r="AM59" s="11" t="n"/>
      <c r="AO59">
        <f>IF($E59="","",IF(COUNTIF($E$2:$E59,$E59)=1,1,0))</f>
        <v/>
      </c>
      <c r="AP59">
        <f>IF($AO59=1,SUMPRODUCT(--($AS$2:$AS$1001&lt;$AS59))+1,"")</f>
        <v/>
      </c>
      <c r="AQ59">
        <f>IF($E59="","",IF(OR($V59=TRUE(),$V59="TRUE"),1,0))</f>
        <v/>
      </c>
      <c r="AR59">
        <f>IF($E59="","",IF($AE59="Yes",1,0))</f>
        <v/>
      </c>
      <c r="AS59">
        <f>IF($AO59=1,IFERROR(IF(VALUE($E59)&lt;100000000,VALUE($E59),1000000000),IFERROR(IF(VALUE(MID($E59,2,20))&lt;100000000,VALUE(MID($E59,2,20)),1000000000),1000000000))+ROW()/100000,"")</f>
        <v/>
      </c>
    </row>
    <row r="60">
      <c r="D60">
        <f>IF($E60="","",IFERROR(IF(INDEX('Per Invoice'!$A$2:$A$301,MATCH($E60,'Per Invoice'!$B$2:$B$301,0))=0,"",INDEX('Per Invoice'!$A$2:$A$301,MATCH($E60,'Per Invoice'!$B$2:$B$301,0))),""))</f>
        <v/>
      </c>
      <c r="H60" s="11" t="n"/>
      <c r="R60" s="7">
        <f>IF($E60="","",Q60*Z60/100)</f>
        <v/>
      </c>
      <c r="S60" s="7" t="n"/>
      <c r="Y60" s="7" t="n"/>
      <c r="Z60" s="7" t="n"/>
      <c r="AA60" s="7">
        <f>IF($E60="","",Z60*AF60/100)</f>
        <v/>
      </c>
      <c r="AB60" s="7">
        <f>IF($E60="","",Z60-AA60)</f>
        <v/>
      </c>
      <c r="AC60" s="7">
        <f>IF($E60="","",AB60-R60)</f>
        <v/>
      </c>
      <c r="AF60">
        <f>IF($E60="","",IF($AR60=1,0,IF($AQ60=1,Settings!$C$6,Settings!$C$7))*100)</f>
        <v/>
      </c>
      <c r="AJ60" s="7" t="n"/>
      <c r="AM60" s="11" t="n"/>
      <c r="AO60">
        <f>IF($E60="","",IF(COUNTIF($E$2:$E60,$E60)=1,1,0))</f>
        <v/>
      </c>
      <c r="AP60">
        <f>IF($AO60=1,SUMPRODUCT(--($AS$2:$AS$1001&lt;$AS60))+1,"")</f>
        <v/>
      </c>
      <c r="AQ60">
        <f>IF($E60="","",IF(OR($V60=TRUE(),$V60="TRUE"),1,0))</f>
        <v/>
      </c>
      <c r="AR60">
        <f>IF($E60="","",IF($AE60="Yes",1,0))</f>
        <v/>
      </c>
      <c r="AS60">
        <f>IF($AO60=1,IFERROR(IF(VALUE($E60)&lt;100000000,VALUE($E60),1000000000),IFERROR(IF(VALUE(MID($E60,2,20))&lt;100000000,VALUE(MID($E60,2,20)),1000000000),1000000000))+ROW()/100000,"")</f>
        <v/>
      </c>
    </row>
    <row r="61">
      <c r="D61">
        <f>IF($E61="","",IFERROR(IF(INDEX('Per Invoice'!$A$2:$A$301,MATCH($E61,'Per Invoice'!$B$2:$B$301,0))=0,"",INDEX('Per Invoice'!$A$2:$A$301,MATCH($E61,'Per Invoice'!$B$2:$B$301,0))),""))</f>
        <v/>
      </c>
      <c r="H61" s="11" t="n"/>
      <c r="R61" s="7">
        <f>IF($E61="","",Q61*Z61/100)</f>
        <v/>
      </c>
      <c r="S61" s="7" t="n"/>
      <c r="Y61" s="7" t="n"/>
      <c r="Z61" s="7" t="n"/>
      <c r="AA61" s="7">
        <f>IF($E61="","",Z61*AF61/100)</f>
        <v/>
      </c>
      <c r="AB61" s="7">
        <f>IF($E61="","",Z61-AA61)</f>
        <v/>
      </c>
      <c r="AC61" s="7">
        <f>IF($E61="","",AB61-R61)</f>
        <v/>
      </c>
      <c r="AF61">
        <f>IF($E61="","",IF($AR61=1,0,IF($AQ61=1,Settings!$C$6,Settings!$C$7))*100)</f>
        <v/>
      </c>
      <c r="AJ61" s="7" t="n"/>
      <c r="AM61" s="11" t="n"/>
      <c r="AO61">
        <f>IF($E61="","",IF(COUNTIF($E$2:$E61,$E61)=1,1,0))</f>
        <v/>
      </c>
      <c r="AP61">
        <f>IF($AO61=1,SUMPRODUCT(--($AS$2:$AS$1001&lt;$AS61))+1,"")</f>
        <v/>
      </c>
      <c r="AQ61">
        <f>IF($E61="","",IF(OR($V61=TRUE(),$V61="TRUE"),1,0))</f>
        <v/>
      </c>
      <c r="AR61">
        <f>IF($E61="","",IF($AE61="Yes",1,0))</f>
        <v/>
      </c>
      <c r="AS61">
        <f>IF($AO61=1,IFERROR(IF(VALUE($E61)&lt;100000000,VALUE($E61),1000000000),IFERROR(IF(VALUE(MID($E61,2,20))&lt;100000000,VALUE(MID($E61,2,20)),1000000000),1000000000))+ROW()/100000,"")</f>
        <v/>
      </c>
    </row>
    <row r="62">
      <c r="D62">
        <f>IF($E62="","",IFERROR(IF(INDEX('Per Invoice'!$A$2:$A$301,MATCH($E62,'Per Invoice'!$B$2:$B$301,0))=0,"",INDEX('Per Invoice'!$A$2:$A$301,MATCH($E62,'Per Invoice'!$B$2:$B$301,0))),""))</f>
        <v/>
      </c>
      <c r="H62" s="11" t="n"/>
      <c r="R62" s="7">
        <f>IF($E62="","",Q62*Z62/100)</f>
        <v/>
      </c>
      <c r="S62" s="7" t="n"/>
      <c r="Y62" s="7" t="n"/>
      <c r="Z62" s="7" t="n"/>
      <c r="AA62" s="7">
        <f>IF($E62="","",Z62*AF62/100)</f>
        <v/>
      </c>
      <c r="AB62" s="7">
        <f>IF($E62="","",Z62-AA62)</f>
        <v/>
      </c>
      <c r="AC62" s="7">
        <f>IF($E62="","",AB62-R62)</f>
        <v/>
      </c>
      <c r="AF62">
        <f>IF($E62="","",IF($AR62=1,0,IF($AQ62=1,Settings!$C$6,Settings!$C$7))*100)</f>
        <v/>
      </c>
      <c r="AJ62" s="7" t="n"/>
      <c r="AM62" s="11" t="n"/>
      <c r="AO62">
        <f>IF($E62="","",IF(COUNTIF($E$2:$E62,$E62)=1,1,0))</f>
        <v/>
      </c>
      <c r="AP62">
        <f>IF($AO62=1,SUMPRODUCT(--($AS$2:$AS$1001&lt;$AS62))+1,"")</f>
        <v/>
      </c>
      <c r="AQ62">
        <f>IF($E62="","",IF(OR($V62=TRUE(),$V62="TRUE"),1,0))</f>
        <v/>
      </c>
      <c r="AR62">
        <f>IF($E62="","",IF($AE62="Yes",1,0))</f>
        <v/>
      </c>
      <c r="AS62">
        <f>IF($AO62=1,IFERROR(IF(VALUE($E62)&lt;100000000,VALUE($E62),1000000000),IFERROR(IF(VALUE(MID($E62,2,20))&lt;100000000,VALUE(MID($E62,2,20)),1000000000),1000000000))+ROW()/100000,"")</f>
        <v/>
      </c>
    </row>
    <row r="63">
      <c r="D63">
        <f>IF($E63="","",IFERROR(IF(INDEX('Per Invoice'!$A$2:$A$301,MATCH($E63,'Per Invoice'!$B$2:$B$301,0))=0,"",INDEX('Per Invoice'!$A$2:$A$301,MATCH($E63,'Per Invoice'!$B$2:$B$301,0))),""))</f>
        <v/>
      </c>
      <c r="H63" s="11" t="n"/>
      <c r="R63" s="7">
        <f>IF($E63="","",Q63*Z63/100)</f>
        <v/>
      </c>
      <c r="S63" s="7" t="n"/>
      <c r="Y63" s="7" t="n"/>
      <c r="Z63" s="7" t="n"/>
      <c r="AA63" s="7">
        <f>IF($E63="","",Z63*AF63/100)</f>
        <v/>
      </c>
      <c r="AB63" s="7">
        <f>IF($E63="","",Z63-AA63)</f>
        <v/>
      </c>
      <c r="AC63" s="7">
        <f>IF($E63="","",AB63-R63)</f>
        <v/>
      </c>
      <c r="AF63">
        <f>IF($E63="","",IF($AR63=1,0,IF($AQ63=1,Settings!$C$6,Settings!$C$7))*100)</f>
        <v/>
      </c>
      <c r="AJ63" s="7" t="n"/>
      <c r="AM63" s="11" t="n"/>
      <c r="AO63">
        <f>IF($E63="","",IF(COUNTIF($E$2:$E63,$E63)=1,1,0))</f>
        <v/>
      </c>
      <c r="AP63">
        <f>IF($AO63=1,SUMPRODUCT(--($AS$2:$AS$1001&lt;$AS63))+1,"")</f>
        <v/>
      </c>
      <c r="AQ63">
        <f>IF($E63="","",IF(OR($V63=TRUE(),$V63="TRUE"),1,0))</f>
        <v/>
      </c>
      <c r="AR63">
        <f>IF($E63="","",IF($AE63="Yes",1,0))</f>
        <v/>
      </c>
      <c r="AS63">
        <f>IF($AO63=1,IFERROR(IF(VALUE($E63)&lt;100000000,VALUE($E63),1000000000),IFERROR(IF(VALUE(MID($E63,2,20))&lt;100000000,VALUE(MID($E63,2,20)),1000000000),1000000000))+ROW()/100000,"")</f>
        <v/>
      </c>
    </row>
    <row r="64">
      <c r="D64">
        <f>IF($E64="","",IFERROR(IF(INDEX('Per Invoice'!$A$2:$A$301,MATCH($E64,'Per Invoice'!$B$2:$B$301,0))=0,"",INDEX('Per Invoice'!$A$2:$A$301,MATCH($E64,'Per Invoice'!$B$2:$B$301,0))),""))</f>
        <v/>
      </c>
      <c r="H64" s="11" t="n"/>
      <c r="R64" s="7">
        <f>IF($E64="","",Q64*Z64/100)</f>
        <v/>
      </c>
      <c r="S64" s="7" t="n"/>
      <c r="Y64" s="7" t="n"/>
      <c r="Z64" s="7" t="n"/>
      <c r="AA64" s="7">
        <f>IF($E64="","",Z64*AF64/100)</f>
        <v/>
      </c>
      <c r="AB64" s="7">
        <f>IF($E64="","",Z64-AA64)</f>
        <v/>
      </c>
      <c r="AC64" s="7">
        <f>IF($E64="","",AB64-R64)</f>
        <v/>
      </c>
      <c r="AF64">
        <f>IF($E64="","",IF($AR64=1,0,IF($AQ64=1,Settings!$C$6,Settings!$C$7))*100)</f>
        <v/>
      </c>
      <c r="AJ64" s="7" t="n"/>
      <c r="AM64" s="11" t="n"/>
      <c r="AO64">
        <f>IF($E64="","",IF(COUNTIF($E$2:$E64,$E64)=1,1,0))</f>
        <v/>
      </c>
      <c r="AP64">
        <f>IF($AO64=1,SUMPRODUCT(--($AS$2:$AS$1001&lt;$AS64))+1,"")</f>
        <v/>
      </c>
      <c r="AQ64">
        <f>IF($E64="","",IF(OR($V64=TRUE(),$V64="TRUE"),1,0))</f>
        <v/>
      </c>
      <c r="AR64">
        <f>IF($E64="","",IF($AE64="Yes",1,0))</f>
        <v/>
      </c>
      <c r="AS64">
        <f>IF($AO64=1,IFERROR(IF(VALUE($E64)&lt;100000000,VALUE($E64),1000000000),IFERROR(IF(VALUE(MID($E64,2,20))&lt;100000000,VALUE(MID($E64,2,20)),1000000000),1000000000))+ROW()/100000,"")</f>
        <v/>
      </c>
    </row>
    <row r="65">
      <c r="D65">
        <f>IF($E65="","",IFERROR(IF(INDEX('Per Invoice'!$A$2:$A$301,MATCH($E65,'Per Invoice'!$B$2:$B$301,0))=0,"",INDEX('Per Invoice'!$A$2:$A$301,MATCH($E65,'Per Invoice'!$B$2:$B$301,0))),""))</f>
        <v/>
      </c>
      <c r="H65" s="11" t="n"/>
      <c r="R65" s="7">
        <f>IF($E65="","",Q65*Z65/100)</f>
        <v/>
      </c>
      <c r="S65" s="7" t="n"/>
      <c r="Y65" s="7" t="n"/>
      <c r="Z65" s="7" t="n"/>
      <c r="AA65" s="7">
        <f>IF($E65="","",Z65*AF65/100)</f>
        <v/>
      </c>
      <c r="AB65" s="7">
        <f>IF($E65="","",Z65-AA65)</f>
        <v/>
      </c>
      <c r="AC65" s="7">
        <f>IF($E65="","",AB65-R65)</f>
        <v/>
      </c>
      <c r="AF65">
        <f>IF($E65="","",IF($AR65=1,0,IF($AQ65=1,Settings!$C$6,Settings!$C$7))*100)</f>
        <v/>
      </c>
      <c r="AJ65" s="7" t="n"/>
      <c r="AM65" s="11" t="n"/>
      <c r="AO65">
        <f>IF($E65="","",IF(COUNTIF($E$2:$E65,$E65)=1,1,0))</f>
        <v/>
      </c>
      <c r="AP65">
        <f>IF($AO65=1,SUMPRODUCT(--($AS$2:$AS$1001&lt;$AS65))+1,"")</f>
        <v/>
      </c>
      <c r="AQ65">
        <f>IF($E65="","",IF(OR($V65=TRUE(),$V65="TRUE"),1,0))</f>
        <v/>
      </c>
      <c r="AR65">
        <f>IF($E65="","",IF($AE65="Yes",1,0))</f>
        <v/>
      </c>
      <c r="AS65">
        <f>IF($AO65=1,IFERROR(IF(VALUE($E65)&lt;100000000,VALUE($E65),1000000000),IFERROR(IF(VALUE(MID($E65,2,20))&lt;100000000,VALUE(MID($E65,2,20)),1000000000),1000000000))+ROW()/100000,"")</f>
        <v/>
      </c>
    </row>
    <row r="66">
      <c r="D66">
        <f>IF($E66="","",IFERROR(IF(INDEX('Per Invoice'!$A$2:$A$301,MATCH($E66,'Per Invoice'!$B$2:$B$301,0))=0,"",INDEX('Per Invoice'!$A$2:$A$301,MATCH($E66,'Per Invoice'!$B$2:$B$301,0))),""))</f>
        <v/>
      </c>
      <c r="H66" s="11" t="n"/>
      <c r="R66" s="7">
        <f>IF($E66="","",Q66*Z66/100)</f>
        <v/>
      </c>
      <c r="S66" s="7" t="n"/>
      <c r="Y66" s="7" t="n"/>
      <c r="Z66" s="7" t="n"/>
      <c r="AA66" s="7">
        <f>IF($E66="","",Z66*AF66/100)</f>
        <v/>
      </c>
      <c r="AB66" s="7">
        <f>IF($E66="","",Z66-AA66)</f>
        <v/>
      </c>
      <c r="AC66" s="7">
        <f>IF($E66="","",AB66-R66)</f>
        <v/>
      </c>
      <c r="AF66">
        <f>IF($E66="","",IF($AR66=1,0,IF($AQ66=1,Settings!$C$6,Settings!$C$7))*100)</f>
        <v/>
      </c>
      <c r="AJ66" s="7" t="n"/>
      <c r="AM66" s="11" t="n"/>
      <c r="AO66">
        <f>IF($E66="","",IF(COUNTIF($E$2:$E66,$E66)=1,1,0))</f>
        <v/>
      </c>
      <c r="AP66">
        <f>IF($AO66=1,SUMPRODUCT(--($AS$2:$AS$1001&lt;$AS66))+1,"")</f>
        <v/>
      </c>
      <c r="AQ66">
        <f>IF($E66="","",IF(OR($V66=TRUE(),$V66="TRUE"),1,0))</f>
        <v/>
      </c>
      <c r="AR66">
        <f>IF($E66="","",IF($AE66="Yes",1,0))</f>
        <v/>
      </c>
      <c r="AS66">
        <f>IF($AO66=1,IFERROR(IF(VALUE($E66)&lt;100000000,VALUE($E66),1000000000),IFERROR(IF(VALUE(MID($E66,2,20))&lt;100000000,VALUE(MID($E66,2,20)),1000000000),1000000000))+ROW()/100000,"")</f>
        <v/>
      </c>
    </row>
    <row r="67">
      <c r="D67">
        <f>IF($E67="","",IFERROR(IF(INDEX('Per Invoice'!$A$2:$A$301,MATCH($E67,'Per Invoice'!$B$2:$B$301,0))=0,"",INDEX('Per Invoice'!$A$2:$A$301,MATCH($E67,'Per Invoice'!$B$2:$B$301,0))),""))</f>
        <v/>
      </c>
      <c r="H67" s="11" t="n"/>
      <c r="R67" s="7">
        <f>IF($E67="","",Q67*Z67/100)</f>
        <v/>
      </c>
      <c r="S67" s="7" t="n"/>
      <c r="Y67" s="7" t="n"/>
      <c r="Z67" s="7" t="n"/>
      <c r="AA67" s="7">
        <f>IF($E67="","",Z67*AF67/100)</f>
        <v/>
      </c>
      <c r="AB67" s="7">
        <f>IF($E67="","",Z67-AA67)</f>
        <v/>
      </c>
      <c r="AC67" s="7">
        <f>IF($E67="","",AB67-R67)</f>
        <v/>
      </c>
      <c r="AF67">
        <f>IF($E67="","",IF($AR67=1,0,IF($AQ67=1,Settings!$C$6,Settings!$C$7))*100)</f>
        <v/>
      </c>
      <c r="AJ67" s="7" t="n"/>
      <c r="AM67" s="11" t="n"/>
      <c r="AO67">
        <f>IF($E67="","",IF(COUNTIF($E$2:$E67,$E67)=1,1,0))</f>
        <v/>
      </c>
      <c r="AP67">
        <f>IF($AO67=1,SUMPRODUCT(--($AS$2:$AS$1001&lt;$AS67))+1,"")</f>
        <v/>
      </c>
      <c r="AQ67">
        <f>IF($E67="","",IF(OR($V67=TRUE(),$V67="TRUE"),1,0))</f>
        <v/>
      </c>
      <c r="AR67">
        <f>IF($E67="","",IF($AE67="Yes",1,0))</f>
        <v/>
      </c>
      <c r="AS67">
        <f>IF($AO67=1,IFERROR(IF(VALUE($E67)&lt;100000000,VALUE($E67),1000000000),IFERROR(IF(VALUE(MID($E67,2,20))&lt;100000000,VALUE(MID($E67,2,20)),1000000000),1000000000))+ROW()/100000,"")</f>
        <v/>
      </c>
    </row>
    <row r="68">
      <c r="D68">
        <f>IF($E68="","",IFERROR(IF(INDEX('Per Invoice'!$A$2:$A$301,MATCH($E68,'Per Invoice'!$B$2:$B$301,0))=0,"",INDEX('Per Invoice'!$A$2:$A$301,MATCH($E68,'Per Invoice'!$B$2:$B$301,0))),""))</f>
        <v/>
      </c>
      <c r="H68" s="11" t="n"/>
      <c r="R68" s="7">
        <f>IF($E68="","",Q68*Z68/100)</f>
        <v/>
      </c>
      <c r="S68" s="7" t="n"/>
      <c r="Y68" s="7" t="n"/>
      <c r="Z68" s="7" t="n"/>
      <c r="AA68" s="7">
        <f>IF($E68="","",Z68*AF68/100)</f>
        <v/>
      </c>
      <c r="AB68" s="7">
        <f>IF($E68="","",Z68-AA68)</f>
        <v/>
      </c>
      <c r="AC68" s="7">
        <f>IF($E68="","",AB68-R68)</f>
        <v/>
      </c>
      <c r="AF68">
        <f>IF($E68="","",IF($AR68=1,0,IF($AQ68=1,Settings!$C$6,Settings!$C$7))*100)</f>
        <v/>
      </c>
      <c r="AJ68" s="7" t="n"/>
      <c r="AM68" s="11" t="n"/>
      <c r="AO68">
        <f>IF($E68="","",IF(COUNTIF($E$2:$E68,$E68)=1,1,0))</f>
        <v/>
      </c>
      <c r="AP68">
        <f>IF($AO68=1,SUMPRODUCT(--($AS$2:$AS$1001&lt;$AS68))+1,"")</f>
        <v/>
      </c>
      <c r="AQ68">
        <f>IF($E68="","",IF(OR($V68=TRUE(),$V68="TRUE"),1,0))</f>
        <v/>
      </c>
      <c r="AR68">
        <f>IF($E68="","",IF($AE68="Yes",1,0))</f>
        <v/>
      </c>
      <c r="AS68">
        <f>IF($AO68=1,IFERROR(IF(VALUE($E68)&lt;100000000,VALUE($E68),1000000000),IFERROR(IF(VALUE(MID($E68,2,20))&lt;100000000,VALUE(MID($E68,2,20)),1000000000),1000000000))+ROW()/100000,"")</f>
        <v/>
      </c>
    </row>
    <row r="69">
      <c r="D69">
        <f>IF($E69="","",IFERROR(IF(INDEX('Per Invoice'!$A$2:$A$301,MATCH($E69,'Per Invoice'!$B$2:$B$301,0))=0,"",INDEX('Per Invoice'!$A$2:$A$301,MATCH($E69,'Per Invoice'!$B$2:$B$301,0))),""))</f>
        <v/>
      </c>
      <c r="H69" s="11" t="n"/>
      <c r="R69" s="7">
        <f>IF($E69="","",Q69*Z69/100)</f>
        <v/>
      </c>
      <c r="S69" s="7" t="n"/>
      <c r="Y69" s="7" t="n"/>
      <c r="Z69" s="7" t="n"/>
      <c r="AA69" s="7">
        <f>IF($E69="","",Z69*AF69/100)</f>
        <v/>
      </c>
      <c r="AB69" s="7">
        <f>IF($E69="","",Z69-AA69)</f>
        <v/>
      </c>
      <c r="AC69" s="7">
        <f>IF($E69="","",AB69-R69)</f>
        <v/>
      </c>
      <c r="AF69">
        <f>IF($E69="","",IF($AR69=1,0,IF($AQ69=1,Settings!$C$6,Settings!$C$7))*100)</f>
        <v/>
      </c>
      <c r="AJ69" s="7" t="n"/>
      <c r="AM69" s="11" t="n"/>
      <c r="AO69">
        <f>IF($E69="","",IF(COUNTIF($E$2:$E69,$E69)=1,1,0))</f>
        <v/>
      </c>
      <c r="AP69">
        <f>IF($AO69=1,SUMPRODUCT(--($AS$2:$AS$1001&lt;$AS69))+1,"")</f>
        <v/>
      </c>
      <c r="AQ69">
        <f>IF($E69="","",IF(OR($V69=TRUE(),$V69="TRUE"),1,0))</f>
        <v/>
      </c>
      <c r="AR69">
        <f>IF($E69="","",IF($AE69="Yes",1,0))</f>
        <v/>
      </c>
      <c r="AS69">
        <f>IF($AO69=1,IFERROR(IF(VALUE($E69)&lt;100000000,VALUE($E69),1000000000),IFERROR(IF(VALUE(MID($E69,2,20))&lt;100000000,VALUE(MID($E69,2,20)),1000000000),1000000000))+ROW()/100000,"")</f>
        <v/>
      </c>
    </row>
    <row r="70">
      <c r="D70">
        <f>IF($E70="","",IFERROR(IF(INDEX('Per Invoice'!$A$2:$A$301,MATCH($E70,'Per Invoice'!$B$2:$B$301,0))=0,"",INDEX('Per Invoice'!$A$2:$A$301,MATCH($E70,'Per Invoice'!$B$2:$B$301,0))),""))</f>
        <v/>
      </c>
      <c r="H70" s="11" t="n"/>
      <c r="R70" s="7">
        <f>IF($E70="","",Q70*Z70/100)</f>
        <v/>
      </c>
      <c r="S70" s="7" t="n"/>
      <c r="Y70" s="7" t="n"/>
      <c r="Z70" s="7" t="n"/>
      <c r="AA70" s="7">
        <f>IF($E70="","",Z70*AF70/100)</f>
        <v/>
      </c>
      <c r="AB70" s="7">
        <f>IF($E70="","",Z70-AA70)</f>
        <v/>
      </c>
      <c r="AC70" s="7">
        <f>IF($E70="","",AB70-R70)</f>
        <v/>
      </c>
      <c r="AF70">
        <f>IF($E70="","",IF($AR70=1,0,IF($AQ70=1,Settings!$C$6,Settings!$C$7))*100)</f>
        <v/>
      </c>
      <c r="AJ70" s="7" t="n"/>
      <c r="AM70" s="11" t="n"/>
      <c r="AO70">
        <f>IF($E70="","",IF(COUNTIF($E$2:$E70,$E70)=1,1,0))</f>
        <v/>
      </c>
      <c r="AP70">
        <f>IF($AO70=1,SUMPRODUCT(--($AS$2:$AS$1001&lt;$AS70))+1,"")</f>
        <v/>
      </c>
      <c r="AQ70">
        <f>IF($E70="","",IF(OR($V70=TRUE(),$V70="TRUE"),1,0))</f>
        <v/>
      </c>
      <c r="AR70">
        <f>IF($E70="","",IF($AE70="Yes",1,0))</f>
        <v/>
      </c>
      <c r="AS70">
        <f>IF($AO70=1,IFERROR(IF(VALUE($E70)&lt;100000000,VALUE($E70),1000000000),IFERROR(IF(VALUE(MID($E70,2,20))&lt;100000000,VALUE(MID($E70,2,20)),1000000000),1000000000))+ROW()/100000,"")</f>
        <v/>
      </c>
    </row>
    <row r="71">
      <c r="D71">
        <f>IF($E71="","",IFERROR(IF(INDEX('Per Invoice'!$A$2:$A$301,MATCH($E71,'Per Invoice'!$B$2:$B$301,0))=0,"",INDEX('Per Invoice'!$A$2:$A$301,MATCH($E71,'Per Invoice'!$B$2:$B$301,0))),""))</f>
        <v/>
      </c>
      <c r="H71" s="11" t="n"/>
      <c r="R71" s="7">
        <f>IF($E71="","",Q71*Z71/100)</f>
        <v/>
      </c>
      <c r="S71" s="7" t="n"/>
      <c r="Y71" s="7" t="n"/>
      <c r="Z71" s="7" t="n"/>
      <c r="AA71" s="7">
        <f>IF($E71="","",Z71*AF71/100)</f>
        <v/>
      </c>
      <c r="AB71" s="7">
        <f>IF($E71="","",Z71-AA71)</f>
        <v/>
      </c>
      <c r="AC71" s="7">
        <f>IF($E71="","",AB71-R71)</f>
        <v/>
      </c>
      <c r="AF71">
        <f>IF($E71="","",IF($AR71=1,0,IF($AQ71=1,Settings!$C$6,Settings!$C$7))*100)</f>
        <v/>
      </c>
      <c r="AJ71" s="7" t="n"/>
      <c r="AM71" s="11" t="n"/>
      <c r="AO71">
        <f>IF($E71="","",IF(COUNTIF($E$2:$E71,$E71)=1,1,0))</f>
        <v/>
      </c>
      <c r="AP71">
        <f>IF($AO71=1,SUMPRODUCT(--($AS$2:$AS$1001&lt;$AS71))+1,"")</f>
        <v/>
      </c>
      <c r="AQ71">
        <f>IF($E71="","",IF(OR($V71=TRUE(),$V71="TRUE"),1,0))</f>
        <v/>
      </c>
      <c r="AR71">
        <f>IF($E71="","",IF($AE71="Yes",1,0))</f>
        <v/>
      </c>
      <c r="AS71">
        <f>IF($AO71=1,IFERROR(IF(VALUE($E71)&lt;100000000,VALUE($E71),1000000000),IFERROR(IF(VALUE(MID($E71,2,20))&lt;100000000,VALUE(MID($E71,2,20)),1000000000),1000000000))+ROW()/100000,"")</f>
        <v/>
      </c>
    </row>
    <row r="72">
      <c r="D72">
        <f>IF($E72="","",IFERROR(IF(INDEX('Per Invoice'!$A$2:$A$301,MATCH($E72,'Per Invoice'!$B$2:$B$301,0))=0,"",INDEX('Per Invoice'!$A$2:$A$301,MATCH($E72,'Per Invoice'!$B$2:$B$301,0))),""))</f>
        <v/>
      </c>
      <c r="H72" s="11" t="n"/>
      <c r="R72" s="7">
        <f>IF($E72="","",Q72*Z72/100)</f>
        <v/>
      </c>
      <c r="S72" s="7" t="n"/>
      <c r="Y72" s="7" t="n"/>
      <c r="Z72" s="7" t="n"/>
      <c r="AA72" s="7">
        <f>IF($E72="","",Z72*AF72/100)</f>
        <v/>
      </c>
      <c r="AB72" s="7">
        <f>IF($E72="","",Z72-AA72)</f>
        <v/>
      </c>
      <c r="AC72" s="7">
        <f>IF($E72="","",AB72-R72)</f>
        <v/>
      </c>
      <c r="AF72">
        <f>IF($E72="","",IF($AR72=1,0,IF($AQ72=1,Settings!$C$6,Settings!$C$7))*100)</f>
        <v/>
      </c>
      <c r="AJ72" s="7" t="n"/>
      <c r="AM72" s="11" t="n"/>
      <c r="AO72">
        <f>IF($E72="","",IF(COUNTIF($E$2:$E72,$E72)=1,1,0))</f>
        <v/>
      </c>
      <c r="AP72">
        <f>IF($AO72=1,SUMPRODUCT(--($AS$2:$AS$1001&lt;$AS72))+1,"")</f>
        <v/>
      </c>
      <c r="AQ72">
        <f>IF($E72="","",IF(OR($V72=TRUE(),$V72="TRUE"),1,0))</f>
        <v/>
      </c>
      <c r="AR72">
        <f>IF($E72="","",IF($AE72="Yes",1,0))</f>
        <v/>
      </c>
      <c r="AS72">
        <f>IF($AO72=1,IFERROR(IF(VALUE($E72)&lt;100000000,VALUE($E72),1000000000),IFERROR(IF(VALUE(MID($E72,2,20))&lt;100000000,VALUE(MID($E72,2,20)),1000000000),1000000000))+ROW()/100000,"")</f>
        <v/>
      </c>
    </row>
    <row r="73">
      <c r="D73">
        <f>IF($E73="","",IFERROR(IF(INDEX('Per Invoice'!$A$2:$A$301,MATCH($E73,'Per Invoice'!$B$2:$B$301,0))=0,"",INDEX('Per Invoice'!$A$2:$A$301,MATCH($E73,'Per Invoice'!$B$2:$B$301,0))),""))</f>
        <v/>
      </c>
      <c r="H73" s="11" t="n"/>
      <c r="R73" s="7">
        <f>IF($E73="","",Q73*Z73/100)</f>
        <v/>
      </c>
      <c r="S73" s="7" t="n"/>
      <c r="Y73" s="7" t="n"/>
      <c r="Z73" s="7" t="n"/>
      <c r="AA73" s="7">
        <f>IF($E73="","",Z73*AF73/100)</f>
        <v/>
      </c>
      <c r="AB73" s="7">
        <f>IF($E73="","",Z73-AA73)</f>
        <v/>
      </c>
      <c r="AC73" s="7">
        <f>IF($E73="","",AB73-R73)</f>
        <v/>
      </c>
      <c r="AF73">
        <f>IF($E73="","",IF($AR73=1,0,IF($AQ73=1,Settings!$C$6,Settings!$C$7))*100)</f>
        <v/>
      </c>
      <c r="AJ73" s="7" t="n"/>
      <c r="AM73" s="11" t="n"/>
      <c r="AO73">
        <f>IF($E73="","",IF(COUNTIF($E$2:$E73,$E73)=1,1,0))</f>
        <v/>
      </c>
      <c r="AP73">
        <f>IF($AO73=1,SUMPRODUCT(--($AS$2:$AS$1001&lt;$AS73))+1,"")</f>
        <v/>
      </c>
      <c r="AQ73">
        <f>IF($E73="","",IF(OR($V73=TRUE(),$V73="TRUE"),1,0))</f>
        <v/>
      </c>
      <c r="AR73">
        <f>IF($E73="","",IF($AE73="Yes",1,0))</f>
        <v/>
      </c>
      <c r="AS73">
        <f>IF($AO73=1,IFERROR(IF(VALUE($E73)&lt;100000000,VALUE($E73),1000000000),IFERROR(IF(VALUE(MID($E73,2,20))&lt;100000000,VALUE(MID($E73,2,20)),1000000000),1000000000))+ROW()/100000,"")</f>
        <v/>
      </c>
    </row>
    <row r="74">
      <c r="D74">
        <f>IF($E74="","",IFERROR(IF(INDEX('Per Invoice'!$A$2:$A$301,MATCH($E74,'Per Invoice'!$B$2:$B$301,0))=0,"",INDEX('Per Invoice'!$A$2:$A$301,MATCH($E74,'Per Invoice'!$B$2:$B$301,0))),""))</f>
        <v/>
      </c>
      <c r="H74" s="11" t="n"/>
      <c r="R74" s="7">
        <f>IF($E74="","",Q74*Z74/100)</f>
        <v/>
      </c>
      <c r="S74" s="7" t="n"/>
      <c r="Y74" s="7" t="n"/>
      <c r="Z74" s="7" t="n"/>
      <c r="AA74" s="7">
        <f>IF($E74="","",Z74*AF74/100)</f>
        <v/>
      </c>
      <c r="AB74" s="7">
        <f>IF($E74="","",Z74-AA74)</f>
        <v/>
      </c>
      <c r="AC74" s="7">
        <f>IF($E74="","",AB74-R74)</f>
        <v/>
      </c>
      <c r="AF74">
        <f>IF($E74="","",IF($AR74=1,0,IF($AQ74=1,Settings!$C$6,Settings!$C$7))*100)</f>
        <v/>
      </c>
      <c r="AJ74" s="7" t="n"/>
      <c r="AM74" s="11" t="n"/>
      <c r="AO74">
        <f>IF($E74="","",IF(COUNTIF($E$2:$E74,$E74)=1,1,0))</f>
        <v/>
      </c>
      <c r="AP74">
        <f>IF($AO74=1,SUMPRODUCT(--($AS$2:$AS$1001&lt;$AS74))+1,"")</f>
        <v/>
      </c>
      <c r="AQ74">
        <f>IF($E74="","",IF(OR($V74=TRUE(),$V74="TRUE"),1,0))</f>
        <v/>
      </c>
      <c r="AR74">
        <f>IF($E74="","",IF($AE74="Yes",1,0))</f>
        <v/>
      </c>
      <c r="AS74">
        <f>IF($AO74=1,IFERROR(IF(VALUE($E74)&lt;100000000,VALUE($E74),1000000000),IFERROR(IF(VALUE(MID($E74,2,20))&lt;100000000,VALUE(MID($E74,2,20)),1000000000),1000000000))+ROW()/100000,"")</f>
        <v/>
      </c>
    </row>
    <row r="75">
      <c r="D75">
        <f>IF($E75="","",IFERROR(IF(INDEX('Per Invoice'!$A$2:$A$301,MATCH($E75,'Per Invoice'!$B$2:$B$301,0))=0,"",INDEX('Per Invoice'!$A$2:$A$301,MATCH($E75,'Per Invoice'!$B$2:$B$301,0))),""))</f>
        <v/>
      </c>
      <c r="H75" s="11" t="n"/>
      <c r="R75" s="7">
        <f>IF($E75="","",Q75*Z75/100)</f>
        <v/>
      </c>
      <c r="S75" s="7" t="n"/>
      <c r="Y75" s="7" t="n"/>
      <c r="Z75" s="7" t="n"/>
      <c r="AA75" s="7">
        <f>IF($E75="","",Z75*AF75/100)</f>
        <v/>
      </c>
      <c r="AB75" s="7">
        <f>IF($E75="","",Z75-AA75)</f>
        <v/>
      </c>
      <c r="AC75" s="7">
        <f>IF($E75="","",AB75-R75)</f>
        <v/>
      </c>
      <c r="AF75">
        <f>IF($E75="","",IF($AR75=1,0,IF($AQ75=1,Settings!$C$6,Settings!$C$7))*100)</f>
        <v/>
      </c>
      <c r="AJ75" s="7" t="n"/>
      <c r="AM75" s="11" t="n"/>
      <c r="AO75">
        <f>IF($E75="","",IF(COUNTIF($E$2:$E75,$E75)=1,1,0))</f>
        <v/>
      </c>
      <c r="AP75">
        <f>IF($AO75=1,SUMPRODUCT(--($AS$2:$AS$1001&lt;$AS75))+1,"")</f>
        <v/>
      </c>
      <c r="AQ75">
        <f>IF($E75="","",IF(OR($V75=TRUE(),$V75="TRUE"),1,0))</f>
        <v/>
      </c>
      <c r="AR75">
        <f>IF($E75="","",IF($AE75="Yes",1,0))</f>
        <v/>
      </c>
      <c r="AS75">
        <f>IF($AO75=1,IFERROR(IF(VALUE($E75)&lt;100000000,VALUE($E75),1000000000),IFERROR(IF(VALUE(MID($E75,2,20))&lt;100000000,VALUE(MID($E75,2,20)),1000000000),1000000000))+ROW()/100000,"")</f>
        <v/>
      </c>
    </row>
    <row r="76">
      <c r="D76">
        <f>IF($E76="","",IFERROR(IF(INDEX('Per Invoice'!$A$2:$A$301,MATCH($E76,'Per Invoice'!$B$2:$B$301,0))=0,"",INDEX('Per Invoice'!$A$2:$A$301,MATCH($E76,'Per Invoice'!$B$2:$B$301,0))),""))</f>
        <v/>
      </c>
      <c r="H76" s="11" t="n"/>
      <c r="R76" s="7">
        <f>IF($E76="","",Q76*Z76/100)</f>
        <v/>
      </c>
      <c r="S76" s="7" t="n"/>
      <c r="Y76" s="7" t="n"/>
      <c r="Z76" s="7" t="n"/>
      <c r="AA76" s="7">
        <f>IF($E76="","",Z76*AF76/100)</f>
        <v/>
      </c>
      <c r="AB76" s="7">
        <f>IF($E76="","",Z76-AA76)</f>
        <v/>
      </c>
      <c r="AC76" s="7">
        <f>IF($E76="","",AB76-R76)</f>
        <v/>
      </c>
      <c r="AF76">
        <f>IF($E76="","",IF($AR76=1,0,IF($AQ76=1,Settings!$C$6,Settings!$C$7))*100)</f>
        <v/>
      </c>
      <c r="AJ76" s="7" t="n"/>
      <c r="AM76" s="11" t="n"/>
      <c r="AO76">
        <f>IF($E76="","",IF(COUNTIF($E$2:$E76,$E76)=1,1,0))</f>
        <v/>
      </c>
      <c r="AP76">
        <f>IF($AO76=1,SUMPRODUCT(--($AS$2:$AS$1001&lt;$AS76))+1,"")</f>
        <v/>
      </c>
      <c r="AQ76">
        <f>IF($E76="","",IF(OR($V76=TRUE(),$V76="TRUE"),1,0))</f>
        <v/>
      </c>
      <c r="AR76">
        <f>IF($E76="","",IF($AE76="Yes",1,0))</f>
        <v/>
      </c>
      <c r="AS76">
        <f>IF($AO76=1,IFERROR(IF(VALUE($E76)&lt;100000000,VALUE($E76),1000000000),IFERROR(IF(VALUE(MID($E76,2,20))&lt;100000000,VALUE(MID($E76,2,20)),1000000000),1000000000))+ROW()/100000,"")</f>
        <v/>
      </c>
    </row>
    <row r="77">
      <c r="D77">
        <f>IF($E77="","",IFERROR(IF(INDEX('Per Invoice'!$A$2:$A$301,MATCH($E77,'Per Invoice'!$B$2:$B$301,0))=0,"",INDEX('Per Invoice'!$A$2:$A$301,MATCH($E77,'Per Invoice'!$B$2:$B$301,0))),""))</f>
        <v/>
      </c>
      <c r="H77" s="11" t="n"/>
      <c r="R77" s="7">
        <f>IF($E77="","",Q77*Z77/100)</f>
        <v/>
      </c>
      <c r="S77" s="7" t="n"/>
      <c r="Y77" s="7" t="n"/>
      <c r="Z77" s="7" t="n"/>
      <c r="AA77" s="7">
        <f>IF($E77="","",Z77*AF77/100)</f>
        <v/>
      </c>
      <c r="AB77" s="7">
        <f>IF($E77="","",Z77-AA77)</f>
        <v/>
      </c>
      <c r="AC77" s="7">
        <f>IF($E77="","",AB77-R77)</f>
        <v/>
      </c>
      <c r="AF77">
        <f>IF($E77="","",IF($AR77=1,0,IF($AQ77=1,Settings!$C$6,Settings!$C$7))*100)</f>
        <v/>
      </c>
      <c r="AJ77" s="7" t="n"/>
      <c r="AM77" s="11" t="n"/>
      <c r="AO77">
        <f>IF($E77="","",IF(COUNTIF($E$2:$E77,$E77)=1,1,0))</f>
        <v/>
      </c>
      <c r="AP77">
        <f>IF($AO77=1,SUMPRODUCT(--($AS$2:$AS$1001&lt;$AS77))+1,"")</f>
        <v/>
      </c>
      <c r="AQ77">
        <f>IF($E77="","",IF(OR($V77=TRUE(),$V77="TRUE"),1,0))</f>
        <v/>
      </c>
      <c r="AR77">
        <f>IF($E77="","",IF($AE77="Yes",1,0))</f>
        <v/>
      </c>
      <c r="AS77">
        <f>IF($AO77=1,IFERROR(IF(VALUE($E77)&lt;100000000,VALUE($E77),1000000000),IFERROR(IF(VALUE(MID($E77,2,20))&lt;100000000,VALUE(MID($E77,2,20)),1000000000),1000000000))+ROW()/100000,"")</f>
        <v/>
      </c>
    </row>
    <row r="78">
      <c r="D78">
        <f>IF($E78="","",IFERROR(IF(INDEX('Per Invoice'!$A$2:$A$301,MATCH($E78,'Per Invoice'!$B$2:$B$301,0))=0,"",INDEX('Per Invoice'!$A$2:$A$301,MATCH($E78,'Per Invoice'!$B$2:$B$301,0))),""))</f>
        <v/>
      </c>
      <c r="H78" s="11" t="n"/>
      <c r="R78" s="7">
        <f>IF($E78="","",Q78*Z78/100)</f>
        <v/>
      </c>
      <c r="S78" s="7" t="n"/>
      <c r="Y78" s="7" t="n"/>
      <c r="Z78" s="7" t="n"/>
      <c r="AA78" s="7">
        <f>IF($E78="","",Z78*AF78/100)</f>
        <v/>
      </c>
      <c r="AB78" s="7">
        <f>IF($E78="","",Z78-AA78)</f>
        <v/>
      </c>
      <c r="AC78" s="7">
        <f>IF($E78="","",AB78-R78)</f>
        <v/>
      </c>
      <c r="AF78">
        <f>IF($E78="","",IF($AR78=1,0,IF($AQ78=1,Settings!$C$6,Settings!$C$7))*100)</f>
        <v/>
      </c>
      <c r="AJ78" s="7" t="n"/>
      <c r="AM78" s="11" t="n"/>
      <c r="AO78">
        <f>IF($E78="","",IF(COUNTIF($E$2:$E78,$E78)=1,1,0))</f>
        <v/>
      </c>
      <c r="AP78">
        <f>IF($AO78=1,SUMPRODUCT(--($AS$2:$AS$1001&lt;$AS78))+1,"")</f>
        <v/>
      </c>
      <c r="AQ78">
        <f>IF($E78="","",IF(OR($V78=TRUE(),$V78="TRUE"),1,0))</f>
        <v/>
      </c>
      <c r="AR78">
        <f>IF($E78="","",IF($AE78="Yes",1,0))</f>
        <v/>
      </c>
      <c r="AS78">
        <f>IF($AO78=1,IFERROR(IF(VALUE($E78)&lt;100000000,VALUE($E78),1000000000),IFERROR(IF(VALUE(MID($E78,2,20))&lt;100000000,VALUE(MID($E78,2,20)),1000000000),1000000000))+ROW()/100000,"")</f>
        <v/>
      </c>
    </row>
    <row r="79">
      <c r="D79">
        <f>IF($E79="","",IFERROR(IF(INDEX('Per Invoice'!$A$2:$A$301,MATCH($E79,'Per Invoice'!$B$2:$B$301,0))=0,"",INDEX('Per Invoice'!$A$2:$A$301,MATCH($E79,'Per Invoice'!$B$2:$B$301,0))),""))</f>
        <v/>
      </c>
      <c r="H79" s="11" t="n"/>
      <c r="R79" s="7">
        <f>IF($E79="","",Q79*Z79/100)</f>
        <v/>
      </c>
      <c r="S79" s="7" t="n"/>
      <c r="Y79" s="7" t="n"/>
      <c r="Z79" s="7" t="n"/>
      <c r="AA79" s="7">
        <f>IF($E79="","",Z79*AF79/100)</f>
        <v/>
      </c>
      <c r="AB79" s="7">
        <f>IF($E79="","",Z79-AA79)</f>
        <v/>
      </c>
      <c r="AC79" s="7">
        <f>IF($E79="","",AB79-R79)</f>
        <v/>
      </c>
      <c r="AF79">
        <f>IF($E79="","",IF($AR79=1,0,IF($AQ79=1,Settings!$C$6,Settings!$C$7))*100)</f>
        <v/>
      </c>
      <c r="AJ79" s="7" t="n"/>
      <c r="AM79" s="11" t="n"/>
      <c r="AO79">
        <f>IF($E79="","",IF(COUNTIF($E$2:$E79,$E79)=1,1,0))</f>
        <v/>
      </c>
      <c r="AP79">
        <f>IF($AO79=1,SUMPRODUCT(--($AS$2:$AS$1001&lt;$AS79))+1,"")</f>
        <v/>
      </c>
      <c r="AQ79">
        <f>IF($E79="","",IF(OR($V79=TRUE(),$V79="TRUE"),1,0))</f>
        <v/>
      </c>
      <c r="AR79">
        <f>IF($E79="","",IF($AE79="Yes",1,0))</f>
        <v/>
      </c>
      <c r="AS79">
        <f>IF($AO79=1,IFERROR(IF(VALUE($E79)&lt;100000000,VALUE($E79),1000000000),IFERROR(IF(VALUE(MID($E79,2,20))&lt;100000000,VALUE(MID($E79,2,20)),1000000000),1000000000))+ROW()/100000,"")</f>
        <v/>
      </c>
    </row>
    <row r="80">
      <c r="D80">
        <f>IF($E80="","",IFERROR(IF(INDEX('Per Invoice'!$A$2:$A$301,MATCH($E80,'Per Invoice'!$B$2:$B$301,0))=0,"",INDEX('Per Invoice'!$A$2:$A$301,MATCH($E80,'Per Invoice'!$B$2:$B$301,0))),""))</f>
        <v/>
      </c>
      <c r="H80" s="11" t="n"/>
      <c r="R80" s="7">
        <f>IF($E80="","",Q80*Z80/100)</f>
        <v/>
      </c>
      <c r="S80" s="7" t="n"/>
      <c r="Y80" s="7" t="n"/>
      <c r="Z80" s="7" t="n"/>
      <c r="AA80" s="7">
        <f>IF($E80="","",Z80*AF80/100)</f>
        <v/>
      </c>
      <c r="AB80" s="7">
        <f>IF($E80="","",Z80-AA80)</f>
        <v/>
      </c>
      <c r="AC80" s="7">
        <f>IF($E80="","",AB80-R80)</f>
        <v/>
      </c>
      <c r="AF80">
        <f>IF($E80="","",IF($AR80=1,0,IF($AQ80=1,Settings!$C$6,Settings!$C$7))*100)</f>
        <v/>
      </c>
      <c r="AJ80" s="7" t="n"/>
      <c r="AM80" s="11" t="n"/>
      <c r="AO80">
        <f>IF($E80="","",IF(COUNTIF($E$2:$E80,$E80)=1,1,0))</f>
        <v/>
      </c>
      <c r="AP80">
        <f>IF($AO80=1,SUMPRODUCT(--($AS$2:$AS$1001&lt;$AS80))+1,"")</f>
        <v/>
      </c>
      <c r="AQ80">
        <f>IF($E80="","",IF(OR($V80=TRUE(),$V80="TRUE"),1,0))</f>
        <v/>
      </c>
      <c r="AR80">
        <f>IF($E80="","",IF($AE80="Yes",1,0))</f>
        <v/>
      </c>
      <c r="AS80">
        <f>IF($AO80=1,IFERROR(IF(VALUE($E80)&lt;100000000,VALUE($E80),1000000000),IFERROR(IF(VALUE(MID($E80,2,20))&lt;100000000,VALUE(MID($E80,2,20)),1000000000),1000000000))+ROW()/100000,"")</f>
        <v/>
      </c>
    </row>
    <row r="81">
      <c r="D81">
        <f>IF($E81="","",IFERROR(IF(INDEX('Per Invoice'!$A$2:$A$301,MATCH($E81,'Per Invoice'!$B$2:$B$301,0))=0,"",INDEX('Per Invoice'!$A$2:$A$301,MATCH($E81,'Per Invoice'!$B$2:$B$301,0))),""))</f>
        <v/>
      </c>
      <c r="H81" s="11" t="n"/>
      <c r="R81" s="7">
        <f>IF($E81="","",Q81*Z81/100)</f>
        <v/>
      </c>
      <c r="S81" s="7" t="n"/>
      <c r="Y81" s="7" t="n"/>
      <c r="Z81" s="7" t="n"/>
      <c r="AA81" s="7">
        <f>IF($E81="","",Z81*AF81/100)</f>
        <v/>
      </c>
      <c r="AB81" s="7">
        <f>IF($E81="","",Z81-AA81)</f>
        <v/>
      </c>
      <c r="AC81" s="7">
        <f>IF($E81="","",AB81-R81)</f>
        <v/>
      </c>
      <c r="AF81">
        <f>IF($E81="","",IF($AR81=1,0,IF($AQ81=1,Settings!$C$6,Settings!$C$7))*100)</f>
        <v/>
      </c>
      <c r="AJ81" s="7" t="n"/>
      <c r="AM81" s="11" t="n"/>
      <c r="AO81">
        <f>IF($E81="","",IF(COUNTIF($E$2:$E81,$E81)=1,1,0))</f>
        <v/>
      </c>
      <c r="AP81">
        <f>IF($AO81=1,SUMPRODUCT(--($AS$2:$AS$1001&lt;$AS81))+1,"")</f>
        <v/>
      </c>
      <c r="AQ81">
        <f>IF($E81="","",IF(OR($V81=TRUE(),$V81="TRUE"),1,0))</f>
        <v/>
      </c>
      <c r="AR81">
        <f>IF($E81="","",IF($AE81="Yes",1,0))</f>
        <v/>
      </c>
      <c r="AS81">
        <f>IF($AO81=1,IFERROR(IF(VALUE($E81)&lt;100000000,VALUE($E81),1000000000),IFERROR(IF(VALUE(MID($E81,2,20))&lt;100000000,VALUE(MID($E81,2,20)),1000000000),1000000000))+ROW()/100000,"")</f>
        <v/>
      </c>
    </row>
    <row r="82">
      <c r="D82">
        <f>IF($E82="","",IFERROR(IF(INDEX('Per Invoice'!$A$2:$A$301,MATCH($E82,'Per Invoice'!$B$2:$B$301,0))=0,"",INDEX('Per Invoice'!$A$2:$A$301,MATCH($E82,'Per Invoice'!$B$2:$B$301,0))),""))</f>
        <v/>
      </c>
      <c r="H82" s="11" t="n"/>
      <c r="R82" s="7">
        <f>IF($E82="","",Q82*Z82/100)</f>
        <v/>
      </c>
      <c r="S82" s="7" t="n"/>
      <c r="Y82" s="7" t="n"/>
      <c r="Z82" s="7" t="n"/>
      <c r="AA82" s="7">
        <f>IF($E82="","",Z82*AF82/100)</f>
        <v/>
      </c>
      <c r="AB82" s="7">
        <f>IF($E82="","",Z82-AA82)</f>
        <v/>
      </c>
      <c r="AC82" s="7">
        <f>IF($E82="","",AB82-R82)</f>
        <v/>
      </c>
      <c r="AF82">
        <f>IF($E82="","",IF($AR82=1,0,IF($AQ82=1,Settings!$C$6,Settings!$C$7))*100)</f>
        <v/>
      </c>
      <c r="AJ82" s="7" t="n"/>
      <c r="AM82" s="11" t="n"/>
      <c r="AO82">
        <f>IF($E82="","",IF(COUNTIF($E$2:$E82,$E82)=1,1,0))</f>
        <v/>
      </c>
      <c r="AP82">
        <f>IF($AO82=1,SUMPRODUCT(--($AS$2:$AS$1001&lt;$AS82))+1,"")</f>
        <v/>
      </c>
      <c r="AQ82">
        <f>IF($E82="","",IF(OR($V82=TRUE(),$V82="TRUE"),1,0))</f>
        <v/>
      </c>
      <c r="AR82">
        <f>IF($E82="","",IF($AE82="Yes",1,0))</f>
        <v/>
      </c>
      <c r="AS82">
        <f>IF($AO82=1,IFERROR(IF(VALUE($E82)&lt;100000000,VALUE($E82),1000000000),IFERROR(IF(VALUE(MID($E82,2,20))&lt;100000000,VALUE(MID($E82,2,20)),1000000000),1000000000))+ROW()/100000,"")</f>
        <v/>
      </c>
    </row>
    <row r="83">
      <c r="D83">
        <f>IF($E83="","",IFERROR(IF(INDEX('Per Invoice'!$A$2:$A$301,MATCH($E83,'Per Invoice'!$B$2:$B$301,0))=0,"",INDEX('Per Invoice'!$A$2:$A$301,MATCH($E83,'Per Invoice'!$B$2:$B$301,0))),""))</f>
        <v/>
      </c>
      <c r="H83" s="11" t="n"/>
      <c r="R83" s="7">
        <f>IF($E83="","",Q83*Z83/100)</f>
        <v/>
      </c>
      <c r="S83" s="7" t="n"/>
      <c r="Y83" s="7" t="n"/>
      <c r="Z83" s="7" t="n"/>
      <c r="AA83" s="7">
        <f>IF($E83="","",Z83*AF83/100)</f>
        <v/>
      </c>
      <c r="AB83" s="7">
        <f>IF($E83="","",Z83-AA83)</f>
        <v/>
      </c>
      <c r="AC83" s="7">
        <f>IF($E83="","",AB83-R83)</f>
        <v/>
      </c>
      <c r="AF83">
        <f>IF($E83="","",IF($AR83=1,0,IF($AQ83=1,Settings!$C$6,Settings!$C$7))*100)</f>
        <v/>
      </c>
      <c r="AJ83" s="7" t="n"/>
      <c r="AM83" s="11" t="n"/>
      <c r="AO83">
        <f>IF($E83="","",IF(COUNTIF($E$2:$E83,$E83)=1,1,0))</f>
        <v/>
      </c>
      <c r="AP83">
        <f>IF($AO83=1,SUMPRODUCT(--($AS$2:$AS$1001&lt;$AS83))+1,"")</f>
        <v/>
      </c>
      <c r="AQ83">
        <f>IF($E83="","",IF(OR($V83=TRUE(),$V83="TRUE"),1,0))</f>
        <v/>
      </c>
      <c r="AR83">
        <f>IF($E83="","",IF($AE83="Yes",1,0))</f>
        <v/>
      </c>
      <c r="AS83">
        <f>IF($AO83=1,IFERROR(IF(VALUE($E83)&lt;100000000,VALUE($E83),1000000000),IFERROR(IF(VALUE(MID($E83,2,20))&lt;100000000,VALUE(MID($E83,2,20)),1000000000),1000000000))+ROW()/100000,"")</f>
        <v/>
      </c>
    </row>
    <row r="84">
      <c r="D84">
        <f>IF($E84="","",IFERROR(IF(INDEX('Per Invoice'!$A$2:$A$301,MATCH($E84,'Per Invoice'!$B$2:$B$301,0))=0,"",INDEX('Per Invoice'!$A$2:$A$301,MATCH($E84,'Per Invoice'!$B$2:$B$301,0))),""))</f>
        <v/>
      </c>
      <c r="H84" s="11" t="n"/>
      <c r="R84" s="7">
        <f>IF($E84="","",Q84*Z84/100)</f>
        <v/>
      </c>
      <c r="S84" s="7" t="n"/>
      <c r="Y84" s="7" t="n"/>
      <c r="Z84" s="7" t="n"/>
      <c r="AA84" s="7">
        <f>IF($E84="","",Z84*AF84/100)</f>
        <v/>
      </c>
      <c r="AB84" s="7">
        <f>IF($E84="","",Z84-AA84)</f>
        <v/>
      </c>
      <c r="AC84" s="7">
        <f>IF($E84="","",AB84-R84)</f>
        <v/>
      </c>
      <c r="AF84">
        <f>IF($E84="","",IF($AR84=1,0,IF($AQ84=1,Settings!$C$6,Settings!$C$7))*100)</f>
        <v/>
      </c>
      <c r="AJ84" s="7" t="n"/>
      <c r="AM84" s="11" t="n"/>
      <c r="AO84">
        <f>IF($E84="","",IF(COUNTIF($E$2:$E84,$E84)=1,1,0))</f>
        <v/>
      </c>
      <c r="AP84">
        <f>IF($AO84=1,SUMPRODUCT(--($AS$2:$AS$1001&lt;$AS84))+1,"")</f>
        <v/>
      </c>
      <c r="AQ84">
        <f>IF($E84="","",IF(OR($V84=TRUE(),$V84="TRUE"),1,0))</f>
        <v/>
      </c>
      <c r="AR84">
        <f>IF($E84="","",IF($AE84="Yes",1,0))</f>
        <v/>
      </c>
      <c r="AS84">
        <f>IF($AO84=1,IFERROR(IF(VALUE($E84)&lt;100000000,VALUE($E84),1000000000),IFERROR(IF(VALUE(MID($E84,2,20))&lt;100000000,VALUE(MID($E84,2,20)),1000000000),1000000000))+ROW()/100000,"")</f>
        <v/>
      </c>
    </row>
    <row r="85">
      <c r="D85">
        <f>IF($E85="","",IFERROR(IF(INDEX('Per Invoice'!$A$2:$A$301,MATCH($E85,'Per Invoice'!$B$2:$B$301,0))=0,"",INDEX('Per Invoice'!$A$2:$A$301,MATCH($E85,'Per Invoice'!$B$2:$B$301,0))),""))</f>
        <v/>
      </c>
      <c r="H85" s="11" t="n"/>
      <c r="R85" s="7">
        <f>IF($E85="","",Q85*Z85/100)</f>
        <v/>
      </c>
      <c r="S85" s="7" t="n"/>
      <c r="Y85" s="7" t="n"/>
      <c r="Z85" s="7" t="n"/>
      <c r="AA85" s="7">
        <f>IF($E85="","",Z85*AF85/100)</f>
        <v/>
      </c>
      <c r="AB85" s="7">
        <f>IF($E85="","",Z85-AA85)</f>
        <v/>
      </c>
      <c r="AC85" s="7">
        <f>IF($E85="","",AB85-R85)</f>
        <v/>
      </c>
      <c r="AF85">
        <f>IF($E85="","",IF($AR85=1,0,IF($AQ85=1,Settings!$C$6,Settings!$C$7))*100)</f>
        <v/>
      </c>
      <c r="AJ85" s="7" t="n"/>
      <c r="AM85" s="11" t="n"/>
      <c r="AO85">
        <f>IF($E85="","",IF(COUNTIF($E$2:$E85,$E85)=1,1,0))</f>
        <v/>
      </c>
      <c r="AP85">
        <f>IF($AO85=1,SUMPRODUCT(--($AS$2:$AS$1001&lt;$AS85))+1,"")</f>
        <v/>
      </c>
      <c r="AQ85">
        <f>IF($E85="","",IF(OR($V85=TRUE(),$V85="TRUE"),1,0))</f>
        <v/>
      </c>
      <c r="AR85">
        <f>IF($E85="","",IF($AE85="Yes",1,0))</f>
        <v/>
      </c>
      <c r="AS85">
        <f>IF($AO85=1,IFERROR(IF(VALUE($E85)&lt;100000000,VALUE($E85),1000000000),IFERROR(IF(VALUE(MID($E85,2,20))&lt;100000000,VALUE(MID($E85,2,20)),1000000000),1000000000))+ROW()/100000,"")</f>
        <v/>
      </c>
    </row>
    <row r="86">
      <c r="D86">
        <f>IF($E86="","",IFERROR(IF(INDEX('Per Invoice'!$A$2:$A$301,MATCH($E86,'Per Invoice'!$B$2:$B$301,0))=0,"",INDEX('Per Invoice'!$A$2:$A$301,MATCH($E86,'Per Invoice'!$B$2:$B$301,0))),""))</f>
        <v/>
      </c>
      <c r="H86" s="11" t="n"/>
      <c r="R86" s="7">
        <f>IF($E86="","",Q86*Z86/100)</f>
        <v/>
      </c>
      <c r="S86" s="7" t="n"/>
      <c r="Y86" s="7" t="n"/>
      <c r="Z86" s="7" t="n"/>
      <c r="AA86" s="7">
        <f>IF($E86="","",Z86*AF86/100)</f>
        <v/>
      </c>
      <c r="AB86" s="7">
        <f>IF($E86="","",Z86-AA86)</f>
        <v/>
      </c>
      <c r="AC86" s="7">
        <f>IF($E86="","",AB86-R86)</f>
        <v/>
      </c>
      <c r="AF86">
        <f>IF($E86="","",IF($AR86=1,0,IF($AQ86=1,Settings!$C$6,Settings!$C$7))*100)</f>
        <v/>
      </c>
      <c r="AJ86" s="7" t="n"/>
      <c r="AM86" s="11" t="n"/>
      <c r="AO86">
        <f>IF($E86="","",IF(COUNTIF($E$2:$E86,$E86)=1,1,0))</f>
        <v/>
      </c>
      <c r="AP86">
        <f>IF($AO86=1,SUMPRODUCT(--($AS$2:$AS$1001&lt;$AS86))+1,"")</f>
        <v/>
      </c>
      <c r="AQ86">
        <f>IF($E86="","",IF(OR($V86=TRUE(),$V86="TRUE"),1,0))</f>
        <v/>
      </c>
      <c r="AR86">
        <f>IF($E86="","",IF($AE86="Yes",1,0))</f>
        <v/>
      </c>
      <c r="AS86">
        <f>IF($AO86=1,IFERROR(IF(VALUE($E86)&lt;100000000,VALUE($E86),1000000000),IFERROR(IF(VALUE(MID($E86,2,20))&lt;100000000,VALUE(MID($E86,2,20)),1000000000),1000000000))+ROW()/100000,"")</f>
        <v/>
      </c>
    </row>
    <row r="87">
      <c r="D87">
        <f>IF($E87="","",IFERROR(IF(INDEX('Per Invoice'!$A$2:$A$301,MATCH($E87,'Per Invoice'!$B$2:$B$301,0))=0,"",INDEX('Per Invoice'!$A$2:$A$301,MATCH($E87,'Per Invoice'!$B$2:$B$301,0))),""))</f>
        <v/>
      </c>
      <c r="H87" s="11" t="n"/>
      <c r="R87" s="7">
        <f>IF($E87="","",Q87*Z87/100)</f>
        <v/>
      </c>
      <c r="S87" s="7" t="n"/>
      <c r="Y87" s="7" t="n"/>
      <c r="Z87" s="7" t="n"/>
      <c r="AA87" s="7">
        <f>IF($E87="","",Z87*AF87/100)</f>
        <v/>
      </c>
      <c r="AB87" s="7">
        <f>IF($E87="","",Z87-AA87)</f>
        <v/>
      </c>
      <c r="AC87" s="7">
        <f>IF($E87="","",AB87-R87)</f>
        <v/>
      </c>
      <c r="AF87">
        <f>IF($E87="","",IF($AR87=1,0,IF($AQ87=1,Settings!$C$6,Settings!$C$7))*100)</f>
        <v/>
      </c>
      <c r="AJ87" s="7" t="n"/>
      <c r="AM87" s="11" t="n"/>
      <c r="AO87">
        <f>IF($E87="","",IF(COUNTIF($E$2:$E87,$E87)=1,1,0))</f>
        <v/>
      </c>
      <c r="AP87">
        <f>IF($AO87=1,SUMPRODUCT(--($AS$2:$AS$1001&lt;$AS87))+1,"")</f>
        <v/>
      </c>
      <c r="AQ87">
        <f>IF($E87="","",IF(OR($V87=TRUE(),$V87="TRUE"),1,0))</f>
        <v/>
      </c>
      <c r="AR87">
        <f>IF($E87="","",IF($AE87="Yes",1,0))</f>
        <v/>
      </c>
      <c r="AS87">
        <f>IF($AO87=1,IFERROR(IF(VALUE($E87)&lt;100000000,VALUE($E87),1000000000),IFERROR(IF(VALUE(MID($E87,2,20))&lt;100000000,VALUE(MID($E87,2,20)),1000000000),1000000000))+ROW()/100000,"")</f>
        <v/>
      </c>
    </row>
    <row r="88">
      <c r="D88">
        <f>IF($E88="","",IFERROR(IF(INDEX('Per Invoice'!$A$2:$A$301,MATCH($E88,'Per Invoice'!$B$2:$B$301,0))=0,"",INDEX('Per Invoice'!$A$2:$A$301,MATCH($E88,'Per Invoice'!$B$2:$B$301,0))),""))</f>
        <v/>
      </c>
      <c r="H88" s="11" t="n"/>
      <c r="R88" s="7">
        <f>IF($E88="","",Q88*Z88/100)</f>
        <v/>
      </c>
      <c r="S88" s="7" t="n"/>
      <c r="Y88" s="7" t="n"/>
      <c r="Z88" s="7" t="n"/>
      <c r="AA88" s="7">
        <f>IF($E88="","",Z88*AF88/100)</f>
        <v/>
      </c>
      <c r="AB88" s="7">
        <f>IF($E88="","",Z88-AA88)</f>
        <v/>
      </c>
      <c r="AC88" s="7">
        <f>IF($E88="","",AB88-R88)</f>
        <v/>
      </c>
      <c r="AF88">
        <f>IF($E88="","",IF($AR88=1,0,IF($AQ88=1,Settings!$C$6,Settings!$C$7))*100)</f>
        <v/>
      </c>
      <c r="AJ88" s="7" t="n"/>
      <c r="AM88" s="11" t="n"/>
      <c r="AO88">
        <f>IF($E88="","",IF(COUNTIF($E$2:$E88,$E88)=1,1,0))</f>
        <v/>
      </c>
      <c r="AP88">
        <f>IF($AO88=1,SUMPRODUCT(--($AS$2:$AS$1001&lt;$AS88))+1,"")</f>
        <v/>
      </c>
      <c r="AQ88">
        <f>IF($E88="","",IF(OR($V88=TRUE(),$V88="TRUE"),1,0))</f>
        <v/>
      </c>
      <c r="AR88">
        <f>IF($E88="","",IF($AE88="Yes",1,0))</f>
        <v/>
      </c>
      <c r="AS88">
        <f>IF($AO88=1,IFERROR(IF(VALUE($E88)&lt;100000000,VALUE($E88),1000000000),IFERROR(IF(VALUE(MID($E88,2,20))&lt;100000000,VALUE(MID($E88,2,20)),1000000000),1000000000))+ROW()/100000,"")</f>
        <v/>
      </c>
    </row>
    <row r="89">
      <c r="D89">
        <f>IF($E89="","",IFERROR(IF(INDEX('Per Invoice'!$A$2:$A$301,MATCH($E89,'Per Invoice'!$B$2:$B$301,0))=0,"",INDEX('Per Invoice'!$A$2:$A$301,MATCH($E89,'Per Invoice'!$B$2:$B$301,0))),""))</f>
        <v/>
      </c>
      <c r="H89" s="11" t="n"/>
      <c r="R89" s="7">
        <f>IF($E89="","",Q89*Z89/100)</f>
        <v/>
      </c>
      <c r="S89" s="7" t="n"/>
      <c r="Y89" s="7" t="n"/>
      <c r="Z89" s="7" t="n"/>
      <c r="AA89" s="7">
        <f>IF($E89="","",Z89*AF89/100)</f>
        <v/>
      </c>
      <c r="AB89" s="7">
        <f>IF($E89="","",Z89-AA89)</f>
        <v/>
      </c>
      <c r="AC89" s="7">
        <f>IF($E89="","",AB89-R89)</f>
        <v/>
      </c>
      <c r="AF89">
        <f>IF($E89="","",IF($AR89=1,0,IF($AQ89=1,Settings!$C$6,Settings!$C$7))*100)</f>
        <v/>
      </c>
      <c r="AJ89" s="7" t="n"/>
      <c r="AM89" s="11" t="n"/>
      <c r="AO89">
        <f>IF($E89="","",IF(COUNTIF($E$2:$E89,$E89)=1,1,0))</f>
        <v/>
      </c>
      <c r="AP89">
        <f>IF($AO89=1,SUMPRODUCT(--($AS$2:$AS$1001&lt;$AS89))+1,"")</f>
        <v/>
      </c>
      <c r="AQ89">
        <f>IF($E89="","",IF(OR($V89=TRUE(),$V89="TRUE"),1,0))</f>
        <v/>
      </c>
      <c r="AR89">
        <f>IF($E89="","",IF($AE89="Yes",1,0))</f>
        <v/>
      </c>
      <c r="AS89">
        <f>IF($AO89=1,IFERROR(IF(VALUE($E89)&lt;100000000,VALUE($E89),1000000000),IFERROR(IF(VALUE(MID($E89,2,20))&lt;100000000,VALUE(MID($E89,2,20)),1000000000),1000000000))+ROW()/100000,"")</f>
        <v/>
      </c>
    </row>
    <row r="90">
      <c r="D90">
        <f>IF($E90="","",IFERROR(IF(INDEX('Per Invoice'!$A$2:$A$301,MATCH($E90,'Per Invoice'!$B$2:$B$301,0))=0,"",INDEX('Per Invoice'!$A$2:$A$301,MATCH($E90,'Per Invoice'!$B$2:$B$301,0))),""))</f>
        <v/>
      </c>
      <c r="H90" s="11" t="n"/>
      <c r="R90" s="7">
        <f>IF($E90="","",Q90*Z90/100)</f>
        <v/>
      </c>
      <c r="S90" s="7" t="n"/>
      <c r="Y90" s="7" t="n"/>
      <c r="Z90" s="7" t="n"/>
      <c r="AA90" s="7">
        <f>IF($E90="","",Z90*AF90/100)</f>
        <v/>
      </c>
      <c r="AB90" s="7">
        <f>IF($E90="","",Z90-AA90)</f>
        <v/>
      </c>
      <c r="AC90" s="7">
        <f>IF($E90="","",AB90-R90)</f>
        <v/>
      </c>
      <c r="AF90">
        <f>IF($E90="","",IF($AR90=1,0,IF($AQ90=1,Settings!$C$6,Settings!$C$7))*100)</f>
        <v/>
      </c>
      <c r="AJ90" s="7" t="n"/>
      <c r="AM90" s="11" t="n"/>
      <c r="AO90">
        <f>IF($E90="","",IF(COUNTIF($E$2:$E90,$E90)=1,1,0))</f>
        <v/>
      </c>
      <c r="AP90">
        <f>IF($AO90=1,SUMPRODUCT(--($AS$2:$AS$1001&lt;$AS90))+1,"")</f>
        <v/>
      </c>
      <c r="AQ90">
        <f>IF($E90="","",IF(OR($V90=TRUE(),$V90="TRUE"),1,0))</f>
        <v/>
      </c>
      <c r="AR90">
        <f>IF($E90="","",IF($AE90="Yes",1,0))</f>
        <v/>
      </c>
      <c r="AS90">
        <f>IF($AO90=1,IFERROR(IF(VALUE($E90)&lt;100000000,VALUE($E90),1000000000),IFERROR(IF(VALUE(MID($E90,2,20))&lt;100000000,VALUE(MID($E90,2,20)),1000000000),1000000000))+ROW()/100000,"")</f>
        <v/>
      </c>
    </row>
    <row r="91">
      <c r="D91">
        <f>IF($E91="","",IFERROR(IF(INDEX('Per Invoice'!$A$2:$A$301,MATCH($E91,'Per Invoice'!$B$2:$B$301,0))=0,"",INDEX('Per Invoice'!$A$2:$A$301,MATCH($E91,'Per Invoice'!$B$2:$B$301,0))),""))</f>
        <v/>
      </c>
      <c r="H91" s="11" t="n"/>
      <c r="R91" s="7">
        <f>IF($E91="","",Q91*Z91/100)</f>
        <v/>
      </c>
      <c r="S91" s="7" t="n"/>
      <c r="Y91" s="7" t="n"/>
      <c r="Z91" s="7" t="n"/>
      <c r="AA91" s="7">
        <f>IF($E91="","",Z91*AF91/100)</f>
        <v/>
      </c>
      <c r="AB91" s="7">
        <f>IF($E91="","",Z91-AA91)</f>
        <v/>
      </c>
      <c r="AC91" s="7">
        <f>IF($E91="","",AB91-R91)</f>
        <v/>
      </c>
      <c r="AF91">
        <f>IF($E91="","",IF($AR91=1,0,IF($AQ91=1,Settings!$C$6,Settings!$C$7))*100)</f>
        <v/>
      </c>
      <c r="AJ91" s="7" t="n"/>
      <c r="AM91" s="11" t="n"/>
      <c r="AO91">
        <f>IF($E91="","",IF(COUNTIF($E$2:$E91,$E91)=1,1,0))</f>
        <v/>
      </c>
      <c r="AP91">
        <f>IF($AO91=1,SUMPRODUCT(--($AS$2:$AS$1001&lt;$AS91))+1,"")</f>
        <v/>
      </c>
      <c r="AQ91">
        <f>IF($E91="","",IF(OR($V91=TRUE(),$V91="TRUE"),1,0))</f>
        <v/>
      </c>
      <c r="AR91">
        <f>IF($E91="","",IF($AE91="Yes",1,0))</f>
        <v/>
      </c>
      <c r="AS91">
        <f>IF($AO91=1,IFERROR(IF(VALUE($E91)&lt;100000000,VALUE($E91),1000000000),IFERROR(IF(VALUE(MID($E91,2,20))&lt;100000000,VALUE(MID($E91,2,20)),1000000000),1000000000))+ROW()/100000,"")</f>
        <v/>
      </c>
    </row>
    <row r="92">
      <c r="D92">
        <f>IF($E92="","",IFERROR(IF(INDEX('Per Invoice'!$A$2:$A$301,MATCH($E92,'Per Invoice'!$B$2:$B$301,0))=0,"",INDEX('Per Invoice'!$A$2:$A$301,MATCH($E92,'Per Invoice'!$B$2:$B$301,0))),""))</f>
        <v/>
      </c>
      <c r="H92" s="11" t="n"/>
      <c r="R92" s="7">
        <f>IF($E92="","",Q92*Z92/100)</f>
        <v/>
      </c>
      <c r="S92" s="7" t="n"/>
      <c r="Y92" s="7" t="n"/>
      <c r="Z92" s="7" t="n"/>
      <c r="AA92" s="7">
        <f>IF($E92="","",Z92*AF92/100)</f>
        <v/>
      </c>
      <c r="AB92" s="7">
        <f>IF($E92="","",Z92-AA92)</f>
        <v/>
      </c>
      <c r="AC92" s="7">
        <f>IF($E92="","",AB92-R92)</f>
        <v/>
      </c>
      <c r="AF92">
        <f>IF($E92="","",IF($AR92=1,0,IF($AQ92=1,Settings!$C$6,Settings!$C$7))*100)</f>
        <v/>
      </c>
      <c r="AJ92" s="7" t="n"/>
      <c r="AM92" s="11" t="n"/>
      <c r="AO92">
        <f>IF($E92="","",IF(COUNTIF($E$2:$E92,$E92)=1,1,0))</f>
        <v/>
      </c>
      <c r="AP92">
        <f>IF($AO92=1,SUMPRODUCT(--($AS$2:$AS$1001&lt;$AS92))+1,"")</f>
        <v/>
      </c>
      <c r="AQ92">
        <f>IF($E92="","",IF(OR($V92=TRUE(),$V92="TRUE"),1,0))</f>
        <v/>
      </c>
      <c r="AR92">
        <f>IF($E92="","",IF($AE92="Yes",1,0))</f>
        <v/>
      </c>
      <c r="AS92">
        <f>IF($AO92=1,IFERROR(IF(VALUE($E92)&lt;100000000,VALUE($E92),1000000000),IFERROR(IF(VALUE(MID($E92,2,20))&lt;100000000,VALUE(MID($E92,2,20)),1000000000),1000000000))+ROW()/100000,"")</f>
        <v/>
      </c>
    </row>
    <row r="93">
      <c r="D93">
        <f>IF($E93="","",IFERROR(IF(INDEX('Per Invoice'!$A$2:$A$301,MATCH($E93,'Per Invoice'!$B$2:$B$301,0))=0,"",INDEX('Per Invoice'!$A$2:$A$301,MATCH($E93,'Per Invoice'!$B$2:$B$301,0))),""))</f>
        <v/>
      </c>
      <c r="H93" s="11" t="n"/>
      <c r="R93" s="7">
        <f>IF($E93="","",Q93*Z93/100)</f>
        <v/>
      </c>
      <c r="S93" s="7" t="n"/>
      <c r="Y93" s="7" t="n"/>
      <c r="Z93" s="7" t="n"/>
      <c r="AA93" s="7">
        <f>IF($E93="","",Z93*AF93/100)</f>
        <v/>
      </c>
      <c r="AB93" s="7">
        <f>IF($E93="","",Z93-AA93)</f>
        <v/>
      </c>
      <c r="AC93" s="7">
        <f>IF($E93="","",AB93-R93)</f>
        <v/>
      </c>
      <c r="AF93">
        <f>IF($E93="","",IF($AR93=1,0,IF($AQ93=1,Settings!$C$6,Settings!$C$7))*100)</f>
        <v/>
      </c>
      <c r="AJ93" s="7" t="n"/>
      <c r="AM93" s="11" t="n"/>
      <c r="AO93">
        <f>IF($E93="","",IF(COUNTIF($E$2:$E93,$E93)=1,1,0))</f>
        <v/>
      </c>
      <c r="AP93">
        <f>IF($AO93=1,SUMPRODUCT(--($AS$2:$AS$1001&lt;$AS93))+1,"")</f>
        <v/>
      </c>
      <c r="AQ93">
        <f>IF($E93="","",IF(OR($V93=TRUE(),$V93="TRUE"),1,0))</f>
        <v/>
      </c>
      <c r="AR93">
        <f>IF($E93="","",IF($AE93="Yes",1,0))</f>
        <v/>
      </c>
      <c r="AS93">
        <f>IF($AO93=1,IFERROR(IF(VALUE($E93)&lt;100000000,VALUE($E93),1000000000),IFERROR(IF(VALUE(MID($E93,2,20))&lt;100000000,VALUE(MID($E93,2,20)),1000000000),1000000000))+ROW()/100000,"")</f>
        <v/>
      </c>
    </row>
    <row r="94">
      <c r="D94">
        <f>IF($E94="","",IFERROR(IF(INDEX('Per Invoice'!$A$2:$A$301,MATCH($E94,'Per Invoice'!$B$2:$B$301,0))=0,"",INDEX('Per Invoice'!$A$2:$A$301,MATCH($E94,'Per Invoice'!$B$2:$B$301,0))),""))</f>
        <v/>
      </c>
      <c r="H94" s="11" t="n"/>
      <c r="R94" s="7">
        <f>IF($E94="","",Q94*Z94/100)</f>
        <v/>
      </c>
      <c r="S94" s="7" t="n"/>
      <c r="Y94" s="7" t="n"/>
      <c r="Z94" s="7" t="n"/>
      <c r="AA94" s="7">
        <f>IF($E94="","",Z94*AF94/100)</f>
        <v/>
      </c>
      <c r="AB94" s="7">
        <f>IF($E94="","",Z94-AA94)</f>
        <v/>
      </c>
      <c r="AC94" s="7">
        <f>IF($E94="","",AB94-R94)</f>
        <v/>
      </c>
      <c r="AF94">
        <f>IF($E94="","",IF($AR94=1,0,IF($AQ94=1,Settings!$C$6,Settings!$C$7))*100)</f>
        <v/>
      </c>
      <c r="AJ94" s="7" t="n"/>
      <c r="AM94" s="11" t="n"/>
      <c r="AO94">
        <f>IF($E94="","",IF(COUNTIF($E$2:$E94,$E94)=1,1,0))</f>
        <v/>
      </c>
      <c r="AP94">
        <f>IF($AO94=1,SUMPRODUCT(--($AS$2:$AS$1001&lt;$AS94))+1,"")</f>
        <v/>
      </c>
      <c r="AQ94">
        <f>IF($E94="","",IF(OR($V94=TRUE(),$V94="TRUE"),1,0))</f>
        <v/>
      </c>
      <c r="AR94">
        <f>IF($E94="","",IF($AE94="Yes",1,0))</f>
        <v/>
      </c>
      <c r="AS94">
        <f>IF($AO94=1,IFERROR(IF(VALUE($E94)&lt;100000000,VALUE($E94),1000000000),IFERROR(IF(VALUE(MID($E94,2,20))&lt;100000000,VALUE(MID($E94,2,20)),1000000000),1000000000))+ROW()/100000,"")</f>
        <v/>
      </c>
    </row>
    <row r="95">
      <c r="D95">
        <f>IF($E95="","",IFERROR(IF(INDEX('Per Invoice'!$A$2:$A$301,MATCH($E95,'Per Invoice'!$B$2:$B$301,0))=0,"",INDEX('Per Invoice'!$A$2:$A$301,MATCH($E95,'Per Invoice'!$B$2:$B$301,0))),""))</f>
        <v/>
      </c>
      <c r="H95" s="11" t="n"/>
      <c r="R95" s="7">
        <f>IF($E95="","",Q95*Z95/100)</f>
        <v/>
      </c>
      <c r="S95" s="7" t="n"/>
      <c r="Y95" s="7" t="n"/>
      <c r="Z95" s="7" t="n"/>
      <c r="AA95" s="7">
        <f>IF($E95="","",Z95*AF95/100)</f>
        <v/>
      </c>
      <c r="AB95" s="7">
        <f>IF($E95="","",Z95-AA95)</f>
        <v/>
      </c>
      <c r="AC95" s="7">
        <f>IF($E95="","",AB95-R95)</f>
        <v/>
      </c>
      <c r="AF95">
        <f>IF($E95="","",IF($AR95=1,0,IF($AQ95=1,Settings!$C$6,Settings!$C$7))*100)</f>
        <v/>
      </c>
      <c r="AJ95" s="7" t="n"/>
      <c r="AM95" s="11" t="n"/>
      <c r="AO95">
        <f>IF($E95="","",IF(COUNTIF($E$2:$E95,$E95)=1,1,0))</f>
        <v/>
      </c>
      <c r="AP95">
        <f>IF($AO95=1,SUMPRODUCT(--($AS$2:$AS$1001&lt;$AS95))+1,"")</f>
        <v/>
      </c>
      <c r="AQ95">
        <f>IF($E95="","",IF(OR($V95=TRUE(),$V95="TRUE"),1,0))</f>
        <v/>
      </c>
      <c r="AR95">
        <f>IF($E95="","",IF($AE95="Yes",1,0))</f>
        <v/>
      </c>
      <c r="AS95">
        <f>IF($AO95=1,IFERROR(IF(VALUE($E95)&lt;100000000,VALUE($E95),1000000000),IFERROR(IF(VALUE(MID($E95,2,20))&lt;100000000,VALUE(MID($E95,2,20)),1000000000),1000000000))+ROW()/100000,"")</f>
        <v/>
      </c>
    </row>
    <row r="96">
      <c r="D96">
        <f>IF($E96="","",IFERROR(IF(INDEX('Per Invoice'!$A$2:$A$301,MATCH($E96,'Per Invoice'!$B$2:$B$301,0))=0,"",INDEX('Per Invoice'!$A$2:$A$301,MATCH($E96,'Per Invoice'!$B$2:$B$301,0))),""))</f>
        <v/>
      </c>
      <c r="H96" s="11" t="n"/>
      <c r="R96" s="7">
        <f>IF($E96="","",Q96*Z96/100)</f>
        <v/>
      </c>
      <c r="S96" s="7" t="n"/>
      <c r="Y96" s="7" t="n"/>
      <c r="Z96" s="7" t="n"/>
      <c r="AA96" s="7">
        <f>IF($E96="","",Z96*AF96/100)</f>
        <v/>
      </c>
      <c r="AB96" s="7">
        <f>IF($E96="","",Z96-AA96)</f>
        <v/>
      </c>
      <c r="AC96" s="7">
        <f>IF($E96="","",AB96-R96)</f>
        <v/>
      </c>
      <c r="AF96">
        <f>IF($E96="","",IF($AR96=1,0,IF($AQ96=1,Settings!$C$6,Settings!$C$7))*100)</f>
        <v/>
      </c>
      <c r="AJ96" s="7" t="n"/>
      <c r="AM96" s="11" t="n"/>
      <c r="AO96">
        <f>IF($E96="","",IF(COUNTIF($E$2:$E96,$E96)=1,1,0))</f>
        <v/>
      </c>
      <c r="AP96">
        <f>IF($AO96=1,SUMPRODUCT(--($AS$2:$AS$1001&lt;$AS96))+1,"")</f>
        <v/>
      </c>
      <c r="AQ96">
        <f>IF($E96="","",IF(OR($V96=TRUE(),$V96="TRUE"),1,0))</f>
        <v/>
      </c>
      <c r="AR96">
        <f>IF($E96="","",IF($AE96="Yes",1,0))</f>
        <v/>
      </c>
      <c r="AS96">
        <f>IF($AO96=1,IFERROR(IF(VALUE($E96)&lt;100000000,VALUE($E96),1000000000),IFERROR(IF(VALUE(MID($E96,2,20))&lt;100000000,VALUE(MID($E96,2,20)),1000000000),1000000000))+ROW()/100000,"")</f>
        <v/>
      </c>
    </row>
    <row r="97">
      <c r="D97">
        <f>IF($E97="","",IFERROR(IF(INDEX('Per Invoice'!$A$2:$A$301,MATCH($E97,'Per Invoice'!$B$2:$B$301,0))=0,"",INDEX('Per Invoice'!$A$2:$A$301,MATCH($E97,'Per Invoice'!$B$2:$B$301,0))),""))</f>
        <v/>
      </c>
      <c r="H97" s="11" t="n"/>
      <c r="R97" s="7">
        <f>IF($E97="","",Q97*Z97/100)</f>
        <v/>
      </c>
      <c r="S97" s="7" t="n"/>
      <c r="Y97" s="7" t="n"/>
      <c r="Z97" s="7" t="n"/>
      <c r="AA97" s="7">
        <f>IF($E97="","",Z97*AF97/100)</f>
        <v/>
      </c>
      <c r="AB97" s="7">
        <f>IF($E97="","",Z97-AA97)</f>
        <v/>
      </c>
      <c r="AC97" s="7">
        <f>IF($E97="","",AB97-R97)</f>
        <v/>
      </c>
      <c r="AF97">
        <f>IF($E97="","",IF($AR97=1,0,IF($AQ97=1,Settings!$C$6,Settings!$C$7))*100)</f>
        <v/>
      </c>
      <c r="AJ97" s="7" t="n"/>
      <c r="AM97" s="11" t="n"/>
      <c r="AO97">
        <f>IF($E97="","",IF(COUNTIF($E$2:$E97,$E97)=1,1,0))</f>
        <v/>
      </c>
      <c r="AP97">
        <f>IF($AO97=1,SUMPRODUCT(--($AS$2:$AS$1001&lt;$AS97))+1,"")</f>
        <v/>
      </c>
      <c r="AQ97">
        <f>IF($E97="","",IF(OR($V97=TRUE(),$V97="TRUE"),1,0))</f>
        <v/>
      </c>
      <c r="AR97">
        <f>IF($E97="","",IF($AE97="Yes",1,0))</f>
        <v/>
      </c>
      <c r="AS97">
        <f>IF($AO97=1,IFERROR(IF(VALUE($E97)&lt;100000000,VALUE($E97),1000000000),IFERROR(IF(VALUE(MID($E97,2,20))&lt;100000000,VALUE(MID($E97,2,20)),1000000000),1000000000))+ROW()/100000,"")</f>
        <v/>
      </c>
    </row>
    <row r="98">
      <c r="D98">
        <f>IF($E98="","",IFERROR(IF(INDEX('Per Invoice'!$A$2:$A$301,MATCH($E98,'Per Invoice'!$B$2:$B$301,0))=0,"",INDEX('Per Invoice'!$A$2:$A$301,MATCH($E98,'Per Invoice'!$B$2:$B$301,0))),""))</f>
        <v/>
      </c>
      <c r="H98" s="11" t="n"/>
      <c r="R98" s="7">
        <f>IF($E98="","",Q98*Z98/100)</f>
        <v/>
      </c>
      <c r="S98" s="7" t="n"/>
      <c r="Y98" s="7" t="n"/>
      <c r="Z98" s="7" t="n"/>
      <c r="AA98" s="7">
        <f>IF($E98="","",Z98*AF98/100)</f>
        <v/>
      </c>
      <c r="AB98" s="7">
        <f>IF($E98="","",Z98-AA98)</f>
        <v/>
      </c>
      <c r="AC98" s="7">
        <f>IF($E98="","",AB98-R98)</f>
        <v/>
      </c>
      <c r="AF98">
        <f>IF($E98="","",IF($AR98=1,0,IF($AQ98=1,Settings!$C$6,Settings!$C$7))*100)</f>
        <v/>
      </c>
      <c r="AJ98" s="7" t="n"/>
      <c r="AM98" s="11" t="n"/>
      <c r="AO98">
        <f>IF($E98="","",IF(COUNTIF($E$2:$E98,$E98)=1,1,0))</f>
        <v/>
      </c>
      <c r="AP98">
        <f>IF($AO98=1,SUMPRODUCT(--($AS$2:$AS$1001&lt;$AS98))+1,"")</f>
        <v/>
      </c>
      <c r="AQ98">
        <f>IF($E98="","",IF(OR($V98=TRUE(),$V98="TRUE"),1,0))</f>
        <v/>
      </c>
      <c r="AR98">
        <f>IF($E98="","",IF($AE98="Yes",1,0))</f>
        <v/>
      </c>
      <c r="AS98">
        <f>IF($AO98=1,IFERROR(IF(VALUE($E98)&lt;100000000,VALUE($E98),1000000000),IFERROR(IF(VALUE(MID($E98,2,20))&lt;100000000,VALUE(MID($E98,2,20)),1000000000),1000000000))+ROW()/100000,"")</f>
        <v/>
      </c>
    </row>
    <row r="99">
      <c r="D99">
        <f>IF($E99="","",IFERROR(IF(INDEX('Per Invoice'!$A$2:$A$301,MATCH($E99,'Per Invoice'!$B$2:$B$301,0))=0,"",INDEX('Per Invoice'!$A$2:$A$301,MATCH($E99,'Per Invoice'!$B$2:$B$301,0))),""))</f>
        <v/>
      </c>
      <c r="H99" s="11" t="n"/>
      <c r="R99" s="7">
        <f>IF($E99="","",Q99*Z99/100)</f>
        <v/>
      </c>
      <c r="S99" s="7" t="n"/>
      <c r="Y99" s="7" t="n"/>
      <c r="Z99" s="7" t="n"/>
      <c r="AA99" s="7">
        <f>IF($E99="","",Z99*AF99/100)</f>
        <v/>
      </c>
      <c r="AB99" s="7">
        <f>IF($E99="","",Z99-AA99)</f>
        <v/>
      </c>
      <c r="AC99" s="7">
        <f>IF($E99="","",AB99-R99)</f>
        <v/>
      </c>
      <c r="AF99">
        <f>IF($E99="","",IF($AR99=1,0,IF($AQ99=1,Settings!$C$6,Settings!$C$7))*100)</f>
        <v/>
      </c>
      <c r="AJ99" s="7" t="n"/>
      <c r="AM99" s="11" t="n"/>
      <c r="AO99">
        <f>IF($E99="","",IF(COUNTIF($E$2:$E99,$E99)=1,1,0))</f>
        <v/>
      </c>
      <c r="AP99">
        <f>IF($AO99=1,SUMPRODUCT(--($AS$2:$AS$1001&lt;$AS99))+1,"")</f>
        <v/>
      </c>
      <c r="AQ99">
        <f>IF($E99="","",IF(OR($V99=TRUE(),$V99="TRUE"),1,0))</f>
        <v/>
      </c>
      <c r="AR99">
        <f>IF($E99="","",IF($AE99="Yes",1,0))</f>
        <v/>
      </c>
      <c r="AS99">
        <f>IF($AO99=1,IFERROR(IF(VALUE($E99)&lt;100000000,VALUE($E99),1000000000),IFERROR(IF(VALUE(MID($E99,2,20))&lt;100000000,VALUE(MID($E99,2,20)),1000000000),1000000000))+ROW()/100000,"")</f>
        <v/>
      </c>
    </row>
    <row r="100">
      <c r="D100">
        <f>IF($E100="","",IFERROR(IF(INDEX('Per Invoice'!$A$2:$A$301,MATCH($E100,'Per Invoice'!$B$2:$B$301,0))=0,"",INDEX('Per Invoice'!$A$2:$A$301,MATCH($E100,'Per Invoice'!$B$2:$B$301,0))),""))</f>
        <v/>
      </c>
      <c r="H100" s="11" t="n"/>
      <c r="R100" s="7">
        <f>IF($E100="","",Q100*Z100/100)</f>
        <v/>
      </c>
      <c r="S100" s="7" t="n"/>
      <c r="Y100" s="7" t="n"/>
      <c r="Z100" s="7" t="n"/>
      <c r="AA100" s="7">
        <f>IF($E100="","",Z100*AF100/100)</f>
        <v/>
      </c>
      <c r="AB100" s="7">
        <f>IF($E100="","",Z100-AA100)</f>
        <v/>
      </c>
      <c r="AC100" s="7">
        <f>IF($E100="","",AB100-R100)</f>
        <v/>
      </c>
      <c r="AF100">
        <f>IF($E100="","",IF($AR100=1,0,IF($AQ100=1,Settings!$C$6,Settings!$C$7))*100)</f>
        <v/>
      </c>
      <c r="AJ100" s="7" t="n"/>
      <c r="AM100" s="11" t="n"/>
      <c r="AO100">
        <f>IF($E100="","",IF(COUNTIF($E$2:$E100,$E100)=1,1,0))</f>
        <v/>
      </c>
      <c r="AP100">
        <f>IF($AO100=1,SUMPRODUCT(--($AS$2:$AS$1001&lt;$AS100))+1,"")</f>
        <v/>
      </c>
      <c r="AQ100">
        <f>IF($E100="","",IF(OR($V100=TRUE(),$V100="TRUE"),1,0))</f>
        <v/>
      </c>
      <c r="AR100">
        <f>IF($E100="","",IF($AE100="Yes",1,0))</f>
        <v/>
      </c>
      <c r="AS100">
        <f>IF($AO100=1,IFERROR(IF(VALUE($E100)&lt;100000000,VALUE($E100),1000000000),IFERROR(IF(VALUE(MID($E100,2,20))&lt;100000000,VALUE(MID($E100,2,20)),1000000000),1000000000))+ROW()/100000,"")</f>
        <v/>
      </c>
    </row>
    <row r="101">
      <c r="D101">
        <f>IF($E101="","",IFERROR(IF(INDEX('Per Invoice'!$A$2:$A$301,MATCH($E101,'Per Invoice'!$B$2:$B$301,0))=0,"",INDEX('Per Invoice'!$A$2:$A$301,MATCH($E101,'Per Invoice'!$B$2:$B$301,0))),""))</f>
        <v/>
      </c>
      <c r="H101" s="11" t="n"/>
      <c r="R101" s="7">
        <f>IF($E101="","",Q101*Z101/100)</f>
        <v/>
      </c>
      <c r="S101" s="7" t="n"/>
      <c r="Y101" s="7" t="n"/>
      <c r="Z101" s="7" t="n"/>
      <c r="AA101" s="7">
        <f>IF($E101="","",Z101*AF101/100)</f>
        <v/>
      </c>
      <c r="AB101" s="7">
        <f>IF($E101="","",Z101-AA101)</f>
        <v/>
      </c>
      <c r="AC101" s="7">
        <f>IF($E101="","",AB101-R101)</f>
        <v/>
      </c>
      <c r="AF101">
        <f>IF($E101="","",IF($AR101=1,0,IF($AQ101=1,Settings!$C$6,Settings!$C$7))*100)</f>
        <v/>
      </c>
      <c r="AJ101" s="7" t="n"/>
      <c r="AM101" s="11" t="n"/>
      <c r="AO101">
        <f>IF($E101="","",IF(COUNTIF($E$2:$E101,$E101)=1,1,0))</f>
        <v/>
      </c>
      <c r="AP101">
        <f>IF($AO101=1,SUMPRODUCT(--($AS$2:$AS$1001&lt;$AS101))+1,"")</f>
        <v/>
      </c>
      <c r="AQ101">
        <f>IF($E101="","",IF(OR($V101=TRUE(),$V101="TRUE"),1,0))</f>
        <v/>
      </c>
      <c r="AR101">
        <f>IF($E101="","",IF($AE101="Yes",1,0))</f>
        <v/>
      </c>
      <c r="AS101">
        <f>IF($AO101=1,IFERROR(IF(VALUE($E101)&lt;100000000,VALUE($E101),1000000000),IFERROR(IF(VALUE(MID($E101,2,20))&lt;100000000,VALUE(MID($E101,2,20)),1000000000),1000000000))+ROW()/100000,"")</f>
        <v/>
      </c>
    </row>
    <row r="102">
      <c r="D102">
        <f>IF($E102="","",IFERROR(IF(INDEX('Per Invoice'!$A$2:$A$301,MATCH($E102,'Per Invoice'!$B$2:$B$301,0))=0,"",INDEX('Per Invoice'!$A$2:$A$301,MATCH($E102,'Per Invoice'!$B$2:$B$301,0))),""))</f>
        <v/>
      </c>
      <c r="H102" s="11" t="n"/>
      <c r="R102" s="7">
        <f>IF($E102="","",Q102*Z102/100)</f>
        <v/>
      </c>
      <c r="S102" s="7" t="n"/>
      <c r="Y102" s="7" t="n"/>
      <c r="Z102" s="7" t="n"/>
      <c r="AA102" s="7">
        <f>IF($E102="","",Z102*AF102/100)</f>
        <v/>
      </c>
      <c r="AB102" s="7">
        <f>IF($E102="","",Z102-AA102)</f>
        <v/>
      </c>
      <c r="AC102" s="7">
        <f>IF($E102="","",AB102-R102)</f>
        <v/>
      </c>
      <c r="AF102">
        <f>IF($E102="","",IF($AR102=1,0,IF($AQ102=1,Settings!$C$6,Settings!$C$7))*100)</f>
        <v/>
      </c>
      <c r="AJ102" s="7" t="n"/>
      <c r="AM102" s="11" t="n"/>
      <c r="AO102">
        <f>IF($E102="","",IF(COUNTIF($E$2:$E102,$E102)=1,1,0))</f>
        <v/>
      </c>
      <c r="AP102">
        <f>IF($AO102=1,SUMPRODUCT(--($AS$2:$AS$1001&lt;$AS102))+1,"")</f>
        <v/>
      </c>
      <c r="AQ102">
        <f>IF($E102="","",IF(OR($V102=TRUE(),$V102="TRUE"),1,0))</f>
        <v/>
      </c>
      <c r="AR102">
        <f>IF($E102="","",IF($AE102="Yes",1,0))</f>
        <v/>
      </c>
      <c r="AS102">
        <f>IF($AO102=1,IFERROR(IF(VALUE($E102)&lt;100000000,VALUE($E102),1000000000),IFERROR(IF(VALUE(MID($E102,2,20))&lt;100000000,VALUE(MID($E102,2,20)),1000000000),1000000000))+ROW()/100000,"")</f>
        <v/>
      </c>
    </row>
    <row r="103">
      <c r="D103">
        <f>IF($E103="","",IFERROR(IF(INDEX('Per Invoice'!$A$2:$A$301,MATCH($E103,'Per Invoice'!$B$2:$B$301,0))=0,"",INDEX('Per Invoice'!$A$2:$A$301,MATCH($E103,'Per Invoice'!$B$2:$B$301,0))),""))</f>
        <v/>
      </c>
      <c r="H103" s="11" t="n"/>
      <c r="R103" s="7">
        <f>IF($E103="","",Q103*Z103/100)</f>
        <v/>
      </c>
      <c r="S103" s="7" t="n"/>
      <c r="Y103" s="7" t="n"/>
      <c r="Z103" s="7" t="n"/>
      <c r="AA103" s="7">
        <f>IF($E103="","",Z103*AF103/100)</f>
        <v/>
      </c>
      <c r="AB103" s="7">
        <f>IF($E103="","",Z103-AA103)</f>
        <v/>
      </c>
      <c r="AC103" s="7">
        <f>IF($E103="","",AB103-R103)</f>
        <v/>
      </c>
      <c r="AF103">
        <f>IF($E103="","",IF($AR103=1,0,IF($AQ103=1,Settings!$C$6,Settings!$C$7))*100)</f>
        <v/>
      </c>
      <c r="AJ103" s="7" t="n"/>
      <c r="AM103" s="11" t="n"/>
      <c r="AO103">
        <f>IF($E103="","",IF(COUNTIF($E$2:$E103,$E103)=1,1,0))</f>
        <v/>
      </c>
      <c r="AP103">
        <f>IF($AO103=1,SUMPRODUCT(--($AS$2:$AS$1001&lt;$AS103))+1,"")</f>
        <v/>
      </c>
      <c r="AQ103">
        <f>IF($E103="","",IF(OR($V103=TRUE(),$V103="TRUE"),1,0))</f>
        <v/>
      </c>
      <c r="AR103">
        <f>IF($E103="","",IF($AE103="Yes",1,0))</f>
        <v/>
      </c>
      <c r="AS103">
        <f>IF($AO103=1,IFERROR(IF(VALUE($E103)&lt;100000000,VALUE($E103),1000000000),IFERROR(IF(VALUE(MID($E103,2,20))&lt;100000000,VALUE(MID($E103,2,20)),1000000000),1000000000))+ROW()/100000,"")</f>
        <v/>
      </c>
    </row>
    <row r="104">
      <c r="D104">
        <f>IF($E104="","",IFERROR(IF(INDEX('Per Invoice'!$A$2:$A$301,MATCH($E104,'Per Invoice'!$B$2:$B$301,0))=0,"",INDEX('Per Invoice'!$A$2:$A$301,MATCH($E104,'Per Invoice'!$B$2:$B$301,0))),""))</f>
        <v/>
      </c>
      <c r="H104" s="11" t="n"/>
      <c r="R104" s="7">
        <f>IF($E104="","",Q104*Z104/100)</f>
        <v/>
      </c>
      <c r="S104" s="7" t="n"/>
      <c r="Y104" s="7" t="n"/>
      <c r="Z104" s="7" t="n"/>
      <c r="AA104" s="7">
        <f>IF($E104="","",Z104*AF104/100)</f>
        <v/>
      </c>
      <c r="AB104" s="7">
        <f>IF($E104="","",Z104-AA104)</f>
        <v/>
      </c>
      <c r="AC104" s="7">
        <f>IF($E104="","",AB104-R104)</f>
        <v/>
      </c>
      <c r="AF104">
        <f>IF($E104="","",IF($AR104=1,0,IF($AQ104=1,Settings!$C$6,Settings!$C$7))*100)</f>
        <v/>
      </c>
      <c r="AJ104" s="7" t="n"/>
      <c r="AM104" s="11" t="n"/>
      <c r="AO104">
        <f>IF($E104="","",IF(COUNTIF($E$2:$E104,$E104)=1,1,0))</f>
        <v/>
      </c>
      <c r="AP104">
        <f>IF($AO104=1,SUMPRODUCT(--($AS$2:$AS$1001&lt;$AS104))+1,"")</f>
        <v/>
      </c>
      <c r="AQ104">
        <f>IF($E104="","",IF(OR($V104=TRUE(),$V104="TRUE"),1,0))</f>
        <v/>
      </c>
      <c r="AR104">
        <f>IF($E104="","",IF($AE104="Yes",1,0))</f>
        <v/>
      </c>
      <c r="AS104">
        <f>IF($AO104=1,IFERROR(IF(VALUE($E104)&lt;100000000,VALUE($E104),1000000000),IFERROR(IF(VALUE(MID($E104,2,20))&lt;100000000,VALUE(MID($E104,2,20)),1000000000),1000000000))+ROW()/100000,"")</f>
        <v/>
      </c>
    </row>
    <row r="105">
      <c r="D105">
        <f>IF($E105="","",IFERROR(IF(INDEX('Per Invoice'!$A$2:$A$301,MATCH($E105,'Per Invoice'!$B$2:$B$301,0))=0,"",INDEX('Per Invoice'!$A$2:$A$301,MATCH($E105,'Per Invoice'!$B$2:$B$301,0))),""))</f>
        <v/>
      </c>
      <c r="H105" s="11" t="n"/>
      <c r="R105" s="7">
        <f>IF($E105="","",Q105*Z105/100)</f>
        <v/>
      </c>
      <c r="S105" s="7" t="n"/>
      <c r="Y105" s="7" t="n"/>
      <c r="Z105" s="7" t="n"/>
      <c r="AA105" s="7">
        <f>IF($E105="","",Z105*AF105/100)</f>
        <v/>
      </c>
      <c r="AB105" s="7">
        <f>IF($E105="","",Z105-AA105)</f>
        <v/>
      </c>
      <c r="AC105" s="7">
        <f>IF($E105="","",AB105-R105)</f>
        <v/>
      </c>
      <c r="AF105">
        <f>IF($E105="","",IF($AR105=1,0,IF($AQ105=1,Settings!$C$6,Settings!$C$7))*100)</f>
        <v/>
      </c>
      <c r="AJ105" s="7" t="n"/>
      <c r="AM105" s="11" t="n"/>
      <c r="AO105">
        <f>IF($E105="","",IF(COUNTIF($E$2:$E105,$E105)=1,1,0))</f>
        <v/>
      </c>
      <c r="AP105">
        <f>IF($AO105=1,SUMPRODUCT(--($AS$2:$AS$1001&lt;$AS105))+1,"")</f>
        <v/>
      </c>
      <c r="AQ105">
        <f>IF($E105="","",IF(OR($V105=TRUE(),$V105="TRUE"),1,0))</f>
        <v/>
      </c>
      <c r="AR105">
        <f>IF($E105="","",IF($AE105="Yes",1,0))</f>
        <v/>
      </c>
      <c r="AS105">
        <f>IF($AO105=1,IFERROR(IF(VALUE($E105)&lt;100000000,VALUE($E105),1000000000),IFERROR(IF(VALUE(MID($E105,2,20))&lt;100000000,VALUE(MID($E105,2,20)),1000000000),1000000000))+ROW()/100000,"")</f>
        <v/>
      </c>
    </row>
    <row r="106">
      <c r="D106">
        <f>IF($E106="","",IFERROR(IF(INDEX('Per Invoice'!$A$2:$A$301,MATCH($E106,'Per Invoice'!$B$2:$B$301,0))=0,"",INDEX('Per Invoice'!$A$2:$A$301,MATCH($E106,'Per Invoice'!$B$2:$B$301,0))),""))</f>
        <v/>
      </c>
      <c r="H106" s="11" t="n"/>
      <c r="R106" s="7">
        <f>IF($E106="","",Q106*Z106/100)</f>
        <v/>
      </c>
      <c r="S106" s="7" t="n"/>
      <c r="Y106" s="7" t="n"/>
      <c r="Z106" s="7" t="n"/>
      <c r="AA106" s="7">
        <f>IF($E106="","",Z106*AF106/100)</f>
        <v/>
      </c>
      <c r="AB106" s="7">
        <f>IF($E106="","",Z106-AA106)</f>
        <v/>
      </c>
      <c r="AC106" s="7">
        <f>IF($E106="","",AB106-R106)</f>
        <v/>
      </c>
      <c r="AF106">
        <f>IF($E106="","",IF($AR106=1,0,IF($AQ106=1,Settings!$C$6,Settings!$C$7))*100)</f>
        <v/>
      </c>
      <c r="AJ106" s="7" t="n"/>
      <c r="AM106" s="11" t="n"/>
      <c r="AO106">
        <f>IF($E106="","",IF(COUNTIF($E$2:$E106,$E106)=1,1,0))</f>
        <v/>
      </c>
      <c r="AP106">
        <f>IF($AO106=1,SUMPRODUCT(--($AS$2:$AS$1001&lt;$AS106))+1,"")</f>
        <v/>
      </c>
      <c r="AQ106">
        <f>IF($E106="","",IF(OR($V106=TRUE(),$V106="TRUE"),1,0))</f>
        <v/>
      </c>
      <c r="AR106">
        <f>IF($E106="","",IF($AE106="Yes",1,0))</f>
        <v/>
      </c>
      <c r="AS106">
        <f>IF($AO106=1,IFERROR(IF(VALUE($E106)&lt;100000000,VALUE($E106),1000000000),IFERROR(IF(VALUE(MID($E106,2,20))&lt;100000000,VALUE(MID($E106,2,20)),1000000000),1000000000))+ROW()/100000,"")</f>
        <v/>
      </c>
    </row>
    <row r="107">
      <c r="D107">
        <f>IF($E107="","",IFERROR(IF(INDEX('Per Invoice'!$A$2:$A$301,MATCH($E107,'Per Invoice'!$B$2:$B$301,0))=0,"",INDEX('Per Invoice'!$A$2:$A$301,MATCH($E107,'Per Invoice'!$B$2:$B$301,0))),""))</f>
        <v/>
      </c>
      <c r="H107" s="11" t="n"/>
      <c r="R107" s="7">
        <f>IF($E107="","",Q107*Z107/100)</f>
        <v/>
      </c>
      <c r="S107" s="7" t="n"/>
      <c r="Y107" s="7" t="n"/>
      <c r="Z107" s="7" t="n"/>
      <c r="AA107" s="7">
        <f>IF($E107="","",Z107*AF107/100)</f>
        <v/>
      </c>
      <c r="AB107" s="7">
        <f>IF($E107="","",Z107-AA107)</f>
        <v/>
      </c>
      <c r="AC107" s="7">
        <f>IF($E107="","",AB107-R107)</f>
        <v/>
      </c>
      <c r="AF107">
        <f>IF($E107="","",IF($AR107=1,0,IF($AQ107=1,Settings!$C$6,Settings!$C$7))*100)</f>
        <v/>
      </c>
      <c r="AJ107" s="7" t="n"/>
      <c r="AM107" s="11" t="n"/>
      <c r="AO107">
        <f>IF($E107="","",IF(COUNTIF($E$2:$E107,$E107)=1,1,0))</f>
        <v/>
      </c>
      <c r="AP107">
        <f>IF($AO107=1,SUMPRODUCT(--($AS$2:$AS$1001&lt;$AS107))+1,"")</f>
        <v/>
      </c>
      <c r="AQ107">
        <f>IF($E107="","",IF(OR($V107=TRUE(),$V107="TRUE"),1,0))</f>
        <v/>
      </c>
      <c r="AR107">
        <f>IF($E107="","",IF($AE107="Yes",1,0))</f>
        <v/>
      </c>
      <c r="AS107">
        <f>IF($AO107=1,IFERROR(IF(VALUE($E107)&lt;100000000,VALUE($E107),1000000000),IFERROR(IF(VALUE(MID($E107,2,20))&lt;100000000,VALUE(MID($E107,2,20)),1000000000),1000000000))+ROW()/100000,"")</f>
        <v/>
      </c>
    </row>
    <row r="108">
      <c r="D108">
        <f>IF($E108="","",IFERROR(IF(INDEX('Per Invoice'!$A$2:$A$301,MATCH($E108,'Per Invoice'!$B$2:$B$301,0))=0,"",INDEX('Per Invoice'!$A$2:$A$301,MATCH($E108,'Per Invoice'!$B$2:$B$301,0))),""))</f>
        <v/>
      </c>
      <c r="H108" s="11" t="n"/>
      <c r="R108" s="7">
        <f>IF($E108="","",Q108*Z108/100)</f>
        <v/>
      </c>
      <c r="S108" s="7" t="n"/>
      <c r="Y108" s="7" t="n"/>
      <c r="Z108" s="7" t="n"/>
      <c r="AA108" s="7">
        <f>IF($E108="","",Z108*AF108/100)</f>
        <v/>
      </c>
      <c r="AB108" s="7">
        <f>IF($E108="","",Z108-AA108)</f>
        <v/>
      </c>
      <c r="AC108" s="7">
        <f>IF($E108="","",AB108-R108)</f>
        <v/>
      </c>
      <c r="AF108">
        <f>IF($E108="","",IF($AR108=1,0,IF($AQ108=1,Settings!$C$6,Settings!$C$7))*100)</f>
        <v/>
      </c>
      <c r="AJ108" s="7" t="n"/>
      <c r="AM108" s="11" t="n"/>
      <c r="AO108">
        <f>IF($E108="","",IF(COUNTIF($E$2:$E108,$E108)=1,1,0))</f>
        <v/>
      </c>
      <c r="AP108">
        <f>IF($AO108=1,SUMPRODUCT(--($AS$2:$AS$1001&lt;$AS108))+1,"")</f>
        <v/>
      </c>
      <c r="AQ108">
        <f>IF($E108="","",IF(OR($V108=TRUE(),$V108="TRUE"),1,0))</f>
        <v/>
      </c>
      <c r="AR108">
        <f>IF($E108="","",IF($AE108="Yes",1,0))</f>
        <v/>
      </c>
      <c r="AS108">
        <f>IF($AO108=1,IFERROR(IF(VALUE($E108)&lt;100000000,VALUE($E108),1000000000),IFERROR(IF(VALUE(MID($E108,2,20))&lt;100000000,VALUE(MID($E108,2,20)),1000000000),1000000000))+ROW()/100000,"")</f>
        <v/>
      </c>
    </row>
    <row r="109">
      <c r="D109">
        <f>IF($E109="","",IFERROR(IF(INDEX('Per Invoice'!$A$2:$A$301,MATCH($E109,'Per Invoice'!$B$2:$B$301,0))=0,"",INDEX('Per Invoice'!$A$2:$A$301,MATCH($E109,'Per Invoice'!$B$2:$B$301,0))),""))</f>
        <v/>
      </c>
      <c r="H109" s="11" t="n"/>
      <c r="R109" s="7">
        <f>IF($E109="","",Q109*Z109/100)</f>
        <v/>
      </c>
      <c r="S109" s="7" t="n"/>
      <c r="Y109" s="7" t="n"/>
      <c r="Z109" s="7" t="n"/>
      <c r="AA109" s="7">
        <f>IF($E109="","",Z109*AF109/100)</f>
        <v/>
      </c>
      <c r="AB109" s="7">
        <f>IF($E109="","",Z109-AA109)</f>
        <v/>
      </c>
      <c r="AC109" s="7">
        <f>IF($E109="","",AB109-R109)</f>
        <v/>
      </c>
      <c r="AF109">
        <f>IF($E109="","",IF($AR109=1,0,IF($AQ109=1,Settings!$C$6,Settings!$C$7))*100)</f>
        <v/>
      </c>
      <c r="AJ109" s="7" t="n"/>
      <c r="AM109" s="11" t="n"/>
      <c r="AO109">
        <f>IF($E109="","",IF(COUNTIF($E$2:$E109,$E109)=1,1,0))</f>
        <v/>
      </c>
      <c r="AP109">
        <f>IF($AO109=1,SUMPRODUCT(--($AS$2:$AS$1001&lt;$AS109))+1,"")</f>
        <v/>
      </c>
      <c r="AQ109">
        <f>IF($E109="","",IF(OR($V109=TRUE(),$V109="TRUE"),1,0))</f>
        <v/>
      </c>
      <c r="AR109">
        <f>IF($E109="","",IF($AE109="Yes",1,0))</f>
        <v/>
      </c>
      <c r="AS109">
        <f>IF($AO109=1,IFERROR(IF(VALUE($E109)&lt;100000000,VALUE($E109),1000000000),IFERROR(IF(VALUE(MID($E109,2,20))&lt;100000000,VALUE(MID($E109,2,20)),1000000000),1000000000))+ROW()/100000,"")</f>
        <v/>
      </c>
    </row>
    <row r="110">
      <c r="D110">
        <f>IF($E110="","",IFERROR(IF(INDEX('Per Invoice'!$A$2:$A$301,MATCH($E110,'Per Invoice'!$B$2:$B$301,0))=0,"",INDEX('Per Invoice'!$A$2:$A$301,MATCH($E110,'Per Invoice'!$B$2:$B$301,0))),""))</f>
        <v/>
      </c>
      <c r="H110" s="11" t="n"/>
      <c r="R110" s="7">
        <f>IF($E110="","",Q110*Z110/100)</f>
        <v/>
      </c>
      <c r="S110" s="7" t="n"/>
      <c r="Y110" s="7" t="n"/>
      <c r="Z110" s="7" t="n"/>
      <c r="AA110" s="7">
        <f>IF($E110="","",Z110*AF110/100)</f>
        <v/>
      </c>
      <c r="AB110" s="7">
        <f>IF($E110="","",Z110-AA110)</f>
        <v/>
      </c>
      <c r="AC110" s="7">
        <f>IF($E110="","",AB110-R110)</f>
        <v/>
      </c>
      <c r="AF110">
        <f>IF($E110="","",IF($AR110=1,0,IF($AQ110=1,Settings!$C$6,Settings!$C$7))*100)</f>
        <v/>
      </c>
      <c r="AJ110" s="7" t="n"/>
      <c r="AM110" s="11" t="n"/>
      <c r="AO110">
        <f>IF($E110="","",IF(COUNTIF($E$2:$E110,$E110)=1,1,0))</f>
        <v/>
      </c>
      <c r="AP110">
        <f>IF($AO110=1,SUMPRODUCT(--($AS$2:$AS$1001&lt;$AS110))+1,"")</f>
        <v/>
      </c>
      <c r="AQ110">
        <f>IF($E110="","",IF(OR($V110=TRUE(),$V110="TRUE"),1,0))</f>
        <v/>
      </c>
      <c r="AR110">
        <f>IF($E110="","",IF($AE110="Yes",1,0))</f>
        <v/>
      </c>
      <c r="AS110">
        <f>IF($AO110=1,IFERROR(IF(VALUE($E110)&lt;100000000,VALUE($E110),1000000000),IFERROR(IF(VALUE(MID($E110,2,20))&lt;100000000,VALUE(MID($E110,2,20)),1000000000),1000000000))+ROW()/100000,"")</f>
        <v/>
      </c>
    </row>
    <row r="111">
      <c r="D111">
        <f>IF($E111="","",IFERROR(IF(INDEX('Per Invoice'!$A$2:$A$301,MATCH($E111,'Per Invoice'!$B$2:$B$301,0))=0,"",INDEX('Per Invoice'!$A$2:$A$301,MATCH($E111,'Per Invoice'!$B$2:$B$301,0))),""))</f>
        <v/>
      </c>
      <c r="H111" s="11" t="n"/>
      <c r="R111" s="7">
        <f>IF($E111="","",Q111*Z111/100)</f>
        <v/>
      </c>
      <c r="S111" s="7" t="n"/>
      <c r="Y111" s="7" t="n"/>
      <c r="Z111" s="7" t="n"/>
      <c r="AA111" s="7">
        <f>IF($E111="","",Z111*AF111/100)</f>
        <v/>
      </c>
      <c r="AB111" s="7">
        <f>IF($E111="","",Z111-AA111)</f>
        <v/>
      </c>
      <c r="AC111" s="7">
        <f>IF($E111="","",AB111-R111)</f>
        <v/>
      </c>
      <c r="AF111">
        <f>IF($E111="","",IF($AR111=1,0,IF($AQ111=1,Settings!$C$6,Settings!$C$7))*100)</f>
        <v/>
      </c>
      <c r="AJ111" s="7" t="n"/>
      <c r="AM111" s="11" t="n"/>
      <c r="AO111">
        <f>IF($E111="","",IF(COUNTIF($E$2:$E111,$E111)=1,1,0))</f>
        <v/>
      </c>
      <c r="AP111">
        <f>IF($AO111=1,SUMPRODUCT(--($AS$2:$AS$1001&lt;$AS111))+1,"")</f>
        <v/>
      </c>
      <c r="AQ111">
        <f>IF($E111="","",IF(OR($V111=TRUE(),$V111="TRUE"),1,0))</f>
        <v/>
      </c>
      <c r="AR111">
        <f>IF($E111="","",IF($AE111="Yes",1,0))</f>
        <v/>
      </c>
      <c r="AS111">
        <f>IF($AO111=1,IFERROR(IF(VALUE($E111)&lt;100000000,VALUE($E111),1000000000),IFERROR(IF(VALUE(MID($E111,2,20))&lt;100000000,VALUE(MID($E111,2,20)),1000000000),1000000000))+ROW()/100000,"")</f>
        <v/>
      </c>
    </row>
    <row r="112">
      <c r="D112">
        <f>IF($E112="","",IFERROR(IF(INDEX('Per Invoice'!$A$2:$A$301,MATCH($E112,'Per Invoice'!$B$2:$B$301,0))=0,"",INDEX('Per Invoice'!$A$2:$A$301,MATCH($E112,'Per Invoice'!$B$2:$B$301,0))),""))</f>
        <v/>
      </c>
      <c r="H112" s="11" t="n"/>
      <c r="R112" s="7">
        <f>IF($E112="","",Q112*Z112/100)</f>
        <v/>
      </c>
      <c r="S112" s="7" t="n"/>
      <c r="Y112" s="7" t="n"/>
      <c r="Z112" s="7" t="n"/>
      <c r="AA112" s="7">
        <f>IF($E112="","",Z112*AF112/100)</f>
        <v/>
      </c>
      <c r="AB112" s="7">
        <f>IF($E112="","",Z112-AA112)</f>
        <v/>
      </c>
      <c r="AC112" s="7">
        <f>IF($E112="","",AB112-R112)</f>
        <v/>
      </c>
      <c r="AF112">
        <f>IF($E112="","",IF($AR112=1,0,IF($AQ112=1,Settings!$C$6,Settings!$C$7))*100)</f>
        <v/>
      </c>
      <c r="AJ112" s="7" t="n"/>
      <c r="AM112" s="11" t="n"/>
      <c r="AO112">
        <f>IF($E112="","",IF(COUNTIF($E$2:$E112,$E112)=1,1,0))</f>
        <v/>
      </c>
      <c r="AP112">
        <f>IF($AO112=1,SUMPRODUCT(--($AS$2:$AS$1001&lt;$AS112))+1,"")</f>
        <v/>
      </c>
      <c r="AQ112">
        <f>IF($E112="","",IF(OR($V112=TRUE(),$V112="TRUE"),1,0))</f>
        <v/>
      </c>
      <c r="AR112">
        <f>IF($E112="","",IF($AE112="Yes",1,0))</f>
        <v/>
      </c>
      <c r="AS112">
        <f>IF($AO112=1,IFERROR(IF(VALUE($E112)&lt;100000000,VALUE($E112),1000000000),IFERROR(IF(VALUE(MID($E112,2,20))&lt;100000000,VALUE(MID($E112,2,20)),1000000000),1000000000))+ROW()/100000,"")</f>
        <v/>
      </c>
    </row>
    <row r="113">
      <c r="D113">
        <f>IF($E113="","",IFERROR(IF(INDEX('Per Invoice'!$A$2:$A$301,MATCH($E113,'Per Invoice'!$B$2:$B$301,0))=0,"",INDEX('Per Invoice'!$A$2:$A$301,MATCH($E113,'Per Invoice'!$B$2:$B$301,0))),""))</f>
        <v/>
      </c>
      <c r="H113" s="11" t="n"/>
      <c r="R113" s="7">
        <f>IF($E113="","",Q113*Z113/100)</f>
        <v/>
      </c>
      <c r="S113" s="7" t="n"/>
      <c r="Y113" s="7" t="n"/>
      <c r="Z113" s="7" t="n"/>
      <c r="AA113" s="7">
        <f>IF($E113="","",Z113*AF113/100)</f>
        <v/>
      </c>
      <c r="AB113" s="7">
        <f>IF($E113="","",Z113-AA113)</f>
        <v/>
      </c>
      <c r="AC113" s="7">
        <f>IF($E113="","",AB113-R113)</f>
        <v/>
      </c>
      <c r="AF113">
        <f>IF($E113="","",IF($AR113=1,0,IF($AQ113=1,Settings!$C$6,Settings!$C$7))*100)</f>
        <v/>
      </c>
      <c r="AJ113" s="7" t="n"/>
      <c r="AM113" s="11" t="n"/>
      <c r="AO113">
        <f>IF($E113="","",IF(COUNTIF($E$2:$E113,$E113)=1,1,0))</f>
        <v/>
      </c>
      <c r="AP113">
        <f>IF($AO113=1,SUMPRODUCT(--($AS$2:$AS$1001&lt;$AS113))+1,"")</f>
        <v/>
      </c>
      <c r="AQ113">
        <f>IF($E113="","",IF(OR($V113=TRUE(),$V113="TRUE"),1,0))</f>
        <v/>
      </c>
      <c r="AR113">
        <f>IF($E113="","",IF($AE113="Yes",1,0))</f>
        <v/>
      </c>
      <c r="AS113">
        <f>IF($AO113=1,IFERROR(IF(VALUE($E113)&lt;100000000,VALUE($E113),1000000000),IFERROR(IF(VALUE(MID($E113,2,20))&lt;100000000,VALUE(MID($E113,2,20)),1000000000),1000000000))+ROW()/100000,"")</f>
        <v/>
      </c>
    </row>
    <row r="114">
      <c r="D114">
        <f>IF($E114="","",IFERROR(IF(INDEX('Per Invoice'!$A$2:$A$301,MATCH($E114,'Per Invoice'!$B$2:$B$301,0))=0,"",INDEX('Per Invoice'!$A$2:$A$301,MATCH($E114,'Per Invoice'!$B$2:$B$301,0))),""))</f>
        <v/>
      </c>
      <c r="H114" s="11" t="n"/>
      <c r="R114" s="7">
        <f>IF($E114="","",Q114*Z114/100)</f>
        <v/>
      </c>
      <c r="S114" s="7" t="n"/>
      <c r="Y114" s="7" t="n"/>
      <c r="Z114" s="7" t="n"/>
      <c r="AA114" s="7">
        <f>IF($E114="","",Z114*AF114/100)</f>
        <v/>
      </c>
      <c r="AB114" s="7">
        <f>IF($E114="","",Z114-AA114)</f>
        <v/>
      </c>
      <c r="AC114" s="7">
        <f>IF($E114="","",AB114-R114)</f>
        <v/>
      </c>
      <c r="AF114">
        <f>IF($E114="","",IF($AR114=1,0,IF($AQ114=1,Settings!$C$6,Settings!$C$7))*100)</f>
        <v/>
      </c>
      <c r="AJ114" s="7" t="n"/>
      <c r="AM114" s="11" t="n"/>
      <c r="AO114">
        <f>IF($E114="","",IF(COUNTIF($E$2:$E114,$E114)=1,1,0))</f>
        <v/>
      </c>
      <c r="AP114">
        <f>IF($AO114=1,SUMPRODUCT(--($AS$2:$AS$1001&lt;$AS114))+1,"")</f>
        <v/>
      </c>
      <c r="AQ114">
        <f>IF($E114="","",IF(OR($V114=TRUE(),$V114="TRUE"),1,0))</f>
        <v/>
      </c>
      <c r="AR114">
        <f>IF($E114="","",IF($AE114="Yes",1,0))</f>
        <v/>
      </c>
      <c r="AS114">
        <f>IF($AO114=1,IFERROR(IF(VALUE($E114)&lt;100000000,VALUE($E114),1000000000),IFERROR(IF(VALUE(MID($E114,2,20))&lt;100000000,VALUE(MID($E114,2,20)),1000000000),1000000000))+ROW()/100000,"")</f>
        <v/>
      </c>
    </row>
    <row r="115">
      <c r="D115">
        <f>IF($E115="","",IFERROR(IF(INDEX('Per Invoice'!$A$2:$A$301,MATCH($E115,'Per Invoice'!$B$2:$B$301,0))=0,"",INDEX('Per Invoice'!$A$2:$A$301,MATCH($E115,'Per Invoice'!$B$2:$B$301,0))),""))</f>
        <v/>
      </c>
      <c r="H115" s="11" t="n"/>
      <c r="R115" s="7">
        <f>IF($E115="","",Q115*Z115/100)</f>
        <v/>
      </c>
      <c r="S115" s="7" t="n"/>
      <c r="Y115" s="7" t="n"/>
      <c r="Z115" s="7" t="n"/>
      <c r="AA115" s="7">
        <f>IF($E115="","",Z115*AF115/100)</f>
        <v/>
      </c>
      <c r="AB115" s="7">
        <f>IF($E115="","",Z115-AA115)</f>
        <v/>
      </c>
      <c r="AC115" s="7">
        <f>IF($E115="","",AB115-R115)</f>
        <v/>
      </c>
      <c r="AF115">
        <f>IF($E115="","",IF($AR115=1,0,IF($AQ115=1,Settings!$C$6,Settings!$C$7))*100)</f>
        <v/>
      </c>
      <c r="AJ115" s="7" t="n"/>
      <c r="AM115" s="11" t="n"/>
      <c r="AO115">
        <f>IF($E115="","",IF(COUNTIF($E$2:$E115,$E115)=1,1,0))</f>
        <v/>
      </c>
      <c r="AP115">
        <f>IF($AO115=1,SUMPRODUCT(--($AS$2:$AS$1001&lt;$AS115))+1,"")</f>
        <v/>
      </c>
      <c r="AQ115">
        <f>IF($E115="","",IF(OR($V115=TRUE(),$V115="TRUE"),1,0))</f>
        <v/>
      </c>
      <c r="AR115">
        <f>IF($E115="","",IF($AE115="Yes",1,0))</f>
        <v/>
      </c>
      <c r="AS115">
        <f>IF($AO115=1,IFERROR(IF(VALUE($E115)&lt;100000000,VALUE($E115),1000000000),IFERROR(IF(VALUE(MID($E115,2,20))&lt;100000000,VALUE(MID($E115,2,20)),1000000000),1000000000))+ROW()/100000,"")</f>
        <v/>
      </c>
    </row>
    <row r="116">
      <c r="D116">
        <f>IF($E116="","",IFERROR(IF(INDEX('Per Invoice'!$A$2:$A$301,MATCH($E116,'Per Invoice'!$B$2:$B$301,0))=0,"",INDEX('Per Invoice'!$A$2:$A$301,MATCH($E116,'Per Invoice'!$B$2:$B$301,0))),""))</f>
        <v/>
      </c>
      <c r="H116" s="11" t="n"/>
      <c r="R116" s="7">
        <f>IF($E116="","",Q116*Z116/100)</f>
        <v/>
      </c>
      <c r="S116" s="7" t="n"/>
      <c r="Y116" s="7" t="n"/>
      <c r="Z116" s="7" t="n"/>
      <c r="AA116" s="7">
        <f>IF($E116="","",Z116*AF116/100)</f>
        <v/>
      </c>
      <c r="AB116" s="7">
        <f>IF($E116="","",Z116-AA116)</f>
        <v/>
      </c>
      <c r="AC116" s="7">
        <f>IF($E116="","",AB116-R116)</f>
        <v/>
      </c>
      <c r="AF116">
        <f>IF($E116="","",IF($AR116=1,0,IF($AQ116=1,Settings!$C$6,Settings!$C$7))*100)</f>
        <v/>
      </c>
      <c r="AJ116" s="7" t="n"/>
      <c r="AM116" s="11" t="n"/>
      <c r="AO116">
        <f>IF($E116="","",IF(COUNTIF($E$2:$E116,$E116)=1,1,0))</f>
        <v/>
      </c>
      <c r="AP116">
        <f>IF($AO116=1,SUMPRODUCT(--($AS$2:$AS$1001&lt;$AS116))+1,"")</f>
        <v/>
      </c>
      <c r="AQ116">
        <f>IF($E116="","",IF(OR($V116=TRUE(),$V116="TRUE"),1,0))</f>
        <v/>
      </c>
      <c r="AR116">
        <f>IF($E116="","",IF($AE116="Yes",1,0))</f>
        <v/>
      </c>
      <c r="AS116">
        <f>IF($AO116=1,IFERROR(IF(VALUE($E116)&lt;100000000,VALUE($E116),1000000000),IFERROR(IF(VALUE(MID($E116,2,20))&lt;100000000,VALUE(MID($E116,2,20)),1000000000),1000000000))+ROW()/100000,"")</f>
        <v/>
      </c>
    </row>
    <row r="117">
      <c r="D117">
        <f>IF($E117="","",IFERROR(IF(INDEX('Per Invoice'!$A$2:$A$301,MATCH($E117,'Per Invoice'!$B$2:$B$301,0))=0,"",INDEX('Per Invoice'!$A$2:$A$301,MATCH($E117,'Per Invoice'!$B$2:$B$301,0))),""))</f>
        <v/>
      </c>
      <c r="H117" s="11" t="n"/>
      <c r="R117" s="7">
        <f>IF($E117="","",Q117*Z117/100)</f>
        <v/>
      </c>
      <c r="S117" s="7" t="n"/>
      <c r="Y117" s="7" t="n"/>
      <c r="Z117" s="7" t="n"/>
      <c r="AA117" s="7">
        <f>IF($E117="","",Z117*AF117/100)</f>
        <v/>
      </c>
      <c r="AB117" s="7">
        <f>IF($E117="","",Z117-AA117)</f>
        <v/>
      </c>
      <c r="AC117" s="7">
        <f>IF($E117="","",AB117-R117)</f>
        <v/>
      </c>
      <c r="AF117">
        <f>IF($E117="","",IF($AR117=1,0,IF($AQ117=1,Settings!$C$6,Settings!$C$7))*100)</f>
        <v/>
      </c>
      <c r="AJ117" s="7" t="n"/>
      <c r="AM117" s="11" t="n"/>
      <c r="AO117">
        <f>IF($E117="","",IF(COUNTIF($E$2:$E117,$E117)=1,1,0))</f>
        <v/>
      </c>
      <c r="AP117">
        <f>IF($AO117=1,SUMPRODUCT(--($AS$2:$AS$1001&lt;$AS117))+1,"")</f>
        <v/>
      </c>
      <c r="AQ117">
        <f>IF($E117="","",IF(OR($V117=TRUE(),$V117="TRUE"),1,0))</f>
        <v/>
      </c>
      <c r="AR117">
        <f>IF($E117="","",IF($AE117="Yes",1,0))</f>
        <v/>
      </c>
      <c r="AS117">
        <f>IF($AO117=1,IFERROR(IF(VALUE($E117)&lt;100000000,VALUE($E117),1000000000),IFERROR(IF(VALUE(MID($E117,2,20))&lt;100000000,VALUE(MID($E117,2,20)),1000000000),1000000000))+ROW()/100000,"")</f>
        <v/>
      </c>
    </row>
    <row r="118">
      <c r="D118">
        <f>IF($E118="","",IFERROR(IF(INDEX('Per Invoice'!$A$2:$A$301,MATCH($E118,'Per Invoice'!$B$2:$B$301,0))=0,"",INDEX('Per Invoice'!$A$2:$A$301,MATCH($E118,'Per Invoice'!$B$2:$B$301,0))),""))</f>
        <v/>
      </c>
      <c r="H118" s="11" t="n"/>
      <c r="R118" s="7">
        <f>IF($E118="","",Q118*Z118/100)</f>
        <v/>
      </c>
      <c r="S118" s="7" t="n"/>
      <c r="Y118" s="7" t="n"/>
      <c r="Z118" s="7" t="n"/>
      <c r="AA118" s="7">
        <f>IF($E118="","",Z118*AF118/100)</f>
        <v/>
      </c>
      <c r="AB118" s="7">
        <f>IF($E118="","",Z118-AA118)</f>
        <v/>
      </c>
      <c r="AC118" s="7">
        <f>IF($E118="","",AB118-R118)</f>
        <v/>
      </c>
      <c r="AF118">
        <f>IF($E118="","",IF($AR118=1,0,IF($AQ118=1,Settings!$C$6,Settings!$C$7))*100)</f>
        <v/>
      </c>
      <c r="AJ118" s="7" t="n"/>
      <c r="AM118" s="11" t="n"/>
      <c r="AO118">
        <f>IF($E118="","",IF(COUNTIF($E$2:$E118,$E118)=1,1,0))</f>
        <v/>
      </c>
      <c r="AP118">
        <f>IF($AO118=1,SUMPRODUCT(--($AS$2:$AS$1001&lt;$AS118))+1,"")</f>
        <v/>
      </c>
      <c r="AQ118">
        <f>IF($E118="","",IF(OR($V118=TRUE(),$V118="TRUE"),1,0))</f>
        <v/>
      </c>
      <c r="AR118">
        <f>IF($E118="","",IF($AE118="Yes",1,0))</f>
        <v/>
      </c>
      <c r="AS118">
        <f>IF($AO118=1,IFERROR(IF(VALUE($E118)&lt;100000000,VALUE($E118),1000000000),IFERROR(IF(VALUE(MID($E118,2,20))&lt;100000000,VALUE(MID($E118,2,20)),1000000000),1000000000))+ROW()/100000,"")</f>
        <v/>
      </c>
    </row>
    <row r="119">
      <c r="D119">
        <f>IF($E119="","",IFERROR(IF(INDEX('Per Invoice'!$A$2:$A$301,MATCH($E119,'Per Invoice'!$B$2:$B$301,0))=0,"",INDEX('Per Invoice'!$A$2:$A$301,MATCH($E119,'Per Invoice'!$B$2:$B$301,0))),""))</f>
        <v/>
      </c>
      <c r="H119" s="11" t="n"/>
      <c r="R119" s="7">
        <f>IF($E119="","",Q119*Z119/100)</f>
        <v/>
      </c>
      <c r="S119" s="7" t="n"/>
      <c r="Y119" s="7" t="n"/>
      <c r="Z119" s="7" t="n"/>
      <c r="AA119" s="7">
        <f>IF($E119="","",Z119*AF119/100)</f>
        <v/>
      </c>
      <c r="AB119" s="7">
        <f>IF($E119="","",Z119-AA119)</f>
        <v/>
      </c>
      <c r="AC119" s="7">
        <f>IF($E119="","",AB119-R119)</f>
        <v/>
      </c>
      <c r="AF119">
        <f>IF($E119="","",IF($AR119=1,0,IF($AQ119=1,Settings!$C$6,Settings!$C$7))*100)</f>
        <v/>
      </c>
      <c r="AJ119" s="7" t="n"/>
      <c r="AM119" s="11" t="n"/>
      <c r="AO119">
        <f>IF($E119="","",IF(COUNTIF($E$2:$E119,$E119)=1,1,0))</f>
        <v/>
      </c>
      <c r="AP119">
        <f>IF($AO119=1,SUMPRODUCT(--($AS$2:$AS$1001&lt;$AS119))+1,"")</f>
        <v/>
      </c>
      <c r="AQ119">
        <f>IF($E119="","",IF(OR($V119=TRUE(),$V119="TRUE"),1,0))</f>
        <v/>
      </c>
      <c r="AR119">
        <f>IF($E119="","",IF($AE119="Yes",1,0))</f>
        <v/>
      </c>
      <c r="AS119">
        <f>IF($AO119=1,IFERROR(IF(VALUE($E119)&lt;100000000,VALUE($E119),1000000000),IFERROR(IF(VALUE(MID($E119,2,20))&lt;100000000,VALUE(MID($E119,2,20)),1000000000),1000000000))+ROW()/100000,"")</f>
        <v/>
      </c>
    </row>
    <row r="120">
      <c r="D120">
        <f>IF($E120="","",IFERROR(IF(INDEX('Per Invoice'!$A$2:$A$301,MATCH($E120,'Per Invoice'!$B$2:$B$301,0))=0,"",INDEX('Per Invoice'!$A$2:$A$301,MATCH($E120,'Per Invoice'!$B$2:$B$301,0))),""))</f>
        <v/>
      </c>
      <c r="H120" s="11" t="n"/>
      <c r="R120" s="7">
        <f>IF($E120="","",Q120*Z120/100)</f>
        <v/>
      </c>
      <c r="S120" s="7" t="n"/>
      <c r="Y120" s="7" t="n"/>
      <c r="Z120" s="7" t="n"/>
      <c r="AA120" s="7">
        <f>IF($E120="","",Z120*AF120/100)</f>
        <v/>
      </c>
      <c r="AB120" s="7">
        <f>IF($E120="","",Z120-AA120)</f>
        <v/>
      </c>
      <c r="AC120" s="7">
        <f>IF($E120="","",AB120-R120)</f>
        <v/>
      </c>
      <c r="AF120">
        <f>IF($E120="","",IF($AR120=1,0,IF($AQ120=1,Settings!$C$6,Settings!$C$7))*100)</f>
        <v/>
      </c>
      <c r="AJ120" s="7" t="n"/>
      <c r="AM120" s="11" t="n"/>
      <c r="AO120">
        <f>IF($E120="","",IF(COUNTIF($E$2:$E120,$E120)=1,1,0))</f>
        <v/>
      </c>
      <c r="AP120">
        <f>IF($AO120=1,SUMPRODUCT(--($AS$2:$AS$1001&lt;$AS120))+1,"")</f>
        <v/>
      </c>
      <c r="AQ120">
        <f>IF($E120="","",IF(OR($V120=TRUE(),$V120="TRUE"),1,0))</f>
        <v/>
      </c>
      <c r="AR120">
        <f>IF($E120="","",IF($AE120="Yes",1,0))</f>
        <v/>
      </c>
      <c r="AS120">
        <f>IF($AO120=1,IFERROR(IF(VALUE($E120)&lt;100000000,VALUE($E120),1000000000),IFERROR(IF(VALUE(MID($E120,2,20))&lt;100000000,VALUE(MID($E120,2,20)),1000000000),1000000000))+ROW()/100000,"")</f>
        <v/>
      </c>
    </row>
    <row r="121">
      <c r="D121">
        <f>IF($E121="","",IFERROR(IF(INDEX('Per Invoice'!$A$2:$A$301,MATCH($E121,'Per Invoice'!$B$2:$B$301,0))=0,"",INDEX('Per Invoice'!$A$2:$A$301,MATCH($E121,'Per Invoice'!$B$2:$B$301,0))),""))</f>
        <v/>
      </c>
      <c r="H121" s="11" t="n"/>
      <c r="R121" s="7">
        <f>IF($E121="","",Q121*Z121/100)</f>
        <v/>
      </c>
      <c r="S121" s="7" t="n"/>
      <c r="Y121" s="7" t="n"/>
      <c r="Z121" s="7" t="n"/>
      <c r="AA121" s="7">
        <f>IF($E121="","",Z121*AF121/100)</f>
        <v/>
      </c>
      <c r="AB121" s="7">
        <f>IF($E121="","",Z121-AA121)</f>
        <v/>
      </c>
      <c r="AC121" s="7">
        <f>IF($E121="","",AB121-R121)</f>
        <v/>
      </c>
      <c r="AF121">
        <f>IF($E121="","",IF($AR121=1,0,IF($AQ121=1,Settings!$C$6,Settings!$C$7))*100)</f>
        <v/>
      </c>
      <c r="AJ121" s="7" t="n"/>
      <c r="AM121" s="11" t="n"/>
      <c r="AO121">
        <f>IF($E121="","",IF(COUNTIF($E$2:$E121,$E121)=1,1,0))</f>
        <v/>
      </c>
      <c r="AP121">
        <f>IF($AO121=1,SUMPRODUCT(--($AS$2:$AS$1001&lt;$AS121))+1,"")</f>
        <v/>
      </c>
      <c r="AQ121">
        <f>IF($E121="","",IF(OR($V121=TRUE(),$V121="TRUE"),1,0))</f>
        <v/>
      </c>
      <c r="AR121">
        <f>IF($E121="","",IF($AE121="Yes",1,0))</f>
        <v/>
      </c>
      <c r="AS121">
        <f>IF($AO121=1,IFERROR(IF(VALUE($E121)&lt;100000000,VALUE($E121),1000000000),IFERROR(IF(VALUE(MID($E121,2,20))&lt;100000000,VALUE(MID($E121,2,20)),1000000000),1000000000))+ROW()/100000,"")</f>
        <v/>
      </c>
    </row>
    <row r="122">
      <c r="D122">
        <f>IF($E122="","",IFERROR(IF(INDEX('Per Invoice'!$A$2:$A$301,MATCH($E122,'Per Invoice'!$B$2:$B$301,0))=0,"",INDEX('Per Invoice'!$A$2:$A$301,MATCH($E122,'Per Invoice'!$B$2:$B$301,0))),""))</f>
        <v/>
      </c>
      <c r="H122" s="11" t="n"/>
      <c r="R122" s="7">
        <f>IF($E122="","",Q122*Z122/100)</f>
        <v/>
      </c>
      <c r="S122" s="7" t="n"/>
      <c r="Y122" s="7" t="n"/>
      <c r="Z122" s="7" t="n"/>
      <c r="AA122" s="7">
        <f>IF($E122="","",Z122*AF122/100)</f>
        <v/>
      </c>
      <c r="AB122" s="7">
        <f>IF($E122="","",Z122-AA122)</f>
        <v/>
      </c>
      <c r="AC122" s="7">
        <f>IF($E122="","",AB122-R122)</f>
        <v/>
      </c>
      <c r="AF122">
        <f>IF($E122="","",IF($AR122=1,0,IF($AQ122=1,Settings!$C$6,Settings!$C$7))*100)</f>
        <v/>
      </c>
      <c r="AJ122" s="7" t="n"/>
      <c r="AM122" s="11" t="n"/>
      <c r="AO122">
        <f>IF($E122="","",IF(COUNTIF($E$2:$E122,$E122)=1,1,0))</f>
        <v/>
      </c>
      <c r="AP122">
        <f>IF($AO122=1,SUMPRODUCT(--($AS$2:$AS$1001&lt;$AS122))+1,"")</f>
        <v/>
      </c>
      <c r="AQ122">
        <f>IF($E122="","",IF(OR($V122=TRUE(),$V122="TRUE"),1,0))</f>
        <v/>
      </c>
      <c r="AR122">
        <f>IF($E122="","",IF($AE122="Yes",1,0))</f>
        <v/>
      </c>
      <c r="AS122">
        <f>IF($AO122=1,IFERROR(IF(VALUE($E122)&lt;100000000,VALUE($E122),1000000000),IFERROR(IF(VALUE(MID($E122,2,20))&lt;100000000,VALUE(MID($E122,2,20)),1000000000),1000000000))+ROW()/100000,"")</f>
        <v/>
      </c>
    </row>
    <row r="123">
      <c r="D123">
        <f>IF($E123="","",IFERROR(IF(INDEX('Per Invoice'!$A$2:$A$301,MATCH($E123,'Per Invoice'!$B$2:$B$301,0))=0,"",INDEX('Per Invoice'!$A$2:$A$301,MATCH($E123,'Per Invoice'!$B$2:$B$301,0))),""))</f>
        <v/>
      </c>
      <c r="H123" s="11" t="n"/>
      <c r="R123" s="7">
        <f>IF($E123="","",Q123*Z123/100)</f>
        <v/>
      </c>
      <c r="S123" s="7" t="n"/>
      <c r="Y123" s="7" t="n"/>
      <c r="Z123" s="7" t="n"/>
      <c r="AA123" s="7">
        <f>IF($E123="","",Z123*AF123/100)</f>
        <v/>
      </c>
      <c r="AB123" s="7">
        <f>IF($E123="","",Z123-AA123)</f>
        <v/>
      </c>
      <c r="AC123" s="7">
        <f>IF($E123="","",AB123-R123)</f>
        <v/>
      </c>
      <c r="AF123">
        <f>IF($E123="","",IF($AR123=1,0,IF($AQ123=1,Settings!$C$6,Settings!$C$7))*100)</f>
        <v/>
      </c>
      <c r="AJ123" s="7" t="n"/>
      <c r="AM123" s="11" t="n"/>
      <c r="AO123">
        <f>IF($E123="","",IF(COUNTIF($E$2:$E123,$E123)=1,1,0))</f>
        <v/>
      </c>
      <c r="AP123">
        <f>IF($AO123=1,SUMPRODUCT(--($AS$2:$AS$1001&lt;$AS123))+1,"")</f>
        <v/>
      </c>
      <c r="AQ123">
        <f>IF($E123="","",IF(OR($V123=TRUE(),$V123="TRUE"),1,0))</f>
        <v/>
      </c>
      <c r="AR123">
        <f>IF($E123="","",IF($AE123="Yes",1,0))</f>
        <v/>
      </c>
      <c r="AS123">
        <f>IF($AO123=1,IFERROR(IF(VALUE($E123)&lt;100000000,VALUE($E123),1000000000),IFERROR(IF(VALUE(MID($E123,2,20))&lt;100000000,VALUE(MID($E123,2,20)),1000000000),1000000000))+ROW()/100000,"")</f>
        <v/>
      </c>
    </row>
    <row r="124">
      <c r="D124">
        <f>IF($E124="","",IFERROR(IF(INDEX('Per Invoice'!$A$2:$A$301,MATCH($E124,'Per Invoice'!$B$2:$B$301,0))=0,"",INDEX('Per Invoice'!$A$2:$A$301,MATCH($E124,'Per Invoice'!$B$2:$B$301,0))),""))</f>
        <v/>
      </c>
      <c r="H124" s="11" t="n"/>
      <c r="R124" s="7">
        <f>IF($E124="","",Q124*Z124/100)</f>
        <v/>
      </c>
      <c r="S124" s="7" t="n"/>
      <c r="Y124" s="7" t="n"/>
      <c r="Z124" s="7" t="n"/>
      <c r="AA124" s="7">
        <f>IF($E124="","",Z124*AF124/100)</f>
        <v/>
      </c>
      <c r="AB124" s="7">
        <f>IF($E124="","",Z124-AA124)</f>
        <v/>
      </c>
      <c r="AC124" s="7">
        <f>IF($E124="","",AB124-R124)</f>
        <v/>
      </c>
      <c r="AF124">
        <f>IF($E124="","",IF($AR124=1,0,IF($AQ124=1,Settings!$C$6,Settings!$C$7))*100)</f>
        <v/>
      </c>
      <c r="AJ124" s="7" t="n"/>
      <c r="AM124" s="11" t="n"/>
      <c r="AO124">
        <f>IF($E124="","",IF(COUNTIF($E$2:$E124,$E124)=1,1,0))</f>
        <v/>
      </c>
      <c r="AP124">
        <f>IF($AO124=1,SUMPRODUCT(--($AS$2:$AS$1001&lt;$AS124))+1,"")</f>
        <v/>
      </c>
      <c r="AQ124">
        <f>IF($E124="","",IF(OR($V124=TRUE(),$V124="TRUE"),1,0))</f>
        <v/>
      </c>
      <c r="AR124">
        <f>IF($E124="","",IF($AE124="Yes",1,0))</f>
        <v/>
      </c>
      <c r="AS124">
        <f>IF($AO124=1,IFERROR(IF(VALUE($E124)&lt;100000000,VALUE($E124),1000000000),IFERROR(IF(VALUE(MID($E124,2,20))&lt;100000000,VALUE(MID($E124,2,20)),1000000000),1000000000))+ROW()/100000,"")</f>
        <v/>
      </c>
    </row>
    <row r="125">
      <c r="D125">
        <f>IF($E125="","",IFERROR(IF(INDEX('Per Invoice'!$A$2:$A$301,MATCH($E125,'Per Invoice'!$B$2:$B$301,0))=0,"",INDEX('Per Invoice'!$A$2:$A$301,MATCH($E125,'Per Invoice'!$B$2:$B$301,0))),""))</f>
        <v/>
      </c>
      <c r="H125" s="11" t="n"/>
      <c r="R125" s="7">
        <f>IF($E125="","",Q125*Z125/100)</f>
        <v/>
      </c>
      <c r="S125" s="7" t="n"/>
      <c r="Y125" s="7" t="n"/>
      <c r="Z125" s="7" t="n"/>
      <c r="AA125" s="7">
        <f>IF($E125="","",Z125*AF125/100)</f>
        <v/>
      </c>
      <c r="AB125" s="7">
        <f>IF($E125="","",Z125-AA125)</f>
        <v/>
      </c>
      <c r="AC125" s="7">
        <f>IF($E125="","",AB125-R125)</f>
        <v/>
      </c>
      <c r="AF125">
        <f>IF($E125="","",IF($AR125=1,0,IF($AQ125=1,Settings!$C$6,Settings!$C$7))*100)</f>
        <v/>
      </c>
      <c r="AJ125" s="7" t="n"/>
      <c r="AM125" s="11" t="n"/>
      <c r="AO125">
        <f>IF($E125="","",IF(COUNTIF($E$2:$E125,$E125)=1,1,0))</f>
        <v/>
      </c>
      <c r="AP125">
        <f>IF($AO125=1,SUMPRODUCT(--($AS$2:$AS$1001&lt;$AS125))+1,"")</f>
        <v/>
      </c>
      <c r="AQ125">
        <f>IF($E125="","",IF(OR($V125=TRUE(),$V125="TRUE"),1,0))</f>
        <v/>
      </c>
      <c r="AR125">
        <f>IF($E125="","",IF($AE125="Yes",1,0))</f>
        <v/>
      </c>
      <c r="AS125">
        <f>IF($AO125=1,IFERROR(IF(VALUE($E125)&lt;100000000,VALUE($E125),1000000000),IFERROR(IF(VALUE(MID($E125,2,20))&lt;100000000,VALUE(MID($E125,2,20)),1000000000),1000000000))+ROW()/100000,"")</f>
        <v/>
      </c>
    </row>
    <row r="126">
      <c r="D126">
        <f>IF($E126="","",IFERROR(IF(INDEX('Per Invoice'!$A$2:$A$301,MATCH($E126,'Per Invoice'!$B$2:$B$301,0))=0,"",INDEX('Per Invoice'!$A$2:$A$301,MATCH($E126,'Per Invoice'!$B$2:$B$301,0))),""))</f>
        <v/>
      </c>
      <c r="H126" s="11" t="n"/>
      <c r="R126" s="7">
        <f>IF($E126="","",Q126*Z126/100)</f>
        <v/>
      </c>
      <c r="S126" s="7" t="n"/>
      <c r="Y126" s="7" t="n"/>
      <c r="Z126" s="7" t="n"/>
      <c r="AA126" s="7">
        <f>IF($E126="","",Z126*AF126/100)</f>
        <v/>
      </c>
      <c r="AB126" s="7">
        <f>IF($E126="","",Z126-AA126)</f>
        <v/>
      </c>
      <c r="AC126" s="7">
        <f>IF($E126="","",AB126-R126)</f>
        <v/>
      </c>
      <c r="AF126">
        <f>IF($E126="","",IF($AR126=1,0,IF($AQ126=1,Settings!$C$6,Settings!$C$7))*100)</f>
        <v/>
      </c>
      <c r="AJ126" s="7" t="n"/>
      <c r="AM126" s="11" t="n"/>
      <c r="AO126">
        <f>IF($E126="","",IF(COUNTIF($E$2:$E126,$E126)=1,1,0))</f>
        <v/>
      </c>
      <c r="AP126">
        <f>IF($AO126=1,SUMPRODUCT(--($AS$2:$AS$1001&lt;$AS126))+1,"")</f>
        <v/>
      </c>
      <c r="AQ126">
        <f>IF($E126="","",IF(OR($V126=TRUE(),$V126="TRUE"),1,0))</f>
        <v/>
      </c>
      <c r="AR126">
        <f>IF($E126="","",IF($AE126="Yes",1,0))</f>
        <v/>
      </c>
      <c r="AS126">
        <f>IF($AO126=1,IFERROR(IF(VALUE($E126)&lt;100000000,VALUE($E126),1000000000),IFERROR(IF(VALUE(MID($E126,2,20))&lt;100000000,VALUE(MID($E126,2,20)),1000000000),1000000000))+ROW()/100000,"")</f>
        <v/>
      </c>
    </row>
    <row r="127">
      <c r="D127">
        <f>IF($E127="","",IFERROR(IF(INDEX('Per Invoice'!$A$2:$A$301,MATCH($E127,'Per Invoice'!$B$2:$B$301,0))=0,"",INDEX('Per Invoice'!$A$2:$A$301,MATCH($E127,'Per Invoice'!$B$2:$B$301,0))),""))</f>
        <v/>
      </c>
      <c r="H127" s="11" t="n"/>
      <c r="R127" s="7">
        <f>IF($E127="","",Q127*Z127/100)</f>
        <v/>
      </c>
      <c r="S127" s="7" t="n"/>
      <c r="Y127" s="7" t="n"/>
      <c r="Z127" s="7" t="n"/>
      <c r="AA127" s="7">
        <f>IF($E127="","",Z127*AF127/100)</f>
        <v/>
      </c>
      <c r="AB127" s="7">
        <f>IF($E127="","",Z127-AA127)</f>
        <v/>
      </c>
      <c r="AC127" s="7">
        <f>IF($E127="","",AB127-R127)</f>
        <v/>
      </c>
      <c r="AF127">
        <f>IF($E127="","",IF($AR127=1,0,IF($AQ127=1,Settings!$C$6,Settings!$C$7))*100)</f>
        <v/>
      </c>
      <c r="AJ127" s="7" t="n"/>
      <c r="AM127" s="11" t="n"/>
      <c r="AO127">
        <f>IF($E127="","",IF(COUNTIF($E$2:$E127,$E127)=1,1,0))</f>
        <v/>
      </c>
      <c r="AP127">
        <f>IF($AO127=1,SUMPRODUCT(--($AS$2:$AS$1001&lt;$AS127))+1,"")</f>
        <v/>
      </c>
      <c r="AQ127">
        <f>IF($E127="","",IF(OR($V127=TRUE(),$V127="TRUE"),1,0))</f>
        <v/>
      </c>
      <c r="AR127">
        <f>IF($E127="","",IF($AE127="Yes",1,0))</f>
        <v/>
      </c>
      <c r="AS127">
        <f>IF($AO127=1,IFERROR(IF(VALUE($E127)&lt;100000000,VALUE($E127),1000000000),IFERROR(IF(VALUE(MID($E127,2,20))&lt;100000000,VALUE(MID($E127,2,20)),1000000000),1000000000))+ROW()/100000,"")</f>
        <v/>
      </c>
    </row>
    <row r="128">
      <c r="D128">
        <f>IF($E128="","",IFERROR(IF(INDEX('Per Invoice'!$A$2:$A$301,MATCH($E128,'Per Invoice'!$B$2:$B$301,0))=0,"",INDEX('Per Invoice'!$A$2:$A$301,MATCH($E128,'Per Invoice'!$B$2:$B$301,0))),""))</f>
        <v/>
      </c>
      <c r="H128" s="11" t="n"/>
      <c r="R128" s="7">
        <f>IF($E128="","",Q128*Z128/100)</f>
        <v/>
      </c>
      <c r="S128" s="7" t="n"/>
      <c r="Y128" s="7" t="n"/>
      <c r="Z128" s="7" t="n"/>
      <c r="AA128" s="7">
        <f>IF($E128="","",Z128*AF128/100)</f>
        <v/>
      </c>
      <c r="AB128" s="7">
        <f>IF($E128="","",Z128-AA128)</f>
        <v/>
      </c>
      <c r="AC128" s="7">
        <f>IF($E128="","",AB128-R128)</f>
        <v/>
      </c>
      <c r="AF128">
        <f>IF($E128="","",IF($AR128=1,0,IF($AQ128=1,Settings!$C$6,Settings!$C$7))*100)</f>
        <v/>
      </c>
      <c r="AJ128" s="7" t="n"/>
      <c r="AM128" s="11" t="n"/>
      <c r="AO128">
        <f>IF($E128="","",IF(COUNTIF($E$2:$E128,$E128)=1,1,0))</f>
        <v/>
      </c>
      <c r="AP128">
        <f>IF($AO128=1,SUMPRODUCT(--($AS$2:$AS$1001&lt;$AS128))+1,"")</f>
        <v/>
      </c>
      <c r="AQ128">
        <f>IF($E128="","",IF(OR($V128=TRUE(),$V128="TRUE"),1,0))</f>
        <v/>
      </c>
      <c r="AR128">
        <f>IF($E128="","",IF($AE128="Yes",1,0))</f>
        <v/>
      </c>
      <c r="AS128">
        <f>IF($AO128=1,IFERROR(IF(VALUE($E128)&lt;100000000,VALUE($E128),1000000000),IFERROR(IF(VALUE(MID($E128,2,20))&lt;100000000,VALUE(MID($E128,2,20)),1000000000),1000000000))+ROW()/100000,"")</f>
        <v/>
      </c>
    </row>
    <row r="129">
      <c r="D129">
        <f>IF($E129="","",IFERROR(IF(INDEX('Per Invoice'!$A$2:$A$301,MATCH($E129,'Per Invoice'!$B$2:$B$301,0))=0,"",INDEX('Per Invoice'!$A$2:$A$301,MATCH($E129,'Per Invoice'!$B$2:$B$301,0))),""))</f>
        <v/>
      </c>
      <c r="H129" s="11" t="n"/>
      <c r="R129" s="7">
        <f>IF($E129="","",Q129*Z129/100)</f>
        <v/>
      </c>
      <c r="S129" s="7" t="n"/>
      <c r="Y129" s="7" t="n"/>
      <c r="Z129" s="7" t="n"/>
      <c r="AA129" s="7">
        <f>IF($E129="","",Z129*AF129/100)</f>
        <v/>
      </c>
      <c r="AB129" s="7">
        <f>IF($E129="","",Z129-AA129)</f>
        <v/>
      </c>
      <c r="AC129" s="7">
        <f>IF($E129="","",AB129-R129)</f>
        <v/>
      </c>
      <c r="AF129">
        <f>IF($E129="","",IF($AR129=1,0,IF($AQ129=1,Settings!$C$6,Settings!$C$7))*100)</f>
        <v/>
      </c>
      <c r="AJ129" s="7" t="n"/>
      <c r="AM129" s="11" t="n"/>
      <c r="AO129">
        <f>IF($E129="","",IF(COUNTIF($E$2:$E129,$E129)=1,1,0))</f>
        <v/>
      </c>
      <c r="AP129">
        <f>IF($AO129=1,SUMPRODUCT(--($AS$2:$AS$1001&lt;$AS129))+1,"")</f>
        <v/>
      </c>
      <c r="AQ129">
        <f>IF($E129="","",IF(OR($V129=TRUE(),$V129="TRUE"),1,0))</f>
        <v/>
      </c>
      <c r="AR129">
        <f>IF($E129="","",IF($AE129="Yes",1,0))</f>
        <v/>
      </c>
      <c r="AS129">
        <f>IF($AO129=1,IFERROR(IF(VALUE($E129)&lt;100000000,VALUE($E129),1000000000),IFERROR(IF(VALUE(MID($E129,2,20))&lt;100000000,VALUE(MID($E129,2,20)),1000000000),1000000000))+ROW()/100000,"")</f>
        <v/>
      </c>
    </row>
    <row r="130">
      <c r="D130">
        <f>IF($E130="","",IFERROR(IF(INDEX('Per Invoice'!$A$2:$A$301,MATCH($E130,'Per Invoice'!$B$2:$B$301,0))=0,"",INDEX('Per Invoice'!$A$2:$A$301,MATCH($E130,'Per Invoice'!$B$2:$B$301,0))),""))</f>
        <v/>
      </c>
      <c r="H130" s="11" t="n"/>
      <c r="R130" s="7">
        <f>IF($E130="","",Q130*Z130/100)</f>
        <v/>
      </c>
      <c r="S130" s="7" t="n"/>
      <c r="Y130" s="7" t="n"/>
      <c r="Z130" s="7" t="n"/>
      <c r="AA130" s="7">
        <f>IF($E130="","",Z130*AF130/100)</f>
        <v/>
      </c>
      <c r="AB130" s="7">
        <f>IF($E130="","",Z130-AA130)</f>
        <v/>
      </c>
      <c r="AC130" s="7">
        <f>IF($E130="","",AB130-R130)</f>
        <v/>
      </c>
      <c r="AF130">
        <f>IF($E130="","",IF($AR130=1,0,IF($AQ130=1,Settings!$C$6,Settings!$C$7))*100)</f>
        <v/>
      </c>
      <c r="AJ130" s="7" t="n"/>
      <c r="AM130" s="11" t="n"/>
      <c r="AO130">
        <f>IF($E130="","",IF(COUNTIF($E$2:$E130,$E130)=1,1,0))</f>
        <v/>
      </c>
      <c r="AP130">
        <f>IF($AO130=1,SUMPRODUCT(--($AS$2:$AS$1001&lt;$AS130))+1,"")</f>
        <v/>
      </c>
      <c r="AQ130">
        <f>IF($E130="","",IF(OR($V130=TRUE(),$V130="TRUE"),1,0))</f>
        <v/>
      </c>
      <c r="AR130">
        <f>IF($E130="","",IF($AE130="Yes",1,0))</f>
        <v/>
      </c>
      <c r="AS130">
        <f>IF($AO130=1,IFERROR(IF(VALUE($E130)&lt;100000000,VALUE($E130),1000000000),IFERROR(IF(VALUE(MID($E130,2,20))&lt;100000000,VALUE(MID($E130,2,20)),1000000000),1000000000))+ROW()/100000,"")</f>
        <v/>
      </c>
    </row>
    <row r="131">
      <c r="D131">
        <f>IF($E131="","",IFERROR(IF(INDEX('Per Invoice'!$A$2:$A$301,MATCH($E131,'Per Invoice'!$B$2:$B$301,0))=0,"",INDEX('Per Invoice'!$A$2:$A$301,MATCH($E131,'Per Invoice'!$B$2:$B$301,0))),""))</f>
        <v/>
      </c>
      <c r="H131" s="11" t="n"/>
      <c r="R131" s="7">
        <f>IF($E131="","",Q131*Z131/100)</f>
        <v/>
      </c>
      <c r="S131" s="7" t="n"/>
      <c r="Y131" s="7" t="n"/>
      <c r="Z131" s="7" t="n"/>
      <c r="AA131" s="7">
        <f>IF($E131="","",Z131*AF131/100)</f>
        <v/>
      </c>
      <c r="AB131" s="7">
        <f>IF($E131="","",Z131-AA131)</f>
        <v/>
      </c>
      <c r="AC131" s="7">
        <f>IF($E131="","",AB131-R131)</f>
        <v/>
      </c>
      <c r="AF131">
        <f>IF($E131="","",IF($AR131=1,0,IF($AQ131=1,Settings!$C$6,Settings!$C$7))*100)</f>
        <v/>
      </c>
      <c r="AJ131" s="7" t="n"/>
      <c r="AM131" s="11" t="n"/>
      <c r="AO131">
        <f>IF($E131="","",IF(COUNTIF($E$2:$E131,$E131)=1,1,0))</f>
        <v/>
      </c>
      <c r="AP131">
        <f>IF($AO131=1,SUMPRODUCT(--($AS$2:$AS$1001&lt;$AS131))+1,"")</f>
        <v/>
      </c>
      <c r="AQ131">
        <f>IF($E131="","",IF(OR($V131=TRUE(),$V131="TRUE"),1,0))</f>
        <v/>
      </c>
      <c r="AR131">
        <f>IF($E131="","",IF($AE131="Yes",1,0))</f>
        <v/>
      </c>
      <c r="AS131">
        <f>IF($AO131=1,IFERROR(IF(VALUE($E131)&lt;100000000,VALUE($E131),1000000000),IFERROR(IF(VALUE(MID($E131,2,20))&lt;100000000,VALUE(MID($E131,2,20)),1000000000),1000000000))+ROW()/100000,"")</f>
        <v/>
      </c>
    </row>
    <row r="132">
      <c r="D132">
        <f>IF($E132="","",IFERROR(IF(INDEX('Per Invoice'!$A$2:$A$301,MATCH($E132,'Per Invoice'!$B$2:$B$301,0))=0,"",INDEX('Per Invoice'!$A$2:$A$301,MATCH($E132,'Per Invoice'!$B$2:$B$301,0))),""))</f>
        <v/>
      </c>
      <c r="H132" s="11" t="n"/>
      <c r="R132" s="7">
        <f>IF($E132="","",Q132*Z132/100)</f>
        <v/>
      </c>
      <c r="S132" s="7" t="n"/>
      <c r="Y132" s="7" t="n"/>
      <c r="Z132" s="7" t="n"/>
      <c r="AA132" s="7">
        <f>IF($E132="","",Z132*AF132/100)</f>
        <v/>
      </c>
      <c r="AB132" s="7">
        <f>IF($E132="","",Z132-AA132)</f>
        <v/>
      </c>
      <c r="AC132" s="7">
        <f>IF($E132="","",AB132-R132)</f>
        <v/>
      </c>
      <c r="AF132">
        <f>IF($E132="","",IF($AR132=1,0,IF($AQ132=1,Settings!$C$6,Settings!$C$7))*100)</f>
        <v/>
      </c>
      <c r="AJ132" s="7" t="n"/>
      <c r="AM132" s="11" t="n"/>
      <c r="AO132">
        <f>IF($E132="","",IF(COUNTIF($E$2:$E132,$E132)=1,1,0))</f>
        <v/>
      </c>
      <c r="AP132">
        <f>IF($AO132=1,SUMPRODUCT(--($AS$2:$AS$1001&lt;$AS132))+1,"")</f>
        <v/>
      </c>
      <c r="AQ132">
        <f>IF($E132="","",IF(OR($V132=TRUE(),$V132="TRUE"),1,0))</f>
        <v/>
      </c>
      <c r="AR132">
        <f>IF($E132="","",IF($AE132="Yes",1,0))</f>
        <v/>
      </c>
      <c r="AS132">
        <f>IF($AO132=1,IFERROR(IF(VALUE($E132)&lt;100000000,VALUE($E132),1000000000),IFERROR(IF(VALUE(MID($E132,2,20))&lt;100000000,VALUE(MID($E132,2,20)),1000000000),1000000000))+ROW()/100000,"")</f>
        <v/>
      </c>
    </row>
    <row r="133">
      <c r="D133">
        <f>IF($E133="","",IFERROR(IF(INDEX('Per Invoice'!$A$2:$A$301,MATCH($E133,'Per Invoice'!$B$2:$B$301,0))=0,"",INDEX('Per Invoice'!$A$2:$A$301,MATCH($E133,'Per Invoice'!$B$2:$B$301,0))),""))</f>
        <v/>
      </c>
      <c r="H133" s="11" t="n"/>
      <c r="R133" s="7">
        <f>IF($E133="","",Q133*Z133/100)</f>
        <v/>
      </c>
      <c r="S133" s="7" t="n"/>
      <c r="Y133" s="7" t="n"/>
      <c r="Z133" s="7" t="n"/>
      <c r="AA133" s="7">
        <f>IF($E133="","",Z133*AF133/100)</f>
        <v/>
      </c>
      <c r="AB133" s="7">
        <f>IF($E133="","",Z133-AA133)</f>
        <v/>
      </c>
      <c r="AC133" s="7">
        <f>IF($E133="","",AB133-R133)</f>
        <v/>
      </c>
      <c r="AF133">
        <f>IF($E133="","",IF($AR133=1,0,IF($AQ133=1,Settings!$C$6,Settings!$C$7))*100)</f>
        <v/>
      </c>
      <c r="AJ133" s="7" t="n"/>
      <c r="AM133" s="11" t="n"/>
      <c r="AO133">
        <f>IF($E133="","",IF(COUNTIF($E$2:$E133,$E133)=1,1,0))</f>
        <v/>
      </c>
      <c r="AP133">
        <f>IF($AO133=1,SUMPRODUCT(--($AS$2:$AS$1001&lt;$AS133))+1,"")</f>
        <v/>
      </c>
      <c r="AQ133">
        <f>IF($E133="","",IF(OR($V133=TRUE(),$V133="TRUE"),1,0))</f>
        <v/>
      </c>
      <c r="AR133">
        <f>IF($E133="","",IF($AE133="Yes",1,0))</f>
        <v/>
      </c>
      <c r="AS133">
        <f>IF($AO133=1,IFERROR(IF(VALUE($E133)&lt;100000000,VALUE($E133),1000000000),IFERROR(IF(VALUE(MID($E133,2,20))&lt;100000000,VALUE(MID($E133,2,20)),1000000000),1000000000))+ROW()/100000,"")</f>
        <v/>
      </c>
    </row>
    <row r="134">
      <c r="D134">
        <f>IF($E134="","",IFERROR(IF(INDEX('Per Invoice'!$A$2:$A$301,MATCH($E134,'Per Invoice'!$B$2:$B$301,0))=0,"",INDEX('Per Invoice'!$A$2:$A$301,MATCH($E134,'Per Invoice'!$B$2:$B$301,0))),""))</f>
        <v/>
      </c>
      <c r="H134" s="11" t="n"/>
      <c r="R134" s="7">
        <f>IF($E134="","",Q134*Z134/100)</f>
        <v/>
      </c>
      <c r="S134" s="7" t="n"/>
      <c r="Y134" s="7" t="n"/>
      <c r="Z134" s="7" t="n"/>
      <c r="AA134" s="7">
        <f>IF($E134="","",Z134*AF134/100)</f>
        <v/>
      </c>
      <c r="AB134" s="7">
        <f>IF($E134="","",Z134-AA134)</f>
        <v/>
      </c>
      <c r="AC134" s="7">
        <f>IF($E134="","",AB134-R134)</f>
        <v/>
      </c>
      <c r="AF134">
        <f>IF($E134="","",IF($AR134=1,0,IF($AQ134=1,Settings!$C$6,Settings!$C$7))*100)</f>
        <v/>
      </c>
      <c r="AJ134" s="7" t="n"/>
      <c r="AM134" s="11" t="n"/>
      <c r="AO134">
        <f>IF($E134="","",IF(COUNTIF($E$2:$E134,$E134)=1,1,0))</f>
        <v/>
      </c>
      <c r="AP134">
        <f>IF($AO134=1,SUMPRODUCT(--($AS$2:$AS$1001&lt;$AS134))+1,"")</f>
        <v/>
      </c>
      <c r="AQ134">
        <f>IF($E134="","",IF(OR($V134=TRUE(),$V134="TRUE"),1,0))</f>
        <v/>
      </c>
      <c r="AR134">
        <f>IF($E134="","",IF($AE134="Yes",1,0))</f>
        <v/>
      </c>
      <c r="AS134">
        <f>IF($AO134=1,IFERROR(IF(VALUE($E134)&lt;100000000,VALUE($E134),1000000000),IFERROR(IF(VALUE(MID($E134,2,20))&lt;100000000,VALUE(MID($E134,2,20)),1000000000),1000000000))+ROW()/100000,"")</f>
        <v/>
      </c>
    </row>
    <row r="135">
      <c r="D135">
        <f>IF($E135="","",IFERROR(IF(INDEX('Per Invoice'!$A$2:$A$301,MATCH($E135,'Per Invoice'!$B$2:$B$301,0))=0,"",INDEX('Per Invoice'!$A$2:$A$301,MATCH($E135,'Per Invoice'!$B$2:$B$301,0))),""))</f>
        <v/>
      </c>
      <c r="H135" s="11" t="n"/>
      <c r="R135" s="7">
        <f>IF($E135="","",Q135*Z135/100)</f>
        <v/>
      </c>
      <c r="S135" s="7" t="n"/>
      <c r="Y135" s="7" t="n"/>
      <c r="Z135" s="7" t="n"/>
      <c r="AA135" s="7">
        <f>IF($E135="","",Z135*AF135/100)</f>
        <v/>
      </c>
      <c r="AB135" s="7">
        <f>IF($E135="","",Z135-AA135)</f>
        <v/>
      </c>
      <c r="AC135" s="7">
        <f>IF($E135="","",AB135-R135)</f>
        <v/>
      </c>
      <c r="AF135">
        <f>IF($E135="","",IF($AR135=1,0,IF($AQ135=1,Settings!$C$6,Settings!$C$7))*100)</f>
        <v/>
      </c>
      <c r="AJ135" s="7" t="n"/>
      <c r="AM135" s="11" t="n"/>
      <c r="AO135">
        <f>IF($E135="","",IF(COUNTIF($E$2:$E135,$E135)=1,1,0))</f>
        <v/>
      </c>
      <c r="AP135">
        <f>IF($AO135=1,SUMPRODUCT(--($AS$2:$AS$1001&lt;$AS135))+1,"")</f>
        <v/>
      </c>
      <c r="AQ135">
        <f>IF($E135="","",IF(OR($V135=TRUE(),$V135="TRUE"),1,0))</f>
        <v/>
      </c>
      <c r="AR135">
        <f>IF($E135="","",IF($AE135="Yes",1,0))</f>
        <v/>
      </c>
      <c r="AS135">
        <f>IF($AO135=1,IFERROR(IF(VALUE($E135)&lt;100000000,VALUE($E135),1000000000),IFERROR(IF(VALUE(MID($E135,2,20))&lt;100000000,VALUE(MID($E135,2,20)),1000000000),1000000000))+ROW()/100000,"")</f>
        <v/>
      </c>
    </row>
    <row r="136">
      <c r="D136">
        <f>IF($E136="","",IFERROR(IF(INDEX('Per Invoice'!$A$2:$A$301,MATCH($E136,'Per Invoice'!$B$2:$B$301,0))=0,"",INDEX('Per Invoice'!$A$2:$A$301,MATCH($E136,'Per Invoice'!$B$2:$B$301,0))),""))</f>
        <v/>
      </c>
      <c r="H136" s="11" t="n"/>
      <c r="R136" s="7">
        <f>IF($E136="","",Q136*Z136/100)</f>
        <v/>
      </c>
      <c r="S136" s="7" t="n"/>
      <c r="Y136" s="7" t="n"/>
      <c r="Z136" s="7" t="n"/>
      <c r="AA136" s="7">
        <f>IF($E136="","",Z136*AF136/100)</f>
        <v/>
      </c>
      <c r="AB136" s="7">
        <f>IF($E136="","",Z136-AA136)</f>
        <v/>
      </c>
      <c r="AC136" s="7">
        <f>IF($E136="","",AB136-R136)</f>
        <v/>
      </c>
      <c r="AF136">
        <f>IF($E136="","",IF($AR136=1,0,IF($AQ136=1,Settings!$C$6,Settings!$C$7))*100)</f>
        <v/>
      </c>
      <c r="AJ136" s="7" t="n"/>
      <c r="AM136" s="11" t="n"/>
      <c r="AO136">
        <f>IF($E136="","",IF(COUNTIF($E$2:$E136,$E136)=1,1,0))</f>
        <v/>
      </c>
      <c r="AP136">
        <f>IF($AO136=1,SUMPRODUCT(--($AS$2:$AS$1001&lt;$AS136))+1,"")</f>
        <v/>
      </c>
      <c r="AQ136">
        <f>IF($E136="","",IF(OR($V136=TRUE(),$V136="TRUE"),1,0))</f>
        <v/>
      </c>
      <c r="AR136">
        <f>IF($E136="","",IF($AE136="Yes",1,0))</f>
        <v/>
      </c>
      <c r="AS136">
        <f>IF($AO136=1,IFERROR(IF(VALUE($E136)&lt;100000000,VALUE($E136),1000000000),IFERROR(IF(VALUE(MID($E136,2,20))&lt;100000000,VALUE(MID($E136,2,20)),1000000000),1000000000))+ROW()/100000,"")</f>
        <v/>
      </c>
    </row>
    <row r="137">
      <c r="D137">
        <f>IF($E137="","",IFERROR(IF(INDEX('Per Invoice'!$A$2:$A$301,MATCH($E137,'Per Invoice'!$B$2:$B$301,0))=0,"",INDEX('Per Invoice'!$A$2:$A$301,MATCH($E137,'Per Invoice'!$B$2:$B$301,0))),""))</f>
        <v/>
      </c>
      <c r="H137" s="11" t="n"/>
      <c r="R137" s="7">
        <f>IF($E137="","",Q137*Z137/100)</f>
        <v/>
      </c>
      <c r="S137" s="7" t="n"/>
      <c r="Y137" s="7" t="n"/>
      <c r="Z137" s="7" t="n"/>
      <c r="AA137" s="7">
        <f>IF($E137="","",Z137*AF137/100)</f>
        <v/>
      </c>
      <c r="AB137" s="7">
        <f>IF($E137="","",Z137-AA137)</f>
        <v/>
      </c>
      <c r="AC137" s="7">
        <f>IF($E137="","",AB137-R137)</f>
        <v/>
      </c>
      <c r="AF137">
        <f>IF($E137="","",IF($AR137=1,0,IF($AQ137=1,Settings!$C$6,Settings!$C$7))*100)</f>
        <v/>
      </c>
      <c r="AJ137" s="7" t="n"/>
      <c r="AM137" s="11" t="n"/>
      <c r="AO137">
        <f>IF($E137="","",IF(COUNTIF($E$2:$E137,$E137)=1,1,0))</f>
        <v/>
      </c>
      <c r="AP137">
        <f>IF($AO137=1,SUMPRODUCT(--($AS$2:$AS$1001&lt;$AS137))+1,"")</f>
        <v/>
      </c>
      <c r="AQ137">
        <f>IF($E137="","",IF(OR($V137=TRUE(),$V137="TRUE"),1,0))</f>
        <v/>
      </c>
      <c r="AR137">
        <f>IF($E137="","",IF($AE137="Yes",1,0))</f>
        <v/>
      </c>
      <c r="AS137">
        <f>IF($AO137=1,IFERROR(IF(VALUE($E137)&lt;100000000,VALUE($E137),1000000000),IFERROR(IF(VALUE(MID($E137,2,20))&lt;100000000,VALUE(MID($E137,2,20)),1000000000),1000000000))+ROW()/100000,"")</f>
        <v/>
      </c>
    </row>
    <row r="138">
      <c r="D138">
        <f>IF($E138="","",IFERROR(IF(INDEX('Per Invoice'!$A$2:$A$301,MATCH($E138,'Per Invoice'!$B$2:$B$301,0))=0,"",INDEX('Per Invoice'!$A$2:$A$301,MATCH($E138,'Per Invoice'!$B$2:$B$301,0))),""))</f>
        <v/>
      </c>
      <c r="H138" s="11" t="n"/>
      <c r="R138" s="7">
        <f>IF($E138="","",Q138*Z138/100)</f>
        <v/>
      </c>
      <c r="S138" s="7" t="n"/>
      <c r="Y138" s="7" t="n"/>
      <c r="Z138" s="7" t="n"/>
      <c r="AA138" s="7">
        <f>IF($E138="","",Z138*AF138/100)</f>
        <v/>
      </c>
      <c r="AB138" s="7">
        <f>IF($E138="","",Z138-AA138)</f>
        <v/>
      </c>
      <c r="AC138" s="7">
        <f>IF($E138="","",AB138-R138)</f>
        <v/>
      </c>
      <c r="AF138">
        <f>IF($E138="","",IF($AR138=1,0,IF($AQ138=1,Settings!$C$6,Settings!$C$7))*100)</f>
        <v/>
      </c>
      <c r="AJ138" s="7" t="n"/>
      <c r="AM138" s="11" t="n"/>
      <c r="AO138">
        <f>IF($E138="","",IF(COUNTIF($E$2:$E138,$E138)=1,1,0))</f>
        <v/>
      </c>
      <c r="AP138">
        <f>IF($AO138=1,SUMPRODUCT(--($AS$2:$AS$1001&lt;$AS138))+1,"")</f>
        <v/>
      </c>
      <c r="AQ138">
        <f>IF($E138="","",IF(OR($V138=TRUE(),$V138="TRUE"),1,0))</f>
        <v/>
      </c>
      <c r="AR138">
        <f>IF($E138="","",IF($AE138="Yes",1,0))</f>
        <v/>
      </c>
      <c r="AS138">
        <f>IF($AO138=1,IFERROR(IF(VALUE($E138)&lt;100000000,VALUE($E138),1000000000),IFERROR(IF(VALUE(MID($E138,2,20))&lt;100000000,VALUE(MID($E138,2,20)),1000000000),1000000000))+ROW()/100000,"")</f>
        <v/>
      </c>
    </row>
    <row r="139">
      <c r="D139">
        <f>IF($E139="","",IFERROR(IF(INDEX('Per Invoice'!$A$2:$A$301,MATCH($E139,'Per Invoice'!$B$2:$B$301,0))=0,"",INDEX('Per Invoice'!$A$2:$A$301,MATCH($E139,'Per Invoice'!$B$2:$B$301,0))),""))</f>
        <v/>
      </c>
      <c r="H139" s="11" t="n"/>
      <c r="R139" s="7">
        <f>IF($E139="","",Q139*Z139/100)</f>
        <v/>
      </c>
      <c r="S139" s="7" t="n"/>
      <c r="Y139" s="7" t="n"/>
      <c r="Z139" s="7" t="n"/>
      <c r="AA139" s="7">
        <f>IF($E139="","",Z139*AF139/100)</f>
        <v/>
      </c>
      <c r="AB139" s="7">
        <f>IF($E139="","",Z139-AA139)</f>
        <v/>
      </c>
      <c r="AC139" s="7">
        <f>IF($E139="","",AB139-R139)</f>
        <v/>
      </c>
      <c r="AF139">
        <f>IF($E139="","",IF($AR139=1,0,IF($AQ139=1,Settings!$C$6,Settings!$C$7))*100)</f>
        <v/>
      </c>
      <c r="AJ139" s="7" t="n"/>
      <c r="AM139" s="11" t="n"/>
      <c r="AO139">
        <f>IF($E139="","",IF(COUNTIF($E$2:$E139,$E139)=1,1,0))</f>
        <v/>
      </c>
      <c r="AP139">
        <f>IF($AO139=1,SUMPRODUCT(--($AS$2:$AS$1001&lt;$AS139))+1,"")</f>
        <v/>
      </c>
      <c r="AQ139">
        <f>IF($E139="","",IF(OR($V139=TRUE(),$V139="TRUE"),1,0))</f>
        <v/>
      </c>
      <c r="AR139">
        <f>IF($E139="","",IF($AE139="Yes",1,0))</f>
        <v/>
      </c>
      <c r="AS139">
        <f>IF($AO139=1,IFERROR(IF(VALUE($E139)&lt;100000000,VALUE($E139),1000000000),IFERROR(IF(VALUE(MID($E139,2,20))&lt;100000000,VALUE(MID($E139,2,20)),1000000000),1000000000))+ROW()/100000,"")</f>
        <v/>
      </c>
    </row>
    <row r="140">
      <c r="D140">
        <f>IF($E140="","",IFERROR(IF(INDEX('Per Invoice'!$A$2:$A$301,MATCH($E140,'Per Invoice'!$B$2:$B$301,0))=0,"",INDEX('Per Invoice'!$A$2:$A$301,MATCH($E140,'Per Invoice'!$B$2:$B$301,0))),""))</f>
        <v/>
      </c>
      <c r="H140" s="11" t="n"/>
      <c r="R140" s="7">
        <f>IF($E140="","",Q140*Z140/100)</f>
        <v/>
      </c>
      <c r="S140" s="7" t="n"/>
      <c r="Y140" s="7" t="n"/>
      <c r="Z140" s="7" t="n"/>
      <c r="AA140" s="7">
        <f>IF($E140="","",Z140*AF140/100)</f>
        <v/>
      </c>
      <c r="AB140" s="7">
        <f>IF($E140="","",Z140-AA140)</f>
        <v/>
      </c>
      <c r="AC140" s="7">
        <f>IF($E140="","",AB140-R140)</f>
        <v/>
      </c>
      <c r="AF140">
        <f>IF($E140="","",IF($AR140=1,0,IF($AQ140=1,Settings!$C$6,Settings!$C$7))*100)</f>
        <v/>
      </c>
      <c r="AJ140" s="7" t="n"/>
      <c r="AM140" s="11" t="n"/>
      <c r="AO140">
        <f>IF($E140="","",IF(COUNTIF($E$2:$E140,$E140)=1,1,0))</f>
        <v/>
      </c>
      <c r="AP140">
        <f>IF($AO140=1,SUMPRODUCT(--($AS$2:$AS$1001&lt;$AS140))+1,"")</f>
        <v/>
      </c>
      <c r="AQ140">
        <f>IF($E140="","",IF(OR($V140=TRUE(),$V140="TRUE"),1,0))</f>
        <v/>
      </c>
      <c r="AR140">
        <f>IF($E140="","",IF($AE140="Yes",1,0))</f>
        <v/>
      </c>
      <c r="AS140">
        <f>IF($AO140=1,IFERROR(IF(VALUE($E140)&lt;100000000,VALUE($E140),1000000000),IFERROR(IF(VALUE(MID($E140,2,20))&lt;100000000,VALUE(MID($E140,2,20)),1000000000),1000000000))+ROW()/100000,"")</f>
        <v/>
      </c>
    </row>
    <row r="141">
      <c r="D141">
        <f>IF($E141="","",IFERROR(IF(INDEX('Per Invoice'!$A$2:$A$301,MATCH($E141,'Per Invoice'!$B$2:$B$301,0))=0,"",INDEX('Per Invoice'!$A$2:$A$301,MATCH($E141,'Per Invoice'!$B$2:$B$301,0))),""))</f>
        <v/>
      </c>
      <c r="H141" s="11" t="n"/>
      <c r="R141" s="7">
        <f>IF($E141="","",Q141*Z141/100)</f>
        <v/>
      </c>
      <c r="S141" s="7" t="n"/>
      <c r="Y141" s="7" t="n"/>
      <c r="Z141" s="7" t="n"/>
      <c r="AA141" s="7">
        <f>IF($E141="","",Z141*AF141/100)</f>
        <v/>
      </c>
      <c r="AB141" s="7">
        <f>IF($E141="","",Z141-AA141)</f>
        <v/>
      </c>
      <c r="AC141" s="7">
        <f>IF($E141="","",AB141-R141)</f>
        <v/>
      </c>
      <c r="AF141">
        <f>IF($E141="","",IF($AR141=1,0,IF($AQ141=1,Settings!$C$6,Settings!$C$7))*100)</f>
        <v/>
      </c>
      <c r="AJ141" s="7" t="n"/>
      <c r="AM141" s="11" t="n"/>
      <c r="AO141">
        <f>IF($E141="","",IF(COUNTIF($E$2:$E141,$E141)=1,1,0))</f>
        <v/>
      </c>
      <c r="AP141">
        <f>IF($AO141=1,SUMPRODUCT(--($AS$2:$AS$1001&lt;$AS141))+1,"")</f>
        <v/>
      </c>
      <c r="AQ141">
        <f>IF($E141="","",IF(OR($V141=TRUE(),$V141="TRUE"),1,0))</f>
        <v/>
      </c>
      <c r="AR141">
        <f>IF($E141="","",IF($AE141="Yes",1,0))</f>
        <v/>
      </c>
      <c r="AS141">
        <f>IF($AO141=1,IFERROR(IF(VALUE($E141)&lt;100000000,VALUE($E141),1000000000),IFERROR(IF(VALUE(MID($E141,2,20))&lt;100000000,VALUE(MID($E141,2,20)),1000000000),1000000000))+ROW()/100000,"")</f>
        <v/>
      </c>
    </row>
    <row r="142">
      <c r="D142">
        <f>IF($E142="","",IFERROR(IF(INDEX('Per Invoice'!$A$2:$A$301,MATCH($E142,'Per Invoice'!$B$2:$B$301,0))=0,"",INDEX('Per Invoice'!$A$2:$A$301,MATCH($E142,'Per Invoice'!$B$2:$B$301,0))),""))</f>
        <v/>
      </c>
      <c r="H142" s="11" t="n"/>
      <c r="R142" s="7">
        <f>IF($E142="","",Q142*Z142/100)</f>
        <v/>
      </c>
      <c r="S142" s="7" t="n"/>
      <c r="Y142" s="7" t="n"/>
      <c r="Z142" s="7" t="n"/>
      <c r="AA142" s="7">
        <f>IF($E142="","",Z142*AF142/100)</f>
        <v/>
      </c>
      <c r="AB142" s="7">
        <f>IF($E142="","",Z142-AA142)</f>
        <v/>
      </c>
      <c r="AC142" s="7">
        <f>IF($E142="","",AB142-R142)</f>
        <v/>
      </c>
      <c r="AF142">
        <f>IF($E142="","",IF($AR142=1,0,IF($AQ142=1,Settings!$C$6,Settings!$C$7))*100)</f>
        <v/>
      </c>
      <c r="AJ142" s="7" t="n"/>
      <c r="AM142" s="11" t="n"/>
      <c r="AO142">
        <f>IF($E142="","",IF(COUNTIF($E$2:$E142,$E142)=1,1,0))</f>
        <v/>
      </c>
      <c r="AP142">
        <f>IF($AO142=1,SUMPRODUCT(--($AS$2:$AS$1001&lt;$AS142))+1,"")</f>
        <v/>
      </c>
      <c r="AQ142">
        <f>IF($E142="","",IF(OR($V142=TRUE(),$V142="TRUE"),1,0))</f>
        <v/>
      </c>
      <c r="AR142">
        <f>IF($E142="","",IF($AE142="Yes",1,0))</f>
        <v/>
      </c>
      <c r="AS142">
        <f>IF($AO142=1,IFERROR(IF(VALUE($E142)&lt;100000000,VALUE($E142),1000000000),IFERROR(IF(VALUE(MID($E142,2,20))&lt;100000000,VALUE(MID($E142,2,20)),1000000000),1000000000))+ROW()/100000,"")</f>
        <v/>
      </c>
    </row>
    <row r="143">
      <c r="D143">
        <f>IF($E143="","",IFERROR(IF(INDEX('Per Invoice'!$A$2:$A$301,MATCH($E143,'Per Invoice'!$B$2:$B$301,0))=0,"",INDEX('Per Invoice'!$A$2:$A$301,MATCH($E143,'Per Invoice'!$B$2:$B$301,0))),""))</f>
        <v/>
      </c>
      <c r="H143" s="11" t="n"/>
      <c r="R143" s="7">
        <f>IF($E143="","",Q143*Z143/100)</f>
        <v/>
      </c>
      <c r="S143" s="7" t="n"/>
      <c r="Y143" s="7" t="n"/>
      <c r="Z143" s="7" t="n"/>
      <c r="AA143" s="7">
        <f>IF($E143="","",Z143*AF143/100)</f>
        <v/>
      </c>
      <c r="AB143" s="7">
        <f>IF($E143="","",Z143-AA143)</f>
        <v/>
      </c>
      <c r="AC143" s="7">
        <f>IF($E143="","",AB143-R143)</f>
        <v/>
      </c>
      <c r="AF143">
        <f>IF($E143="","",IF($AR143=1,0,IF($AQ143=1,Settings!$C$6,Settings!$C$7))*100)</f>
        <v/>
      </c>
      <c r="AJ143" s="7" t="n"/>
      <c r="AM143" s="11" t="n"/>
      <c r="AO143">
        <f>IF($E143="","",IF(COUNTIF($E$2:$E143,$E143)=1,1,0))</f>
        <v/>
      </c>
      <c r="AP143">
        <f>IF($AO143=1,SUMPRODUCT(--($AS$2:$AS$1001&lt;$AS143))+1,"")</f>
        <v/>
      </c>
      <c r="AQ143">
        <f>IF($E143="","",IF(OR($V143=TRUE(),$V143="TRUE"),1,0))</f>
        <v/>
      </c>
      <c r="AR143">
        <f>IF($E143="","",IF($AE143="Yes",1,0))</f>
        <v/>
      </c>
      <c r="AS143">
        <f>IF($AO143=1,IFERROR(IF(VALUE($E143)&lt;100000000,VALUE($E143),1000000000),IFERROR(IF(VALUE(MID($E143,2,20))&lt;100000000,VALUE(MID($E143,2,20)),1000000000),1000000000))+ROW()/100000,"")</f>
        <v/>
      </c>
    </row>
    <row r="144">
      <c r="D144">
        <f>IF($E144="","",IFERROR(IF(INDEX('Per Invoice'!$A$2:$A$301,MATCH($E144,'Per Invoice'!$B$2:$B$301,0))=0,"",INDEX('Per Invoice'!$A$2:$A$301,MATCH($E144,'Per Invoice'!$B$2:$B$301,0))),""))</f>
        <v/>
      </c>
      <c r="H144" s="11" t="n"/>
      <c r="R144" s="7">
        <f>IF($E144="","",Q144*Z144/100)</f>
        <v/>
      </c>
      <c r="S144" s="7" t="n"/>
      <c r="Y144" s="7" t="n"/>
      <c r="Z144" s="7" t="n"/>
      <c r="AA144" s="7">
        <f>IF($E144="","",Z144*AF144/100)</f>
        <v/>
      </c>
      <c r="AB144" s="7">
        <f>IF($E144="","",Z144-AA144)</f>
        <v/>
      </c>
      <c r="AC144" s="7">
        <f>IF($E144="","",AB144-R144)</f>
        <v/>
      </c>
      <c r="AF144">
        <f>IF($E144="","",IF($AR144=1,0,IF($AQ144=1,Settings!$C$6,Settings!$C$7))*100)</f>
        <v/>
      </c>
      <c r="AJ144" s="7" t="n"/>
      <c r="AM144" s="11" t="n"/>
      <c r="AO144">
        <f>IF($E144="","",IF(COUNTIF($E$2:$E144,$E144)=1,1,0))</f>
        <v/>
      </c>
      <c r="AP144">
        <f>IF($AO144=1,SUMPRODUCT(--($AS$2:$AS$1001&lt;$AS144))+1,"")</f>
        <v/>
      </c>
      <c r="AQ144">
        <f>IF($E144="","",IF(OR($V144=TRUE(),$V144="TRUE"),1,0))</f>
        <v/>
      </c>
      <c r="AR144">
        <f>IF($E144="","",IF($AE144="Yes",1,0))</f>
        <v/>
      </c>
      <c r="AS144">
        <f>IF($AO144=1,IFERROR(IF(VALUE($E144)&lt;100000000,VALUE($E144),1000000000),IFERROR(IF(VALUE(MID($E144,2,20))&lt;100000000,VALUE(MID($E144,2,20)),1000000000),1000000000))+ROW()/100000,"")</f>
        <v/>
      </c>
    </row>
    <row r="145">
      <c r="D145">
        <f>IF($E145="","",IFERROR(IF(INDEX('Per Invoice'!$A$2:$A$301,MATCH($E145,'Per Invoice'!$B$2:$B$301,0))=0,"",INDEX('Per Invoice'!$A$2:$A$301,MATCH($E145,'Per Invoice'!$B$2:$B$301,0))),""))</f>
        <v/>
      </c>
      <c r="H145" s="11" t="n"/>
      <c r="R145" s="7">
        <f>IF($E145="","",Q145*Z145/100)</f>
        <v/>
      </c>
      <c r="S145" s="7" t="n"/>
      <c r="Y145" s="7" t="n"/>
      <c r="Z145" s="7" t="n"/>
      <c r="AA145" s="7">
        <f>IF($E145="","",Z145*AF145/100)</f>
        <v/>
      </c>
      <c r="AB145" s="7">
        <f>IF($E145="","",Z145-AA145)</f>
        <v/>
      </c>
      <c r="AC145" s="7">
        <f>IF($E145="","",AB145-R145)</f>
        <v/>
      </c>
      <c r="AF145">
        <f>IF($E145="","",IF($AR145=1,0,IF($AQ145=1,Settings!$C$6,Settings!$C$7))*100)</f>
        <v/>
      </c>
      <c r="AJ145" s="7" t="n"/>
      <c r="AM145" s="11" t="n"/>
      <c r="AO145">
        <f>IF($E145="","",IF(COUNTIF($E$2:$E145,$E145)=1,1,0))</f>
        <v/>
      </c>
      <c r="AP145">
        <f>IF($AO145=1,SUMPRODUCT(--($AS$2:$AS$1001&lt;$AS145))+1,"")</f>
        <v/>
      </c>
      <c r="AQ145">
        <f>IF($E145="","",IF(OR($V145=TRUE(),$V145="TRUE"),1,0))</f>
        <v/>
      </c>
      <c r="AR145">
        <f>IF($E145="","",IF($AE145="Yes",1,0))</f>
        <v/>
      </c>
      <c r="AS145">
        <f>IF($AO145=1,IFERROR(IF(VALUE($E145)&lt;100000000,VALUE($E145),1000000000),IFERROR(IF(VALUE(MID($E145,2,20))&lt;100000000,VALUE(MID($E145,2,20)),1000000000),1000000000))+ROW()/100000,"")</f>
        <v/>
      </c>
    </row>
    <row r="146">
      <c r="D146">
        <f>IF($E146="","",IFERROR(IF(INDEX('Per Invoice'!$A$2:$A$301,MATCH($E146,'Per Invoice'!$B$2:$B$301,0))=0,"",INDEX('Per Invoice'!$A$2:$A$301,MATCH($E146,'Per Invoice'!$B$2:$B$301,0))),""))</f>
        <v/>
      </c>
      <c r="H146" s="11" t="n"/>
      <c r="R146" s="7">
        <f>IF($E146="","",Q146*Z146/100)</f>
        <v/>
      </c>
      <c r="S146" s="7" t="n"/>
      <c r="Y146" s="7" t="n"/>
      <c r="Z146" s="7" t="n"/>
      <c r="AA146" s="7">
        <f>IF($E146="","",Z146*AF146/100)</f>
        <v/>
      </c>
      <c r="AB146" s="7">
        <f>IF($E146="","",Z146-AA146)</f>
        <v/>
      </c>
      <c r="AC146" s="7">
        <f>IF($E146="","",AB146-R146)</f>
        <v/>
      </c>
      <c r="AF146">
        <f>IF($E146="","",IF($AR146=1,0,IF($AQ146=1,Settings!$C$6,Settings!$C$7))*100)</f>
        <v/>
      </c>
      <c r="AJ146" s="7" t="n"/>
      <c r="AM146" s="11" t="n"/>
      <c r="AO146">
        <f>IF($E146="","",IF(COUNTIF($E$2:$E146,$E146)=1,1,0))</f>
        <v/>
      </c>
      <c r="AP146">
        <f>IF($AO146=1,SUMPRODUCT(--($AS$2:$AS$1001&lt;$AS146))+1,"")</f>
        <v/>
      </c>
      <c r="AQ146">
        <f>IF($E146="","",IF(OR($V146=TRUE(),$V146="TRUE"),1,0))</f>
        <v/>
      </c>
      <c r="AR146">
        <f>IF($E146="","",IF($AE146="Yes",1,0))</f>
        <v/>
      </c>
      <c r="AS146">
        <f>IF($AO146=1,IFERROR(IF(VALUE($E146)&lt;100000000,VALUE($E146),1000000000),IFERROR(IF(VALUE(MID($E146,2,20))&lt;100000000,VALUE(MID($E146,2,20)),1000000000),1000000000))+ROW()/100000,"")</f>
        <v/>
      </c>
    </row>
    <row r="147">
      <c r="D147">
        <f>IF($E147="","",IFERROR(IF(INDEX('Per Invoice'!$A$2:$A$301,MATCH($E147,'Per Invoice'!$B$2:$B$301,0))=0,"",INDEX('Per Invoice'!$A$2:$A$301,MATCH($E147,'Per Invoice'!$B$2:$B$301,0))),""))</f>
        <v/>
      </c>
      <c r="H147" s="11" t="n"/>
      <c r="R147" s="7">
        <f>IF($E147="","",Q147*Z147/100)</f>
        <v/>
      </c>
      <c r="S147" s="7" t="n"/>
      <c r="Y147" s="7" t="n"/>
      <c r="Z147" s="7" t="n"/>
      <c r="AA147" s="7">
        <f>IF($E147="","",Z147*AF147/100)</f>
        <v/>
      </c>
      <c r="AB147" s="7">
        <f>IF($E147="","",Z147-AA147)</f>
        <v/>
      </c>
      <c r="AC147" s="7">
        <f>IF($E147="","",AB147-R147)</f>
        <v/>
      </c>
      <c r="AF147">
        <f>IF($E147="","",IF($AR147=1,0,IF($AQ147=1,Settings!$C$6,Settings!$C$7))*100)</f>
        <v/>
      </c>
      <c r="AJ147" s="7" t="n"/>
      <c r="AM147" s="11" t="n"/>
      <c r="AO147">
        <f>IF($E147="","",IF(COUNTIF($E$2:$E147,$E147)=1,1,0))</f>
        <v/>
      </c>
      <c r="AP147">
        <f>IF($AO147=1,SUMPRODUCT(--($AS$2:$AS$1001&lt;$AS147))+1,"")</f>
        <v/>
      </c>
      <c r="AQ147">
        <f>IF($E147="","",IF(OR($V147=TRUE(),$V147="TRUE"),1,0))</f>
        <v/>
      </c>
      <c r="AR147">
        <f>IF($E147="","",IF($AE147="Yes",1,0))</f>
        <v/>
      </c>
      <c r="AS147">
        <f>IF($AO147=1,IFERROR(IF(VALUE($E147)&lt;100000000,VALUE($E147),1000000000),IFERROR(IF(VALUE(MID($E147,2,20))&lt;100000000,VALUE(MID($E147,2,20)),1000000000),1000000000))+ROW()/100000,"")</f>
        <v/>
      </c>
    </row>
    <row r="148">
      <c r="D148">
        <f>IF($E148="","",IFERROR(IF(INDEX('Per Invoice'!$A$2:$A$301,MATCH($E148,'Per Invoice'!$B$2:$B$301,0))=0,"",INDEX('Per Invoice'!$A$2:$A$301,MATCH($E148,'Per Invoice'!$B$2:$B$301,0))),""))</f>
        <v/>
      </c>
      <c r="H148" s="11" t="n"/>
      <c r="R148" s="7">
        <f>IF($E148="","",Q148*Z148/100)</f>
        <v/>
      </c>
      <c r="S148" s="7" t="n"/>
      <c r="Y148" s="7" t="n"/>
      <c r="Z148" s="7" t="n"/>
      <c r="AA148" s="7">
        <f>IF($E148="","",Z148*AF148/100)</f>
        <v/>
      </c>
      <c r="AB148" s="7">
        <f>IF($E148="","",Z148-AA148)</f>
        <v/>
      </c>
      <c r="AC148" s="7">
        <f>IF($E148="","",AB148-R148)</f>
        <v/>
      </c>
      <c r="AF148">
        <f>IF($E148="","",IF($AR148=1,0,IF($AQ148=1,Settings!$C$6,Settings!$C$7))*100)</f>
        <v/>
      </c>
      <c r="AJ148" s="7" t="n"/>
      <c r="AM148" s="11" t="n"/>
      <c r="AO148">
        <f>IF($E148="","",IF(COUNTIF($E$2:$E148,$E148)=1,1,0))</f>
        <v/>
      </c>
      <c r="AP148">
        <f>IF($AO148=1,SUMPRODUCT(--($AS$2:$AS$1001&lt;$AS148))+1,"")</f>
        <v/>
      </c>
      <c r="AQ148">
        <f>IF($E148="","",IF(OR($V148=TRUE(),$V148="TRUE"),1,0))</f>
        <v/>
      </c>
      <c r="AR148">
        <f>IF($E148="","",IF($AE148="Yes",1,0))</f>
        <v/>
      </c>
      <c r="AS148">
        <f>IF($AO148=1,IFERROR(IF(VALUE($E148)&lt;100000000,VALUE($E148),1000000000),IFERROR(IF(VALUE(MID($E148,2,20))&lt;100000000,VALUE(MID($E148,2,20)),1000000000),1000000000))+ROW()/100000,"")</f>
        <v/>
      </c>
    </row>
    <row r="149">
      <c r="D149">
        <f>IF($E149="","",IFERROR(IF(INDEX('Per Invoice'!$A$2:$A$301,MATCH($E149,'Per Invoice'!$B$2:$B$301,0))=0,"",INDEX('Per Invoice'!$A$2:$A$301,MATCH($E149,'Per Invoice'!$B$2:$B$301,0))),""))</f>
        <v/>
      </c>
      <c r="H149" s="11" t="n"/>
      <c r="R149" s="7">
        <f>IF($E149="","",Q149*Z149/100)</f>
        <v/>
      </c>
      <c r="S149" s="7" t="n"/>
      <c r="Y149" s="7" t="n"/>
      <c r="Z149" s="7" t="n"/>
      <c r="AA149" s="7">
        <f>IF($E149="","",Z149*AF149/100)</f>
        <v/>
      </c>
      <c r="AB149" s="7">
        <f>IF($E149="","",Z149-AA149)</f>
        <v/>
      </c>
      <c r="AC149" s="7">
        <f>IF($E149="","",AB149-R149)</f>
        <v/>
      </c>
      <c r="AF149">
        <f>IF($E149="","",IF($AR149=1,0,IF($AQ149=1,Settings!$C$6,Settings!$C$7))*100)</f>
        <v/>
      </c>
      <c r="AJ149" s="7" t="n"/>
      <c r="AM149" s="11" t="n"/>
      <c r="AO149">
        <f>IF($E149="","",IF(COUNTIF($E$2:$E149,$E149)=1,1,0))</f>
        <v/>
      </c>
      <c r="AP149">
        <f>IF($AO149=1,SUMPRODUCT(--($AS$2:$AS$1001&lt;$AS149))+1,"")</f>
        <v/>
      </c>
      <c r="AQ149">
        <f>IF($E149="","",IF(OR($V149=TRUE(),$V149="TRUE"),1,0))</f>
        <v/>
      </c>
      <c r="AR149">
        <f>IF($E149="","",IF($AE149="Yes",1,0))</f>
        <v/>
      </c>
      <c r="AS149">
        <f>IF($AO149=1,IFERROR(IF(VALUE($E149)&lt;100000000,VALUE($E149),1000000000),IFERROR(IF(VALUE(MID($E149,2,20))&lt;100000000,VALUE(MID($E149,2,20)),1000000000),1000000000))+ROW()/100000,"")</f>
        <v/>
      </c>
    </row>
    <row r="150">
      <c r="D150">
        <f>IF($E150="","",IFERROR(IF(INDEX('Per Invoice'!$A$2:$A$301,MATCH($E150,'Per Invoice'!$B$2:$B$301,0))=0,"",INDEX('Per Invoice'!$A$2:$A$301,MATCH($E150,'Per Invoice'!$B$2:$B$301,0))),""))</f>
        <v/>
      </c>
      <c r="H150" s="11" t="n"/>
      <c r="R150" s="7">
        <f>IF($E150="","",Q150*Z150/100)</f>
        <v/>
      </c>
      <c r="S150" s="7" t="n"/>
      <c r="Y150" s="7" t="n"/>
      <c r="Z150" s="7" t="n"/>
      <c r="AA150" s="7">
        <f>IF($E150="","",Z150*AF150/100)</f>
        <v/>
      </c>
      <c r="AB150" s="7">
        <f>IF($E150="","",Z150-AA150)</f>
        <v/>
      </c>
      <c r="AC150" s="7">
        <f>IF($E150="","",AB150-R150)</f>
        <v/>
      </c>
      <c r="AF150">
        <f>IF($E150="","",IF($AR150=1,0,IF($AQ150=1,Settings!$C$6,Settings!$C$7))*100)</f>
        <v/>
      </c>
      <c r="AJ150" s="7" t="n"/>
      <c r="AM150" s="11" t="n"/>
      <c r="AO150">
        <f>IF($E150="","",IF(COUNTIF($E$2:$E150,$E150)=1,1,0))</f>
        <v/>
      </c>
      <c r="AP150">
        <f>IF($AO150=1,SUMPRODUCT(--($AS$2:$AS$1001&lt;$AS150))+1,"")</f>
        <v/>
      </c>
      <c r="AQ150">
        <f>IF($E150="","",IF(OR($V150=TRUE(),$V150="TRUE"),1,0))</f>
        <v/>
      </c>
      <c r="AR150">
        <f>IF($E150="","",IF($AE150="Yes",1,0))</f>
        <v/>
      </c>
      <c r="AS150">
        <f>IF($AO150=1,IFERROR(IF(VALUE($E150)&lt;100000000,VALUE($E150),1000000000),IFERROR(IF(VALUE(MID($E150,2,20))&lt;100000000,VALUE(MID($E150,2,20)),1000000000),1000000000))+ROW()/100000,"")</f>
        <v/>
      </c>
    </row>
    <row r="151">
      <c r="D151">
        <f>IF($E151="","",IFERROR(IF(INDEX('Per Invoice'!$A$2:$A$301,MATCH($E151,'Per Invoice'!$B$2:$B$301,0))=0,"",INDEX('Per Invoice'!$A$2:$A$301,MATCH($E151,'Per Invoice'!$B$2:$B$301,0))),""))</f>
        <v/>
      </c>
      <c r="H151" s="11" t="n"/>
      <c r="R151" s="7">
        <f>IF($E151="","",Q151*Z151/100)</f>
        <v/>
      </c>
      <c r="S151" s="7" t="n"/>
      <c r="Y151" s="7" t="n"/>
      <c r="Z151" s="7" t="n"/>
      <c r="AA151" s="7">
        <f>IF($E151="","",Z151*AF151/100)</f>
        <v/>
      </c>
      <c r="AB151" s="7">
        <f>IF($E151="","",Z151-AA151)</f>
        <v/>
      </c>
      <c r="AC151" s="7">
        <f>IF($E151="","",AB151-R151)</f>
        <v/>
      </c>
      <c r="AF151">
        <f>IF($E151="","",IF($AR151=1,0,IF($AQ151=1,Settings!$C$6,Settings!$C$7))*100)</f>
        <v/>
      </c>
      <c r="AJ151" s="7" t="n"/>
      <c r="AM151" s="11" t="n"/>
      <c r="AO151">
        <f>IF($E151="","",IF(COUNTIF($E$2:$E151,$E151)=1,1,0))</f>
        <v/>
      </c>
      <c r="AP151">
        <f>IF($AO151=1,SUMPRODUCT(--($AS$2:$AS$1001&lt;$AS151))+1,"")</f>
        <v/>
      </c>
      <c r="AQ151">
        <f>IF($E151="","",IF(OR($V151=TRUE(),$V151="TRUE"),1,0))</f>
        <v/>
      </c>
      <c r="AR151">
        <f>IF($E151="","",IF($AE151="Yes",1,0))</f>
        <v/>
      </c>
      <c r="AS151">
        <f>IF($AO151=1,IFERROR(IF(VALUE($E151)&lt;100000000,VALUE($E151),1000000000),IFERROR(IF(VALUE(MID($E151,2,20))&lt;100000000,VALUE(MID($E151,2,20)),1000000000),1000000000))+ROW()/100000,"")</f>
        <v/>
      </c>
    </row>
    <row r="152">
      <c r="D152">
        <f>IF($E152="","",IFERROR(IF(INDEX('Per Invoice'!$A$2:$A$301,MATCH($E152,'Per Invoice'!$B$2:$B$301,0))=0,"",INDEX('Per Invoice'!$A$2:$A$301,MATCH($E152,'Per Invoice'!$B$2:$B$301,0))),""))</f>
        <v/>
      </c>
      <c r="H152" s="11" t="n"/>
      <c r="R152" s="7">
        <f>IF($E152="","",Q152*Z152/100)</f>
        <v/>
      </c>
      <c r="S152" s="7" t="n"/>
      <c r="Y152" s="7" t="n"/>
      <c r="Z152" s="7" t="n"/>
      <c r="AA152" s="7">
        <f>IF($E152="","",Z152*AF152/100)</f>
        <v/>
      </c>
      <c r="AB152" s="7">
        <f>IF($E152="","",Z152-AA152)</f>
        <v/>
      </c>
      <c r="AC152" s="7">
        <f>IF($E152="","",AB152-R152)</f>
        <v/>
      </c>
      <c r="AF152">
        <f>IF($E152="","",IF($AR152=1,0,IF($AQ152=1,Settings!$C$6,Settings!$C$7))*100)</f>
        <v/>
      </c>
      <c r="AJ152" s="7" t="n"/>
      <c r="AM152" s="11" t="n"/>
      <c r="AO152">
        <f>IF($E152="","",IF(COUNTIF($E$2:$E152,$E152)=1,1,0))</f>
        <v/>
      </c>
      <c r="AP152">
        <f>IF($AO152=1,SUMPRODUCT(--($AS$2:$AS$1001&lt;$AS152))+1,"")</f>
        <v/>
      </c>
      <c r="AQ152">
        <f>IF($E152="","",IF(OR($V152=TRUE(),$V152="TRUE"),1,0))</f>
        <v/>
      </c>
      <c r="AR152">
        <f>IF($E152="","",IF($AE152="Yes",1,0))</f>
        <v/>
      </c>
      <c r="AS152">
        <f>IF($AO152=1,IFERROR(IF(VALUE($E152)&lt;100000000,VALUE($E152),1000000000),IFERROR(IF(VALUE(MID($E152,2,20))&lt;100000000,VALUE(MID($E152,2,20)),1000000000),1000000000))+ROW()/100000,"")</f>
        <v/>
      </c>
    </row>
    <row r="153">
      <c r="D153">
        <f>IF($E153="","",IFERROR(IF(INDEX('Per Invoice'!$A$2:$A$301,MATCH($E153,'Per Invoice'!$B$2:$B$301,0))=0,"",INDEX('Per Invoice'!$A$2:$A$301,MATCH($E153,'Per Invoice'!$B$2:$B$301,0))),""))</f>
        <v/>
      </c>
      <c r="H153" s="11" t="n"/>
      <c r="R153" s="7">
        <f>IF($E153="","",Q153*Z153/100)</f>
        <v/>
      </c>
      <c r="S153" s="7" t="n"/>
      <c r="Y153" s="7" t="n"/>
      <c r="Z153" s="7" t="n"/>
      <c r="AA153" s="7">
        <f>IF($E153="","",Z153*AF153/100)</f>
        <v/>
      </c>
      <c r="AB153" s="7">
        <f>IF($E153="","",Z153-AA153)</f>
        <v/>
      </c>
      <c r="AC153" s="7">
        <f>IF($E153="","",AB153-R153)</f>
        <v/>
      </c>
      <c r="AF153">
        <f>IF($E153="","",IF($AR153=1,0,IF($AQ153=1,Settings!$C$6,Settings!$C$7))*100)</f>
        <v/>
      </c>
      <c r="AJ153" s="7" t="n"/>
      <c r="AM153" s="11" t="n"/>
      <c r="AO153">
        <f>IF($E153="","",IF(COUNTIF($E$2:$E153,$E153)=1,1,0))</f>
        <v/>
      </c>
      <c r="AP153">
        <f>IF($AO153=1,SUMPRODUCT(--($AS$2:$AS$1001&lt;$AS153))+1,"")</f>
        <v/>
      </c>
      <c r="AQ153">
        <f>IF($E153="","",IF(OR($V153=TRUE(),$V153="TRUE"),1,0))</f>
        <v/>
      </c>
      <c r="AR153">
        <f>IF($E153="","",IF($AE153="Yes",1,0))</f>
        <v/>
      </c>
      <c r="AS153">
        <f>IF($AO153=1,IFERROR(IF(VALUE($E153)&lt;100000000,VALUE($E153),1000000000),IFERROR(IF(VALUE(MID($E153,2,20))&lt;100000000,VALUE(MID($E153,2,20)),1000000000),1000000000))+ROW()/100000,"")</f>
        <v/>
      </c>
    </row>
    <row r="154">
      <c r="D154">
        <f>IF($E154="","",IFERROR(IF(INDEX('Per Invoice'!$A$2:$A$301,MATCH($E154,'Per Invoice'!$B$2:$B$301,0))=0,"",INDEX('Per Invoice'!$A$2:$A$301,MATCH($E154,'Per Invoice'!$B$2:$B$301,0))),""))</f>
        <v/>
      </c>
      <c r="H154" s="11" t="n"/>
      <c r="R154" s="7">
        <f>IF($E154="","",Q154*Z154/100)</f>
        <v/>
      </c>
      <c r="S154" s="7" t="n"/>
      <c r="Y154" s="7" t="n"/>
      <c r="Z154" s="7" t="n"/>
      <c r="AA154" s="7">
        <f>IF($E154="","",Z154*AF154/100)</f>
        <v/>
      </c>
      <c r="AB154" s="7">
        <f>IF($E154="","",Z154-AA154)</f>
        <v/>
      </c>
      <c r="AC154" s="7">
        <f>IF($E154="","",AB154-R154)</f>
        <v/>
      </c>
      <c r="AF154">
        <f>IF($E154="","",IF($AR154=1,0,IF($AQ154=1,Settings!$C$6,Settings!$C$7))*100)</f>
        <v/>
      </c>
      <c r="AJ154" s="7" t="n"/>
      <c r="AM154" s="11" t="n"/>
      <c r="AO154">
        <f>IF($E154="","",IF(COUNTIF($E$2:$E154,$E154)=1,1,0))</f>
        <v/>
      </c>
      <c r="AP154">
        <f>IF($AO154=1,SUMPRODUCT(--($AS$2:$AS$1001&lt;$AS154))+1,"")</f>
        <v/>
      </c>
      <c r="AQ154">
        <f>IF($E154="","",IF(OR($V154=TRUE(),$V154="TRUE"),1,0))</f>
        <v/>
      </c>
      <c r="AR154">
        <f>IF($E154="","",IF($AE154="Yes",1,0))</f>
        <v/>
      </c>
      <c r="AS154">
        <f>IF($AO154=1,IFERROR(IF(VALUE($E154)&lt;100000000,VALUE($E154),1000000000),IFERROR(IF(VALUE(MID($E154,2,20))&lt;100000000,VALUE(MID($E154,2,20)),1000000000),1000000000))+ROW()/100000,"")</f>
        <v/>
      </c>
    </row>
    <row r="155">
      <c r="D155">
        <f>IF($E155="","",IFERROR(IF(INDEX('Per Invoice'!$A$2:$A$301,MATCH($E155,'Per Invoice'!$B$2:$B$301,0))=0,"",INDEX('Per Invoice'!$A$2:$A$301,MATCH($E155,'Per Invoice'!$B$2:$B$301,0))),""))</f>
        <v/>
      </c>
      <c r="H155" s="11" t="n"/>
      <c r="R155" s="7">
        <f>IF($E155="","",Q155*Z155/100)</f>
        <v/>
      </c>
      <c r="S155" s="7" t="n"/>
      <c r="Y155" s="7" t="n"/>
      <c r="Z155" s="7" t="n"/>
      <c r="AA155" s="7">
        <f>IF($E155="","",Z155*AF155/100)</f>
        <v/>
      </c>
      <c r="AB155" s="7">
        <f>IF($E155="","",Z155-AA155)</f>
        <v/>
      </c>
      <c r="AC155" s="7">
        <f>IF($E155="","",AB155-R155)</f>
        <v/>
      </c>
      <c r="AF155">
        <f>IF($E155="","",IF($AR155=1,0,IF($AQ155=1,Settings!$C$6,Settings!$C$7))*100)</f>
        <v/>
      </c>
      <c r="AJ155" s="7" t="n"/>
      <c r="AM155" s="11" t="n"/>
      <c r="AO155">
        <f>IF($E155="","",IF(COUNTIF($E$2:$E155,$E155)=1,1,0))</f>
        <v/>
      </c>
      <c r="AP155">
        <f>IF($AO155=1,SUMPRODUCT(--($AS$2:$AS$1001&lt;$AS155))+1,"")</f>
        <v/>
      </c>
      <c r="AQ155">
        <f>IF($E155="","",IF(OR($V155=TRUE(),$V155="TRUE"),1,0))</f>
        <v/>
      </c>
      <c r="AR155">
        <f>IF($E155="","",IF($AE155="Yes",1,0))</f>
        <v/>
      </c>
      <c r="AS155">
        <f>IF($AO155=1,IFERROR(IF(VALUE($E155)&lt;100000000,VALUE($E155),1000000000),IFERROR(IF(VALUE(MID($E155,2,20))&lt;100000000,VALUE(MID($E155,2,20)),1000000000),1000000000))+ROW()/100000,"")</f>
        <v/>
      </c>
    </row>
    <row r="156">
      <c r="D156">
        <f>IF($E156="","",IFERROR(IF(INDEX('Per Invoice'!$A$2:$A$301,MATCH($E156,'Per Invoice'!$B$2:$B$301,0))=0,"",INDEX('Per Invoice'!$A$2:$A$301,MATCH($E156,'Per Invoice'!$B$2:$B$301,0))),""))</f>
        <v/>
      </c>
      <c r="H156" s="11" t="n"/>
      <c r="R156" s="7">
        <f>IF($E156="","",Q156*Z156/100)</f>
        <v/>
      </c>
      <c r="S156" s="7" t="n"/>
      <c r="Y156" s="7" t="n"/>
      <c r="Z156" s="7" t="n"/>
      <c r="AA156" s="7">
        <f>IF($E156="","",Z156*AF156/100)</f>
        <v/>
      </c>
      <c r="AB156" s="7">
        <f>IF($E156="","",Z156-AA156)</f>
        <v/>
      </c>
      <c r="AC156" s="7">
        <f>IF($E156="","",AB156-R156)</f>
        <v/>
      </c>
      <c r="AF156">
        <f>IF($E156="","",IF($AR156=1,0,IF($AQ156=1,Settings!$C$6,Settings!$C$7))*100)</f>
        <v/>
      </c>
      <c r="AJ156" s="7" t="n"/>
      <c r="AM156" s="11" t="n"/>
      <c r="AO156">
        <f>IF($E156="","",IF(COUNTIF($E$2:$E156,$E156)=1,1,0))</f>
        <v/>
      </c>
      <c r="AP156">
        <f>IF($AO156=1,SUMPRODUCT(--($AS$2:$AS$1001&lt;$AS156))+1,"")</f>
        <v/>
      </c>
      <c r="AQ156">
        <f>IF($E156="","",IF(OR($V156=TRUE(),$V156="TRUE"),1,0))</f>
        <v/>
      </c>
      <c r="AR156">
        <f>IF($E156="","",IF($AE156="Yes",1,0))</f>
        <v/>
      </c>
      <c r="AS156">
        <f>IF($AO156=1,IFERROR(IF(VALUE($E156)&lt;100000000,VALUE($E156),1000000000),IFERROR(IF(VALUE(MID($E156,2,20))&lt;100000000,VALUE(MID($E156,2,20)),1000000000),1000000000))+ROW()/100000,"")</f>
        <v/>
      </c>
    </row>
    <row r="157">
      <c r="D157">
        <f>IF($E157="","",IFERROR(IF(INDEX('Per Invoice'!$A$2:$A$301,MATCH($E157,'Per Invoice'!$B$2:$B$301,0))=0,"",INDEX('Per Invoice'!$A$2:$A$301,MATCH($E157,'Per Invoice'!$B$2:$B$301,0))),""))</f>
        <v/>
      </c>
      <c r="H157" s="11" t="n"/>
      <c r="R157" s="7">
        <f>IF($E157="","",Q157*Z157/100)</f>
        <v/>
      </c>
      <c r="S157" s="7" t="n"/>
      <c r="Y157" s="7" t="n"/>
      <c r="Z157" s="7" t="n"/>
      <c r="AA157" s="7">
        <f>IF($E157="","",Z157*AF157/100)</f>
        <v/>
      </c>
      <c r="AB157" s="7">
        <f>IF($E157="","",Z157-AA157)</f>
        <v/>
      </c>
      <c r="AC157" s="7">
        <f>IF($E157="","",AB157-R157)</f>
        <v/>
      </c>
      <c r="AF157">
        <f>IF($E157="","",IF($AR157=1,0,IF($AQ157=1,Settings!$C$6,Settings!$C$7))*100)</f>
        <v/>
      </c>
      <c r="AJ157" s="7" t="n"/>
      <c r="AM157" s="11" t="n"/>
      <c r="AO157">
        <f>IF($E157="","",IF(COUNTIF($E$2:$E157,$E157)=1,1,0))</f>
        <v/>
      </c>
      <c r="AP157">
        <f>IF($AO157=1,SUMPRODUCT(--($AS$2:$AS$1001&lt;$AS157))+1,"")</f>
        <v/>
      </c>
      <c r="AQ157">
        <f>IF($E157="","",IF(OR($V157=TRUE(),$V157="TRUE"),1,0))</f>
        <v/>
      </c>
      <c r="AR157">
        <f>IF($E157="","",IF($AE157="Yes",1,0))</f>
        <v/>
      </c>
      <c r="AS157">
        <f>IF($AO157=1,IFERROR(IF(VALUE($E157)&lt;100000000,VALUE($E157),1000000000),IFERROR(IF(VALUE(MID($E157,2,20))&lt;100000000,VALUE(MID($E157,2,20)),1000000000),1000000000))+ROW()/100000,"")</f>
        <v/>
      </c>
    </row>
    <row r="158">
      <c r="D158">
        <f>IF($E158="","",IFERROR(IF(INDEX('Per Invoice'!$A$2:$A$301,MATCH($E158,'Per Invoice'!$B$2:$B$301,0))=0,"",INDEX('Per Invoice'!$A$2:$A$301,MATCH($E158,'Per Invoice'!$B$2:$B$301,0))),""))</f>
        <v/>
      </c>
      <c r="H158" s="11" t="n"/>
      <c r="R158" s="7">
        <f>IF($E158="","",Q158*Z158/100)</f>
        <v/>
      </c>
      <c r="S158" s="7" t="n"/>
      <c r="Y158" s="7" t="n"/>
      <c r="Z158" s="7" t="n"/>
      <c r="AA158" s="7">
        <f>IF($E158="","",Z158*AF158/100)</f>
        <v/>
      </c>
      <c r="AB158" s="7">
        <f>IF($E158="","",Z158-AA158)</f>
        <v/>
      </c>
      <c r="AC158" s="7">
        <f>IF($E158="","",AB158-R158)</f>
        <v/>
      </c>
      <c r="AF158">
        <f>IF($E158="","",IF($AR158=1,0,IF($AQ158=1,Settings!$C$6,Settings!$C$7))*100)</f>
        <v/>
      </c>
      <c r="AJ158" s="7" t="n"/>
      <c r="AM158" s="11" t="n"/>
      <c r="AO158">
        <f>IF($E158="","",IF(COUNTIF($E$2:$E158,$E158)=1,1,0))</f>
        <v/>
      </c>
      <c r="AP158">
        <f>IF($AO158=1,SUMPRODUCT(--($AS$2:$AS$1001&lt;$AS158))+1,"")</f>
        <v/>
      </c>
      <c r="AQ158">
        <f>IF($E158="","",IF(OR($V158=TRUE(),$V158="TRUE"),1,0))</f>
        <v/>
      </c>
      <c r="AR158">
        <f>IF($E158="","",IF($AE158="Yes",1,0))</f>
        <v/>
      </c>
      <c r="AS158">
        <f>IF($AO158=1,IFERROR(IF(VALUE($E158)&lt;100000000,VALUE($E158),1000000000),IFERROR(IF(VALUE(MID($E158,2,20))&lt;100000000,VALUE(MID($E158,2,20)),1000000000),1000000000))+ROW()/100000,"")</f>
        <v/>
      </c>
    </row>
    <row r="159">
      <c r="D159">
        <f>IF($E159="","",IFERROR(IF(INDEX('Per Invoice'!$A$2:$A$301,MATCH($E159,'Per Invoice'!$B$2:$B$301,0))=0,"",INDEX('Per Invoice'!$A$2:$A$301,MATCH($E159,'Per Invoice'!$B$2:$B$301,0))),""))</f>
        <v/>
      </c>
      <c r="H159" s="11" t="n"/>
      <c r="R159" s="7">
        <f>IF($E159="","",Q159*Z159/100)</f>
        <v/>
      </c>
      <c r="S159" s="7" t="n"/>
      <c r="Y159" s="7" t="n"/>
      <c r="Z159" s="7" t="n"/>
      <c r="AA159" s="7">
        <f>IF($E159="","",Z159*AF159/100)</f>
        <v/>
      </c>
      <c r="AB159" s="7">
        <f>IF($E159="","",Z159-AA159)</f>
        <v/>
      </c>
      <c r="AC159" s="7">
        <f>IF($E159="","",AB159-R159)</f>
        <v/>
      </c>
      <c r="AF159">
        <f>IF($E159="","",IF($AR159=1,0,IF($AQ159=1,Settings!$C$6,Settings!$C$7))*100)</f>
        <v/>
      </c>
      <c r="AJ159" s="7" t="n"/>
      <c r="AM159" s="11" t="n"/>
      <c r="AO159">
        <f>IF($E159="","",IF(COUNTIF($E$2:$E159,$E159)=1,1,0))</f>
        <v/>
      </c>
      <c r="AP159">
        <f>IF($AO159=1,SUMPRODUCT(--($AS$2:$AS$1001&lt;$AS159))+1,"")</f>
        <v/>
      </c>
      <c r="AQ159">
        <f>IF($E159="","",IF(OR($V159=TRUE(),$V159="TRUE"),1,0))</f>
        <v/>
      </c>
      <c r="AR159">
        <f>IF($E159="","",IF($AE159="Yes",1,0))</f>
        <v/>
      </c>
      <c r="AS159">
        <f>IF($AO159=1,IFERROR(IF(VALUE($E159)&lt;100000000,VALUE($E159),1000000000),IFERROR(IF(VALUE(MID($E159,2,20))&lt;100000000,VALUE(MID($E159,2,20)),1000000000),1000000000))+ROW()/100000,"")</f>
        <v/>
      </c>
    </row>
    <row r="160">
      <c r="D160">
        <f>IF($E160="","",IFERROR(IF(INDEX('Per Invoice'!$A$2:$A$301,MATCH($E160,'Per Invoice'!$B$2:$B$301,0))=0,"",INDEX('Per Invoice'!$A$2:$A$301,MATCH($E160,'Per Invoice'!$B$2:$B$301,0))),""))</f>
        <v/>
      </c>
      <c r="H160" s="11" t="n"/>
      <c r="R160" s="7">
        <f>IF($E160="","",Q160*Z160/100)</f>
        <v/>
      </c>
      <c r="S160" s="7" t="n"/>
      <c r="Y160" s="7" t="n"/>
      <c r="Z160" s="7" t="n"/>
      <c r="AA160" s="7">
        <f>IF($E160="","",Z160*AF160/100)</f>
        <v/>
      </c>
      <c r="AB160" s="7">
        <f>IF($E160="","",Z160-AA160)</f>
        <v/>
      </c>
      <c r="AC160" s="7">
        <f>IF($E160="","",AB160-R160)</f>
        <v/>
      </c>
      <c r="AF160">
        <f>IF($E160="","",IF($AR160=1,0,IF($AQ160=1,Settings!$C$6,Settings!$C$7))*100)</f>
        <v/>
      </c>
      <c r="AJ160" s="7" t="n"/>
      <c r="AM160" s="11" t="n"/>
      <c r="AO160">
        <f>IF($E160="","",IF(COUNTIF($E$2:$E160,$E160)=1,1,0))</f>
        <v/>
      </c>
      <c r="AP160">
        <f>IF($AO160=1,SUMPRODUCT(--($AS$2:$AS$1001&lt;$AS160))+1,"")</f>
        <v/>
      </c>
      <c r="AQ160">
        <f>IF($E160="","",IF(OR($V160=TRUE(),$V160="TRUE"),1,0))</f>
        <v/>
      </c>
      <c r="AR160">
        <f>IF($E160="","",IF($AE160="Yes",1,0))</f>
        <v/>
      </c>
      <c r="AS160">
        <f>IF($AO160=1,IFERROR(IF(VALUE($E160)&lt;100000000,VALUE($E160),1000000000),IFERROR(IF(VALUE(MID($E160,2,20))&lt;100000000,VALUE(MID($E160,2,20)),1000000000),1000000000))+ROW()/100000,"")</f>
        <v/>
      </c>
    </row>
    <row r="161">
      <c r="D161">
        <f>IF($E161="","",IFERROR(IF(INDEX('Per Invoice'!$A$2:$A$301,MATCH($E161,'Per Invoice'!$B$2:$B$301,0))=0,"",INDEX('Per Invoice'!$A$2:$A$301,MATCH($E161,'Per Invoice'!$B$2:$B$301,0))),""))</f>
        <v/>
      </c>
      <c r="H161" s="11" t="n"/>
      <c r="R161" s="7">
        <f>IF($E161="","",Q161*Z161/100)</f>
        <v/>
      </c>
      <c r="S161" s="7" t="n"/>
      <c r="Y161" s="7" t="n"/>
      <c r="Z161" s="7" t="n"/>
      <c r="AA161" s="7">
        <f>IF($E161="","",Z161*AF161/100)</f>
        <v/>
      </c>
      <c r="AB161" s="7">
        <f>IF($E161="","",Z161-AA161)</f>
        <v/>
      </c>
      <c r="AC161" s="7">
        <f>IF($E161="","",AB161-R161)</f>
        <v/>
      </c>
      <c r="AF161">
        <f>IF($E161="","",IF($AR161=1,0,IF($AQ161=1,Settings!$C$6,Settings!$C$7))*100)</f>
        <v/>
      </c>
      <c r="AJ161" s="7" t="n"/>
      <c r="AM161" s="11" t="n"/>
      <c r="AO161">
        <f>IF($E161="","",IF(COUNTIF($E$2:$E161,$E161)=1,1,0))</f>
        <v/>
      </c>
      <c r="AP161">
        <f>IF($AO161=1,SUMPRODUCT(--($AS$2:$AS$1001&lt;$AS161))+1,"")</f>
        <v/>
      </c>
      <c r="AQ161">
        <f>IF($E161="","",IF(OR($V161=TRUE(),$V161="TRUE"),1,0))</f>
        <v/>
      </c>
      <c r="AR161">
        <f>IF($E161="","",IF($AE161="Yes",1,0))</f>
        <v/>
      </c>
      <c r="AS161">
        <f>IF($AO161=1,IFERROR(IF(VALUE($E161)&lt;100000000,VALUE($E161),1000000000),IFERROR(IF(VALUE(MID($E161,2,20))&lt;100000000,VALUE(MID($E161,2,20)),1000000000),1000000000))+ROW()/100000,"")</f>
        <v/>
      </c>
    </row>
    <row r="162">
      <c r="D162">
        <f>IF($E162="","",IFERROR(IF(INDEX('Per Invoice'!$A$2:$A$301,MATCH($E162,'Per Invoice'!$B$2:$B$301,0))=0,"",INDEX('Per Invoice'!$A$2:$A$301,MATCH($E162,'Per Invoice'!$B$2:$B$301,0))),""))</f>
        <v/>
      </c>
      <c r="H162" s="11" t="n"/>
      <c r="R162" s="7">
        <f>IF($E162="","",Q162*Z162/100)</f>
        <v/>
      </c>
      <c r="S162" s="7" t="n"/>
      <c r="Y162" s="7" t="n"/>
      <c r="Z162" s="7" t="n"/>
      <c r="AA162" s="7">
        <f>IF($E162="","",Z162*AF162/100)</f>
        <v/>
      </c>
      <c r="AB162" s="7">
        <f>IF($E162="","",Z162-AA162)</f>
        <v/>
      </c>
      <c r="AC162" s="7">
        <f>IF($E162="","",AB162-R162)</f>
        <v/>
      </c>
      <c r="AF162">
        <f>IF($E162="","",IF($AR162=1,0,IF($AQ162=1,Settings!$C$6,Settings!$C$7))*100)</f>
        <v/>
      </c>
      <c r="AJ162" s="7" t="n"/>
      <c r="AM162" s="11" t="n"/>
      <c r="AO162">
        <f>IF($E162="","",IF(COUNTIF($E$2:$E162,$E162)=1,1,0))</f>
        <v/>
      </c>
      <c r="AP162">
        <f>IF($AO162=1,SUMPRODUCT(--($AS$2:$AS$1001&lt;$AS162))+1,"")</f>
        <v/>
      </c>
      <c r="AQ162">
        <f>IF($E162="","",IF(OR($V162=TRUE(),$V162="TRUE"),1,0))</f>
        <v/>
      </c>
      <c r="AR162">
        <f>IF($E162="","",IF($AE162="Yes",1,0))</f>
        <v/>
      </c>
      <c r="AS162">
        <f>IF($AO162=1,IFERROR(IF(VALUE($E162)&lt;100000000,VALUE($E162),1000000000),IFERROR(IF(VALUE(MID($E162,2,20))&lt;100000000,VALUE(MID($E162,2,20)),1000000000),1000000000))+ROW()/100000,"")</f>
        <v/>
      </c>
    </row>
    <row r="163">
      <c r="D163">
        <f>IF($E163="","",IFERROR(IF(INDEX('Per Invoice'!$A$2:$A$301,MATCH($E163,'Per Invoice'!$B$2:$B$301,0))=0,"",INDEX('Per Invoice'!$A$2:$A$301,MATCH($E163,'Per Invoice'!$B$2:$B$301,0))),""))</f>
        <v/>
      </c>
      <c r="H163" s="11" t="n"/>
      <c r="R163" s="7">
        <f>IF($E163="","",Q163*Z163/100)</f>
        <v/>
      </c>
      <c r="S163" s="7" t="n"/>
      <c r="Y163" s="7" t="n"/>
      <c r="Z163" s="7" t="n"/>
      <c r="AA163" s="7">
        <f>IF($E163="","",Z163*AF163/100)</f>
        <v/>
      </c>
      <c r="AB163" s="7">
        <f>IF($E163="","",Z163-AA163)</f>
        <v/>
      </c>
      <c r="AC163" s="7">
        <f>IF($E163="","",AB163-R163)</f>
        <v/>
      </c>
      <c r="AF163">
        <f>IF($E163="","",IF($AR163=1,0,IF($AQ163=1,Settings!$C$6,Settings!$C$7))*100)</f>
        <v/>
      </c>
      <c r="AJ163" s="7" t="n"/>
      <c r="AM163" s="11" t="n"/>
      <c r="AO163">
        <f>IF($E163="","",IF(COUNTIF($E$2:$E163,$E163)=1,1,0))</f>
        <v/>
      </c>
      <c r="AP163">
        <f>IF($AO163=1,SUMPRODUCT(--($AS$2:$AS$1001&lt;$AS163))+1,"")</f>
        <v/>
      </c>
      <c r="AQ163">
        <f>IF($E163="","",IF(OR($V163=TRUE(),$V163="TRUE"),1,0))</f>
        <v/>
      </c>
      <c r="AR163">
        <f>IF($E163="","",IF($AE163="Yes",1,0))</f>
        <v/>
      </c>
      <c r="AS163">
        <f>IF($AO163=1,IFERROR(IF(VALUE($E163)&lt;100000000,VALUE($E163),1000000000),IFERROR(IF(VALUE(MID($E163,2,20))&lt;100000000,VALUE(MID($E163,2,20)),1000000000),1000000000))+ROW()/100000,"")</f>
        <v/>
      </c>
    </row>
    <row r="164">
      <c r="D164">
        <f>IF($E164="","",IFERROR(IF(INDEX('Per Invoice'!$A$2:$A$301,MATCH($E164,'Per Invoice'!$B$2:$B$301,0))=0,"",INDEX('Per Invoice'!$A$2:$A$301,MATCH($E164,'Per Invoice'!$B$2:$B$301,0))),""))</f>
        <v/>
      </c>
      <c r="H164" s="11" t="n"/>
      <c r="R164" s="7">
        <f>IF($E164="","",Q164*Z164/100)</f>
        <v/>
      </c>
      <c r="S164" s="7" t="n"/>
      <c r="Y164" s="7" t="n"/>
      <c r="Z164" s="7" t="n"/>
      <c r="AA164" s="7">
        <f>IF($E164="","",Z164*AF164/100)</f>
        <v/>
      </c>
      <c r="AB164" s="7">
        <f>IF($E164="","",Z164-AA164)</f>
        <v/>
      </c>
      <c r="AC164" s="7">
        <f>IF($E164="","",AB164-R164)</f>
        <v/>
      </c>
      <c r="AF164">
        <f>IF($E164="","",IF($AR164=1,0,IF($AQ164=1,Settings!$C$6,Settings!$C$7))*100)</f>
        <v/>
      </c>
      <c r="AJ164" s="7" t="n"/>
      <c r="AM164" s="11" t="n"/>
      <c r="AO164">
        <f>IF($E164="","",IF(COUNTIF($E$2:$E164,$E164)=1,1,0))</f>
        <v/>
      </c>
      <c r="AP164">
        <f>IF($AO164=1,SUMPRODUCT(--($AS$2:$AS$1001&lt;$AS164))+1,"")</f>
        <v/>
      </c>
      <c r="AQ164">
        <f>IF($E164="","",IF(OR($V164=TRUE(),$V164="TRUE"),1,0))</f>
        <v/>
      </c>
      <c r="AR164">
        <f>IF($E164="","",IF($AE164="Yes",1,0))</f>
        <v/>
      </c>
      <c r="AS164">
        <f>IF($AO164=1,IFERROR(IF(VALUE($E164)&lt;100000000,VALUE($E164),1000000000),IFERROR(IF(VALUE(MID($E164,2,20))&lt;100000000,VALUE(MID($E164,2,20)),1000000000),1000000000))+ROW()/100000,"")</f>
        <v/>
      </c>
    </row>
    <row r="165">
      <c r="D165">
        <f>IF($E165="","",IFERROR(IF(INDEX('Per Invoice'!$A$2:$A$301,MATCH($E165,'Per Invoice'!$B$2:$B$301,0))=0,"",INDEX('Per Invoice'!$A$2:$A$301,MATCH($E165,'Per Invoice'!$B$2:$B$301,0))),""))</f>
        <v/>
      </c>
      <c r="H165" s="11" t="n"/>
      <c r="R165" s="7">
        <f>IF($E165="","",Q165*Z165/100)</f>
        <v/>
      </c>
      <c r="S165" s="7" t="n"/>
      <c r="Y165" s="7" t="n"/>
      <c r="Z165" s="7" t="n"/>
      <c r="AA165" s="7">
        <f>IF($E165="","",Z165*AF165/100)</f>
        <v/>
      </c>
      <c r="AB165" s="7">
        <f>IF($E165="","",Z165-AA165)</f>
        <v/>
      </c>
      <c r="AC165" s="7">
        <f>IF($E165="","",AB165-R165)</f>
        <v/>
      </c>
      <c r="AF165">
        <f>IF($E165="","",IF($AR165=1,0,IF($AQ165=1,Settings!$C$6,Settings!$C$7))*100)</f>
        <v/>
      </c>
      <c r="AJ165" s="7" t="n"/>
      <c r="AM165" s="11" t="n"/>
      <c r="AO165">
        <f>IF($E165="","",IF(COUNTIF($E$2:$E165,$E165)=1,1,0))</f>
        <v/>
      </c>
      <c r="AP165">
        <f>IF($AO165=1,SUMPRODUCT(--($AS$2:$AS$1001&lt;$AS165))+1,"")</f>
        <v/>
      </c>
      <c r="AQ165">
        <f>IF($E165="","",IF(OR($V165=TRUE(),$V165="TRUE"),1,0))</f>
        <v/>
      </c>
      <c r="AR165">
        <f>IF($E165="","",IF($AE165="Yes",1,0))</f>
        <v/>
      </c>
      <c r="AS165">
        <f>IF($AO165=1,IFERROR(IF(VALUE($E165)&lt;100000000,VALUE($E165),1000000000),IFERROR(IF(VALUE(MID($E165,2,20))&lt;100000000,VALUE(MID($E165,2,20)),1000000000),1000000000))+ROW()/100000,"")</f>
        <v/>
      </c>
    </row>
    <row r="166">
      <c r="D166">
        <f>IF($E166="","",IFERROR(IF(INDEX('Per Invoice'!$A$2:$A$301,MATCH($E166,'Per Invoice'!$B$2:$B$301,0))=0,"",INDEX('Per Invoice'!$A$2:$A$301,MATCH($E166,'Per Invoice'!$B$2:$B$301,0))),""))</f>
        <v/>
      </c>
      <c r="H166" s="11" t="n"/>
      <c r="R166" s="7">
        <f>IF($E166="","",Q166*Z166/100)</f>
        <v/>
      </c>
      <c r="S166" s="7" t="n"/>
      <c r="Y166" s="7" t="n"/>
      <c r="Z166" s="7" t="n"/>
      <c r="AA166" s="7">
        <f>IF($E166="","",Z166*AF166/100)</f>
        <v/>
      </c>
      <c r="AB166" s="7">
        <f>IF($E166="","",Z166-AA166)</f>
        <v/>
      </c>
      <c r="AC166" s="7">
        <f>IF($E166="","",AB166-R166)</f>
        <v/>
      </c>
      <c r="AF166">
        <f>IF($E166="","",IF($AR166=1,0,IF($AQ166=1,Settings!$C$6,Settings!$C$7))*100)</f>
        <v/>
      </c>
      <c r="AJ166" s="7" t="n"/>
      <c r="AM166" s="11" t="n"/>
      <c r="AO166">
        <f>IF($E166="","",IF(COUNTIF($E$2:$E166,$E166)=1,1,0))</f>
        <v/>
      </c>
      <c r="AP166">
        <f>IF($AO166=1,SUMPRODUCT(--($AS$2:$AS$1001&lt;$AS166))+1,"")</f>
        <v/>
      </c>
      <c r="AQ166">
        <f>IF($E166="","",IF(OR($V166=TRUE(),$V166="TRUE"),1,0))</f>
        <v/>
      </c>
      <c r="AR166">
        <f>IF($E166="","",IF($AE166="Yes",1,0))</f>
        <v/>
      </c>
      <c r="AS166">
        <f>IF($AO166=1,IFERROR(IF(VALUE($E166)&lt;100000000,VALUE($E166),1000000000),IFERROR(IF(VALUE(MID($E166,2,20))&lt;100000000,VALUE(MID($E166,2,20)),1000000000),1000000000))+ROW()/100000,"")</f>
        <v/>
      </c>
    </row>
    <row r="167">
      <c r="D167">
        <f>IF($E167="","",IFERROR(IF(INDEX('Per Invoice'!$A$2:$A$301,MATCH($E167,'Per Invoice'!$B$2:$B$301,0))=0,"",INDEX('Per Invoice'!$A$2:$A$301,MATCH($E167,'Per Invoice'!$B$2:$B$301,0))),""))</f>
        <v/>
      </c>
      <c r="H167" s="11" t="n"/>
      <c r="R167" s="7">
        <f>IF($E167="","",Q167*Z167/100)</f>
        <v/>
      </c>
      <c r="S167" s="7" t="n"/>
      <c r="Y167" s="7" t="n"/>
      <c r="Z167" s="7" t="n"/>
      <c r="AA167" s="7">
        <f>IF($E167="","",Z167*AF167/100)</f>
        <v/>
      </c>
      <c r="AB167" s="7">
        <f>IF($E167="","",Z167-AA167)</f>
        <v/>
      </c>
      <c r="AC167" s="7">
        <f>IF($E167="","",AB167-R167)</f>
        <v/>
      </c>
      <c r="AF167">
        <f>IF($E167="","",IF($AR167=1,0,IF($AQ167=1,Settings!$C$6,Settings!$C$7))*100)</f>
        <v/>
      </c>
      <c r="AJ167" s="7" t="n"/>
      <c r="AM167" s="11" t="n"/>
      <c r="AO167">
        <f>IF($E167="","",IF(COUNTIF($E$2:$E167,$E167)=1,1,0))</f>
        <v/>
      </c>
      <c r="AP167">
        <f>IF($AO167=1,SUMPRODUCT(--($AS$2:$AS$1001&lt;$AS167))+1,"")</f>
        <v/>
      </c>
      <c r="AQ167">
        <f>IF($E167="","",IF(OR($V167=TRUE(),$V167="TRUE"),1,0))</f>
        <v/>
      </c>
      <c r="AR167">
        <f>IF($E167="","",IF($AE167="Yes",1,0))</f>
        <v/>
      </c>
      <c r="AS167">
        <f>IF($AO167=1,IFERROR(IF(VALUE($E167)&lt;100000000,VALUE($E167),1000000000),IFERROR(IF(VALUE(MID($E167,2,20))&lt;100000000,VALUE(MID($E167,2,20)),1000000000),1000000000))+ROW()/100000,"")</f>
        <v/>
      </c>
    </row>
    <row r="168">
      <c r="D168">
        <f>IF($E168="","",IFERROR(IF(INDEX('Per Invoice'!$A$2:$A$301,MATCH($E168,'Per Invoice'!$B$2:$B$301,0))=0,"",INDEX('Per Invoice'!$A$2:$A$301,MATCH($E168,'Per Invoice'!$B$2:$B$301,0))),""))</f>
        <v/>
      </c>
      <c r="H168" s="11" t="n"/>
      <c r="R168" s="7">
        <f>IF($E168="","",Q168*Z168/100)</f>
        <v/>
      </c>
      <c r="S168" s="7" t="n"/>
      <c r="Y168" s="7" t="n"/>
      <c r="Z168" s="7" t="n"/>
      <c r="AA168" s="7">
        <f>IF($E168="","",Z168*AF168/100)</f>
        <v/>
      </c>
      <c r="AB168" s="7">
        <f>IF($E168="","",Z168-AA168)</f>
        <v/>
      </c>
      <c r="AC168" s="7">
        <f>IF($E168="","",AB168-R168)</f>
        <v/>
      </c>
      <c r="AF168">
        <f>IF($E168="","",IF($AR168=1,0,IF($AQ168=1,Settings!$C$6,Settings!$C$7))*100)</f>
        <v/>
      </c>
      <c r="AJ168" s="7" t="n"/>
      <c r="AM168" s="11" t="n"/>
      <c r="AO168">
        <f>IF($E168="","",IF(COUNTIF($E$2:$E168,$E168)=1,1,0))</f>
        <v/>
      </c>
      <c r="AP168">
        <f>IF($AO168=1,SUMPRODUCT(--($AS$2:$AS$1001&lt;$AS168))+1,"")</f>
        <v/>
      </c>
      <c r="AQ168">
        <f>IF($E168="","",IF(OR($V168=TRUE(),$V168="TRUE"),1,0))</f>
        <v/>
      </c>
      <c r="AR168">
        <f>IF($E168="","",IF($AE168="Yes",1,0))</f>
        <v/>
      </c>
      <c r="AS168">
        <f>IF($AO168=1,IFERROR(IF(VALUE($E168)&lt;100000000,VALUE($E168),1000000000),IFERROR(IF(VALUE(MID($E168,2,20))&lt;100000000,VALUE(MID($E168,2,20)),1000000000),1000000000))+ROW()/100000,"")</f>
        <v/>
      </c>
    </row>
    <row r="169">
      <c r="D169">
        <f>IF($E169="","",IFERROR(IF(INDEX('Per Invoice'!$A$2:$A$301,MATCH($E169,'Per Invoice'!$B$2:$B$301,0))=0,"",INDEX('Per Invoice'!$A$2:$A$301,MATCH($E169,'Per Invoice'!$B$2:$B$301,0))),""))</f>
        <v/>
      </c>
      <c r="H169" s="11" t="n"/>
      <c r="R169" s="7">
        <f>IF($E169="","",Q169*Z169/100)</f>
        <v/>
      </c>
      <c r="S169" s="7" t="n"/>
      <c r="Y169" s="7" t="n"/>
      <c r="Z169" s="7" t="n"/>
      <c r="AA169" s="7">
        <f>IF($E169="","",Z169*AF169/100)</f>
        <v/>
      </c>
      <c r="AB169" s="7">
        <f>IF($E169="","",Z169-AA169)</f>
        <v/>
      </c>
      <c r="AC169" s="7">
        <f>IF($E169="","",AB169-R169)</f>
        <v/>
      </c>
      <c r="AF169">
        <f>IF($E169="","",IF($AR169=1,0,IF($AQ169=1,Settings!$C$6,Settings!$C$7))*100)</f>
        <v/>
      </c>
      <c r="AJ169" s="7" t="n"/>
      <c r="AM169" s="11" t="n"/>
      <c r="AO169">
        <f>IF($E169="","",IF(COUNTIF($E$2:$E169,$E169)=1,1,0))</f>
        <v/>
      </c>
      <c r="AP169">
        <f>IF($AO169=1,SUMPRODUCT(--($AS$2:$AS$1001&lt;$AS169))+1,"")</f>
        <v/>
      </c>
      <c r="AQ169">
        <f>IF($E169="","",IF(OR($V169=TRUE(),$V169="TRUE"),1,0))</f>
        <v/>
      </c>
      <c r="AR169">
        <f>IF($E169="","",IF($AE169="Yes",1,0))</f>
        <v/>
      </c>
      <c r="AS169">
        <f>IF($AO169=1,IFERROR(IF(VALUE($E169)&lt;100000000,VALUE($E169),1000000000),IFERROR(IF(VALUE(MID($E169,2,20))&lt;100000000,VALUE(MID($E169,2,20)),1000000000),1000000000))+ROW()/100000,"")</f>
        <v/>
      </c>
    </row>
    <row r="170">
      <c r="D170">
        <f>IF($E170="","",IFERROR(IF(INDEX('Per Invoice'!$A$2:$A$301,MATCH($E170,'Per Invoice'!$B$2:$B$301,0))=0,"",INDEX('Per Invoice'!$A$2:$A$301,MATCH($E170,'Per Invoice'!$B$2:$B$301,0))),""))</f>
        <v/>
      </c>
      <c r="H170" s="11" t="n"/>
      <c r="R170" s="7">
        <f>IF($E170="","",Q170*Z170/100)</f>
        <v/>
      </c>
      <c r="S170" s="7" t="n"/>
      <c r="Y170" s="7" t="n"/>
      <c r="Z170" s="7" t="n"/>
      <c r="AA170" s="7">
        <f>IF($E170="","",Z170*AF170/100)</f>
        <v/>
      </c>
      <c r="AB170" s="7">
        <f>IF($E170="","",Z170-AA170)</f>
        <v/>
      </c>
      <c r="AC170" s="7">
        <f>IF($E170="","",AB170-R170)</f>
        <v/>
      </c>
      <c r="AF170">
        <f>IF($E170="","",IF($AR170=1,0,IF($AQ170=1,Settings!$C$6,Settings!$C$7))*100)</f>
        <v/>
      </c>
      <c r="AJ170" s="7" t="n"/>
      <c r="AM170" s="11" t="n"/>
      <c r="AO170">
        <f>IF($E170="","",IF(COUNTIF($E$2:$E170,$E170)=1,1,0))</f>
        <v/>
      </c>
      <c r="AP170">
        <f>IF($AO170=1,SUMPRODUCT(--($AS$2:$AS$1001&lt;$AS170))+1,"")</f>
        <v/>
      </c>
      <c r="AQ170">
        <f>IF($E170="","",IF(OR($V170=TRUE(),$V170="TRUE"),1,0))</f>
        <v/>
      </c>
      <c r="AR170">
        <f>IF($E170="","",IF($AE170="Yes",1,0))</f>
        <v/>
      </c>
      <c r="AS170">
        <f>IF($AO170=1,IFERROR(IF(VALUE($E170)&lt;100000000,VALUE($E170),1000000000),IFERROR(IF(VALUE(MID($E170,2,20))&lt;100000000,VALUE(MID($E170,2,20)),1000000000),1000000000))+ROW()/100000,"")</f>
        <v/>
      </c>
    </row>
    <row r="171">
      <c r="D171">
        <f>IF($E171="","",IFERROR(IF(INDEX('Per Invoice'!$A$2:$A$301,MATCH($E171,'Per Invoice'!$B$2:$B$301,0))=0,"",INDEX('Per Invoice'!$A$2:$A$301,MATCH($E171,'Per Invoice'!$B$2:$B$301,0))),""))</f>
        <v/>
      </c>
      <c r="H171" s="11" t="n"/>
      <c r="R171" s="7">
        <f>IF($E171="","",Q171*Z171/100)</f>
        <v/>
      </c>
      <c r="S171" s="7" t="n"/>
      <c r="Y171" s="7" t="n"/>
      <c r="Z171" s="7" t="n"/>
      <c r="AA171" s="7">
        <f>IF($E171="","",Z171*AF171/100)</f>
        <v/>
      </c>
      <c r="AB171" s="7">
        <f>IF($E171="","",Z171-AA171)</f>
        <v/>
      </c>
      <c r="AC171" s="7">
        <f>IF($E171="","",AB171-R171)</f>
        <v/>
      </c>
      <c r="AF171">
        <f>IF($E171="","",IF($AR171=1,0,IF($AQ171=1,Settings!$C$6,Settings!$C$7))*100)</f>
        <v/>
      </c>
      <c r="AJ171" s="7" t="n"/>
      <c r="AM171" s="11" t="n"/>
      <c r="AO171">
        <f>IF($E171="","",IF(COUNTIF($E$2:$E171,$E171)=1,1,0))</f>
        <v/>
      </c>
      <c r="AP171">
        <f>IF($AO171=1,SUMPRODUCT(--($AS$2:$AS$1001&lt;$AS171))+1,"")</f>
        <v/>
      </c>
      <c r="AQ171">
        <f>IF($E171="","",IF(OR($V171=TRUE(),$V171="TRUE"),1,0))</f>
        <v/>
      </c>
      <c r="AR171">
        <f>IF($E171="","",IF($AE171="Yes",1,0))</f>
        <v/>
      </c>
      <c r="AS171">
        <f>IF($AO171=1,IFERROR(IF(VALUE($E171)&lt;100000000,VALUE($E171),1000000000),IFERROR(IF(VALUE(MID($E171,2,20))&lt;100000000,VALUE(MID($E171,2,20)),1000000000),1000000000))+ROW()/100000,"")</f>
        <v/>
      </c>
    </row>
    <row r="172">
      <c r="D172">
        <f>IF($E172="","",IFERROR(IF(INDEX('Per Invoice'!$A$2:$A$301,MATCH($E172,'Per Invoice'!$B$2:$B$301,0))=0,"",INDEX('Per Invoice'!$A$2:$A$301,MATCH($E172,'Per Invoice'!$B$2:$B$301,0))),""))</f>
        <v/>
      </c>
      <c r="H172" s="11" t="n"/>
      <c r="R172" s="7">
        <f>IF($E172="","",Q172*Z172/100)</f>
        <v/>
      </c>
      <c r="S172" s="7" t="n"/>
      <c r="Y172" s="7" t="n"/>
      <c r="Z172" s="7" t="n"/>
      <c r="AA172" s="7">
        <f>IF($E172="","",Z172*AF172/100)</f>
        <v/>
      </c>
      <c r="AB172" s="7">
        <f>IF($E172="","",Z172-AA172)</f>
        <v/>
      </c>
      <c r="AC172" s="7">
        <f>IF($E172="","",AB172-R172)</f>
        <v/>
      </c>
      <c r="AF172">
        <f>IF($E172="","",IF($AR172=1,0,IF($AQ172=1,Settings!$C$6,Settings!$C$7))*100)</f>
        <v/>
      </c>
      <c r="AJ172" s="7" t="n"/>
      <c r="AM172" s="11" t="n"/>
      <c r="AO172">
        <f>IF($E172="","",IF(COUNTIF($E$2:$E172,$E172)=1,1,0))</f>
        <v/>
      </c>
      <c r="AP172">
        <f>IF($AO172=1,SUMPRODUCT(--($AS$2:$AS$1001&lt;$AS172))+1,"")</f>
        <v/>
      </c>
      <c r="AQ172">
        <f>IF($E172="","",IF(OR($V172=TRUE(),$V172="TRUE"),1,0))</f>
        <v/>
      </c>
      <c r="AR172">
        <f>IF($E172="","",IF($AE172="Yes",1,0))</f>
        <v/>
      </c>
      <c r="AS172">
        <f>IF($AO172=1,IFERROR(IF(VALUE($E172)&lt;100000000,VALUE($E172),1000000000),IFERROR(IF(VALUE(MID($E172,2,20))&lt;100000000,VALUE(MID($E172,2,20)),1000000000),1000000000))+ROW()/100000,"")</f>
        <v/>
      </c>
    </row>
    <row r="173">
      <c r="D173">
        <f>IF($E173="","",IFERROR(IF(INDEX('Per Invoice'!$A$2:$A$301,MATCH($E173,'Per Invoice'!$B$2:$B$301,0))=0,"",INDEX('Per Invoice'!$A$2:$A$301,MATCH($E173,'Per Invoice'!$B$2:$B$301,0))),""))</f>
        <v/>
      </c>
      <c r="H173" s="11" t="n"/>
      <c r="R173" s="7">
        <f>IF($E173="","",Q173*Z173/100)</f>
        <v/>
      </c>
      <c r="S173" s="7" t="n"/>
      <c r="Y173" s="7" t="n"/>
      <c r="Z173" s="7" t="n"/>
      <c r="AA173" s="7">
        <f>IF($E173="","",Z173*AF173/100)</f>
        <v/>
      </c>
      <c r="AB173" s="7">
        <f>IF($E173="","",Z173-AA173)</f>
        <v/>
      </c>
      <c r="AC173" s="7">
        <f>IF($E173="","",AB173-R173)</f>
        <v/>
      </c>
      <c r="AF173">
        <f>IF($E173="","",IF($AR173=1,0,IF($AQ173=1,Settings!$C$6,Settings!$C$7))*100)</f>
        <v/>
      </c>
      <c r="AJ173" s="7" t="n"/>
      <c r="AM173" s="11" t="n"/>
      <c r="AO173">
        <f>IF($E173="","",IF(COUNTIF($E$2:$E173,$E173)=1,1,0))</f>
        <v/>
      </c>
      <c r="AP173">
        <f>IF($AO173=1,SUMPRODUCT(--($AS$2:$AS$1001&lt;$AS173))+1,"")</f>
        <v/>
      </c>
      <c r="AQ173">
        <f>IF($E173="","",IF(OR($V173=TRUE(),$V173="TRUE"),1,0))</f>
        <v/>
      </c>
      <c r="AR173">
        <f>IF($E173="","",IF($AE173="Yes",1,0))</f>
        <v/>
      </c>
      <c r="AS173">
        <f>IF($AO173=1,IFERROR(IF(VALUE($E173)&lt;100000000,VALUE($E173),1000000000),IFERROR(IF(VALUE(MID($E173,2,20))&lt;100000000,VALUE(MID($E173,2,20)),1000000000),1000000000))+ROW()/100000,"")</f>
        <v/>
      </c>
    </row>
    <row r="174">
      <c r="D174">
        <f>IF($E174="","",IFERROR(IF(INDEX('Per Invoice'!$A$2:$A$301,MATCH($E174,'Per Invoice'!$B$2:$B$301,0))=0,"",INDEX('Per Invoice'!$A$2:$A$301,MATCH($E174,'Per Invoice'!$B$2:$B$301,0))),""))</f>
        <v/>
      </c>
      <c r="H174" s="11" t="n"/>
      <c r="R174" s="7">
        <f>IF($E174="","",Q174*Z174/100)</f>
        <v/>
      </c>
      <c r="S174" s="7" t="n"/>
      <c r="Y174" s="7" t="n"/>
      <c r="Z174" s="7" t="n"/>
      <c r="AA174" s="7">
        <f>IF($E174="","",Z174*AF174/100)</f>
        <v/>
      </c>
      <c r="AB174" s="7">
        <f>IF($E174="","",Z174-AA174)</f>
        <v/>
      </c>
      <c r="AC174" s="7">
        <f>IF($E174="","",AB174-R174)</f>
        <v/>
      </c>
      <c r="AF174">
        <f>IF($E174="","",IF($AR174=1,0,IF($AQ174=1,Settings!$C$6,Settings!$C$7))*100)</f>
        <v/>
      </c>
      <c r="AJ174" s="7" t="n"/>
      <c r="AM174" s="11" t="n"/>
      <c r="AO174">
        <f>IF($E174="","",IF(COUNTIF($E$2:$E174,$E174)=1,1,0))</f>
        <v/>
      </c>
      <c r="AP174">
        <f>IF($AO174=1,SUMPRODUCT(--($AS$2:$AS$1001&lt;$AS174))+1,"")</f>
        <v/>
      </c>
      <c r="AQ174">
        <f>IF($E174="","",IF(OR($V174=TRUE(),$V174="TRUE"),1,0))</f>
        <v/>
      </c>
      <c r="AR174">
        <f>IF($E174="","",IF($AE174="Yes",1,0))</f>
        <v/>
      </c>
      <c r="AS174">
        <f>IF($AO174=1,IFERROR(IF(VALUE($E174)&lt;100000000,VALUE($E174),1000000000),IFERROR(IF(VALUE(MID($E174,2,20))&lt;100000000,VALUE(MID($E174,2,20)),1000000000),1000000000))+ROW()/100000,"")</f>
        <v/>
      </c>
    </row>
    <row r="175">
      <c r="D175">
        <f>IF($E175="","",IFERROR(IF(INDEX('Per Invoice'!$A$2:$A$301,MATCH($E175,'Per Invoice'!$B$2:$B$301,0))=0,"",INDEX('Per Invoice'!$A$2:$A$301,MATCH($E175,'Per Invoice'!$B$2:$B$301,0))),""))</f>
        <v/>
      </c>
      <c r="H175" s="11" t="n"/>
      <c r="R175" s="7">
        <f>IF($E175="","",Q175*Z175/100)</f>
        <v/>
      </c>
      <c r="S175" s="7" t="n"/>
      <c r="Y175" s="7" t="n"/>
      <c r="Z175" s="7" t="n"/>
      <c r="AA175" s="7">
        <f>IF($E175="","",Z175*AF175/100)</f>
        <v/>
      </c>
      <c r="AB175" s="7">
        <f>IF($E175="","",Z175-AA175)</f>
        <v/>
      </c>
      <c r="AC175" s="7">
        <f>IF($E175="","",AB175-R175)</f>
        <v/>
      </c>
      <c r="AF175">
        <f>IF($E175="","",IF($AR175=1,0,IF($AQ175=1,Settings!$C$6,Settings!$C$7))*100)</f>
        <v/>
      </c>
      <c r="AJ175" s="7" t="n"/>
      <c r="AM175" s="11" t="n"/>
      <c r="AO175">
        <f>IF($E175="","",IF(COUNTIF($E$2:$E175,$E175)=1,1,0))</f>
        <v/>
      </c>
      <c r="AP175">
        <f>IF($AO175=1,SUMPRODUCT(--($AS$2:$AS$1001&lt;$AS175))+1,"")</f>
        <v/>
      </c>
      <c r="AQ175">
        <f>IF($E175="","",IF(OR($V175=TRUE(),$V175="TRUE"),1,0))</f>
        <v/>
      </c>
      <c r="AR175">
        <f>IF($E175="","",IF($AE175="Yes",1,0))</f>
        <v/>
      </c>
      <c r="AS175">
        <f>IF($AO175=1,IFERROR(IF(VALUE($E175)&lt;100000000,VALUE($E175),1000000000),IFERROR(IF(VALUE(MID($E175,2,20))&lt;100000000,VALUE(MID($E175,2,20)),1000000000),1000000000))+ROW()/100000,"")</f>
        <v/>
      </c>
    </row>
    <row r="176">
      <c r="D176">
        <f>IF($E176="","",IFERROR(IF(INDEX('Per Invoice'!$A$2:$A$301,MATCH($E176,'Per Invoice'!$B$2:$B$301,0))=0,"",INDEX('Per Invoice'!$A$2:$A$301,MATCH($E176,'Per Invoice'!$B$2:$B$301,0))),""))</f>
        <v/>
      </c>
      <c r="H176" s="11" t="n"/>
      <c r="R176" s="7">
        <f>IF($E176="","",Q176*Z176/100)</f>
        <v/>
      </c>
      <c r="S176" s="7" t="n"/>
      <c r="Y176" s="7" t="n"/>
      <c r="Z176" s="7" t="n"/>
      <c r="AA176" s="7">
        <f>IF($E176="","",Z176*AF176/100)</f>
        <v/>
      </c>
      <c r="AB176" s="7">
        <f>IF($E176="","",Z176-AA176)</f>
        <v/>
      </c>
      <c r="AC176" s="7">
        <f>IF($E176="","",AB176-R176)</f>
        <v/>
      </c>
      <c r="AF176">
        <f>IF($E176="","",IF($AR176=1,0,IF($AQ176=1,Settings!$C$6,Settings!$C$7))*100)</f>
        <v/>
      </c>
      <c r="AJ176" s="7" t="n"/>
      <c r="AM176" s="11" t="n"/>
      <c r="AO176">
        <f>IF($E176="","",IF(COUNTIF($E$2:$E176,$E176)=1,1,0))</f>
        <v/>
      </c>
      <c r="AP176">
        <f>IF($AO176=1,SUMPRODUCT(--($AS$2:$AS$1001&lt;$AS176))+1,"")</f>
        <v/>
      </c>
      <c r="AQ176">
        <f>IF($E176="","",IF(OR($V176=TRUE(),$V176="TRUE"),1,0))</f>
        <v/>
      </c>
      <c r="AR176">
        <f>IF($E176="","",IF($AE176="Yes",1,0))</f>
        <v/>
      </c>
      <c r="AS176">
        <f>IF($AO176=1,IFERROR(IF(VALUE($E176)&lt;100000000,VALUE($E176),1000000000),IFERROR(IF(VALUE(MID($E176,2,20))&lt;100000000,VALUE(MID($E176,2,20)),1000000000),1000000000))+ROW()/100000,"")</f>
        <v/>
      </c>
    </row>
    <row r="177">
      <c r="D177">
        <f>IF($E177="","",IFERROR(IF(INDEX('Per Invoice'!$A$2:$A$301,MATCH($E177,'Per Invoice'!$B$2:$B$301,0))=0,"",INDEX('Per Invoice'!$A$2:$A$301,MATCH($E177,'Per Invoice'!$B$2:$B$301,0))),""))</f>
        <v/>
      </c>
      <c r="H177" s="11" t="n"/>
      <c r="R177" s="7">
        <f>IF($E177="","",Q177*Z177/100)</f>
        <v/>
      </c>
      <c r="S177" s="7" t="n"/>
      <c r="Y177" s="7" t="n"/>
      <c r="Z177" s="7" t="n"/>
      <c r="AA177" s="7">
        <f>IF($E177="","",Z177*AF177/100)</f>
        <v/>
      </c>
      <c r="AB177" s="7">
        <f>IF($E177="","",Z177-AA177)</f>
        <v/>
      </c>
      <c r="AC177" s="7">
        <f>IF($E177="","",AB177-R177)</f>
        <v/>
      </c>
      <c r="AF177">
        <f>IF($E177="","",IF($AR177=1,0,IF($AQ177=1,Settings!$C$6,Settings!$C$7))*100)</f>
        <v/>
      </c>
      <c r="AJ177" s="7" t="n"/>
      <c r="AM177" s="11" t="n"/>
      <c r="AO177">
        <f>IF($E177="","",IF(COUNTIF($E$2:$E177,$E177)=1,1,0))</f>
        <v/>
      </c>
      <c r="AP177">
        <f>IF($AO177=1,SUMPRODUCT(--($AS$2:$AS$1001&lt;$AS177))+1,"")</f>
        <v/>
      </c>
      <c r="AQ177">
        <f>IF($E177="","",IF(OR($V177=TRUE(),$V177="TRUE"),1,0))</f>
        <v/>
      </c>
      <c r="AR177">
        <f>IF($E177="","",IF($AE177="Yes",1,0))</f>
        <v/>
      </c>
      <c r="AS177">
        <f>IF($AO177=1,IFERROR(IF(VALUE($E177)&lt;100000000,VALUE($E177),1000000000),IFERROR(IF(VALUE(MID($E177,2,20))&lt;100000000,VALUE(MID($E177,2,20)),1000000000),1000000000))+ROW()/100000,"")</f>
        <v/>
      </c>
    </row>
    <row r="178">
      <c r="D178">
        <f>IF($E178="","",IFERROR(IF(INDEX('Per Invoice'!$A$2:$A$301,MATCH($E178,'Per Invoice'!$B$2:$B$301,0))=0,"",INDEX('Per Invoice'!$A$2:$A$301,MATCH($E178,'Per Invoice'!$B$2:$B$301,0))),""))</f>
        <v/>
      </c>
      <c r="H178" s="11" t="n"/>
      <c r="R178" s="7">
        <f>IF($E178="","",Q178*Z178/100)</f>
        <v/>
      </c>
      <c r="S178" s="7" t="n"/>
      <c r="Y178" s="7" t="n"/>
      <c r="Z178" s="7" t="n"/>
      <c r="AA178" s="7">
        <f>IF($E178="","",Z178*AF178/100)</f>
        <v/>
      </c>
      <c r="AB178" s="7">
        <f>IF($E178="","",Z178-AA178)</f>
        <v/>
      </c>
      <c r="AC178" s="7">
        <f>IF($E178="","",AB178-R178)</f>
        <v/>
      </c>
      <c r="AF178">
        <f>IF($E178="","",IF($AR178=1,0,IF($AQ178=1,Settings!$C$6,Settings!$C$7))*100)</f>
        <v/>
      </c>
      <c r="AJ178" s="7" t="n"/>
      <c r="AM178" s="11" t="n"/>
      <c r="AO178">
        <f>IF($E178="","",IF(COUNTIF($E$2:$E178,$E178)=1,1,0))</f>
        <v/>
      </c>
      <c r="AP178">
        <f>IF($AO178=1,SUMPRODUCT(--($AS$2:$AS$1001&lt;$AS178))+1,"")</f>
        <v/>
      </c>
      <c r="AQ178">
        <f>IF($E178="","",IF(OR($V178=TRUE(),$V178="TRUE"),1,0))</f>
        <v/>
      </c>
      <c r="AR178">
        <f>IF($E178="","",IF($AE178="Yes",1,0))</f>
        <v/>
      </c>
      <c r="AS178">
        <f>IF($AO178=1,IFERROR(IF(VALUE($E178)&lt;100000000,VALUE($E178),1000000000),IFERROR(IF(VALUE(MID($E178,2,20))&lt;100000000,VALUE(MID($E178,2,20)),1000000000),1000000000))+ROW()/100000,"")</f>
        <v/>
      </c>
    </row>
    <row r="179">
      <c r="D179">
        <f>IF($E179="","",IFERROR(IF(INDEX('Per Invoice'!$A$2:$A$301,MATCH($E179,'Per Invoice'!$B$2:$B$301,0))=0,"",INDEX('Per Invoice'!$A$2:$A$301,MATCH($E179,'Per Invoice'!$B$2:$B$301,0))),""))</f>
        <v/>
      </c>
      <c r="H179" s="11" t="n"/>
      <c r="R179" s="7">
        <f>IF($E179="","",Q179*Z179/100)</f>
        <v/>
      </c>
      <c r="S179" s="7" t="n"/>
      <c r="Y179" s="7" t="n"/>
      <c r="Z179" s="7" t="n"/>
      <c r="AA179" s="7">
        <f>IF($E179="","",Z179*AF179/100)</f>
        <v/>
      </c>
      <c r="AB179" s="7">
        <f>IF($E179="","",Z179-AA179)</f>
        <v/>
      </c>
      <c r="AC179" s="7">
        <f>IF($E179="","",AB179-R179)</f>
        <v/>
      </c>
      <c r="AF179">
        <f>IF($E179="","",IF($AR179=1,0,IF($AQ179=1,Settings!$C$6,Settings!$C$7))*100)</f>
        <v/>
      </c>
      <c r="AJ179" s="7" t="n"/>
      <c r="AM179" s="11" t="n"/>
      <c r="AO179">
        <f>IF($E179="","",IF(COUNTIF($E$2:$E179,$E179)=1,1,0))</f>
        <v/>
      </c>
      <c r="AP179">
        <f>IF($AO179=1,SUMPRODUCT(--($AS$2:$AS$1001&lt;$AS179))+1,"")</f>
        <v/>
      </c>
      <c r="AQ179">
        <f>IF($E179="","",IF(OR($V179=TRUE(),$V179="TRUE"),1,0))</f>
        <v/>
      </c>
      <c r="AR179">
        <f>IF($E179="","",IF($AE179="Yes",1,0))</f>
        <v/>
      </c>
      <c r="AS179">
        <f>IF($AO179=1,IFERROR(IF(VALUE($E179)&lt;100000000,VALUE($E179),1000000000),IFERROR(IF(VALUE(MID($E179,2,20))&lt;100000000,VALUE(MID($E179,2,20)),1000000000),1000000000))+ROW()/100000,"")</f>
        <v/>
      </c>
    </row>
    <row r="180">
      <c r="D180">
        <f>IF($E180="","",IFERROR(IF(INDEX('Per Invoice'!$A$2:$A$301,MATCH($E180,'Per Invoice'!$B$2:$B$301,0))=0,"",INDEX('Per Invoice'!$A$2:$A$301,MATCH($E180,'Per Invoice'!$B$2:$B$301,0))),""))</f>
        <v/>
      </c>
      <c r="H180" s="11" t="n"/>
      <c r="R180" s="7">
        <f>IF($E180="","",Q180*Z180/100)</f>
        <v/>
      </c>
      <c r="S180" s="7" t="n"/>
      <c r="Y180" s="7" t="n"/>
      <c r="Z180" s="7" t="n"/>
      <c r="AA180" s="7">
        <f>IF($E180="","",Z180*AF180/100)</f>
        <v/>
      </c>
      <c r="AB180" s="7">
        <f>IF($E180="","",Z180-AA180)</f>
        <v/>
      </c>
      <c r="AC180" s="7">
        <f>IF($E180="","",AB180-R180)</f>
        <v/>
      </c>
      <c r="AF180">
        <f>IF($E180="","",IF($AR180=1,0,IF($AQ180=1,Settings!$C$6,Settings!$C$7))*100)</f>
        <v/>
      </c>
      <c r="AJ180" s="7" t="n"/>
      <c r="AM180" s="11" t="n"/>
      <c r="AO180">
        <f>IF($E180="","",IF(COUNTIF($E$2:$E180,$E180)=1,1,0))</f>
        <v/>
      </c>
      <c r="AP180">
        <f>IF($AO180=1,SUMPRODUCT(--($AS$2:$AS$1001&lt;$AS180))+1,"")</f>
        <v/>
      </c>
      <c r="AQ180">
        <f>IF($E180="","",IF(OR($V180=TRUE(),$V180="TRUE"),1,0))</f>
        <v/>
      </c>
      <c r="AR180">
        <f>IF($E180="","",IF($AE180="Yes",1,0))</f>
        <v/>
      </c>
      <c r="AS180">
        <f>IF($AO180=1,IFERROR(IF(VALUE($E180)&lt;100000000,VALUE($E180),1000000000),IFERROR(IF(VALUE(MID($E180,2,20))&lt;100000000,VALUE(MID($E180,2,20)),1000000000),1000000000))+ROW()/100000,"")</f>
        <v/>
      </c>
    </row>
    <row r="181">
      <c r="D181">
        <f>IF($E181="","",IFERROR(IF(INDEX('Per Invoice'!$A$2:$A$301,MATCH($E181,'Per Invoice'!$B$2:$B$301,0))=0,"",INDEX('Per Invoice'!$A$2:$A$301,MATCH($E181,'Per Invoice'!$B$2:$B$301,0))),""))</f>
        <v/>
      </c>
      <c r="H181" s="11" t="n"/>
      <c r="R181" s="7">
        <f>IF($E181="","",Q181*Z181/100)</f>
        <v/>
      </c>
      <c r="S181" s="7" t="n"/>
      <c r="Y181" s="7" t="n"/>
      <c r="Z181" s="7" t="n"/>
      <c r="AA181" s="7">
        <f>IF($E181="","",Z181*AF181/100)</f>
        <v/>
      </c>
      <c r="AB181" s="7">
        <f>IF($E181="","",Z181-AA181)</f>
        <v/>
      </c>
      <c r="AC181" s="7">
        <f>IF($E181="","",AB181-R181)</f>
        <v/>
      </c>
      <c r="AF181">
        <f>IF($E181="","",IF($AR181=1,0,IF($AQ181=1,Settings!$C$6,Settings!$C$7))*100)</f>
        <v/>
      </c>
      <c r="AJ181" s="7" t="n"/>
      <c r="AM181" s="11" t="n"/>
      <c r="AO181">
        <f>IF($E181="","",IF(COUNTIF($E$2:$E181,$E181)=1,1,0))</f>
        <v/>
      </c>
      <c r="AP181">
        <f>IF($AO181=1,SUMPRODUCT(--($AS$2:$AS$1001&lt;$AS181))+1,"")</f>
        <v/>
      </c>
      <c r="AQ181">
        <f>IF($E181="","",IF(OR($V181=TRUE(),$V181="TRUE"),1,0))</f>
        <v/>
      </c>
      <c r="AR181">
        <f>IF($E181="","",IF($AE181="Yes",1,0))</f>
        <v/>
      </c>
      <c r="AS181">
        <f>IF($AO181=1,IFERROR(IF(VALUE($E181)&lt;100000000,VALUE($E181),1000000000),IFERROR(IF(VALUE(MID($E181,2,20))&lt;100000000,VALUE(MID($E181,2,20)),1000000000),1000000000))+ROW()/100000,"")</f>
        <v/>
      </c>
    </row>
    <row r="182">
      <c r="D182">
        <f>IF($E182="","",IFERROR(IF(INDEX('Per Invoice'!$A$2:$A$301,MATCH($E182,'Per Invoice'!$B$2:$B$301,0))=0,"",INDEX('Per Invoice'!$A$2:$A$301,MATCH($E182,'Per Invoice'!$B$2:$B$301,0))),""))</f>
        <v/>
      </c>
      <c r="H182" s="11" t="n"/>
      <c r="R182" s="7">
        <f>IF($E182="","",Q182*Z182/100)</f>
        <v/>
      </c>
      <c r="S182" s="7" t="n"/>
      <c r="Y182" s="7" t="n"/>
      <c r="Z182" s="7" t="n"/>
      <c r="AA182" s="7">
        <f>IF($E182="","",Z182*AF182/100)</f>
        <v/>
      </c>
      <c r="AB182" s="7">
        <f>IF($E182="","",Z182-AA182)</f>
        <v/>
      </c>
      <c r="AC182" s="7">
        <f>IF($E182="","",AB182-R182)</f>
        <v/>
      </c>
      <c r="AF182">
        <f>IF($E182="","",IF($AR182=1,0,IF($AQ182=1,Settings!$C$6,Settings!$C$7))*100)</f>
        <v/>
      </c>
      <c r="AJ182" s="7" t="n"/>
      <c r="AM182" s="11" t="n"/>
      <c r="AO182">
        <f>IF($E182="","",IF(COUNTIF($E$2:$E182,$E182)=1,1,0))</f>
        <v/>
      </c>
      <c r="AP182">
        <f>IF($AO182=1,SUMPRODUCT(--($AS$2:$AS$1001&lt;$AS182))+1,"")</f>
        <v/>
      </c>
      <c r="AQ182">
        <f>IF($E182="","",IF(OR($V182=TRUE(),$V182="TRUE"),1,0))</f>
        <v/>
      </c>
      <c r="AR182">
        <f>IF($E182="","",IF($AE182="Yes",1,0))</f>
        <v/>
      </c>
      <c r="AS182">
        <f>IF($AO182=1,IFERROR(IF(VALUE($E182)&lt;100000000,VALUE($E182),1000000000),IFERROR(IF(VALUE(MID($E182,2,20))&lt;100000000,VALUE(MID($E182,2,20)),1000000000),1000000000))+ROW()/100000,"")</f>
        <v/>
      </c>
    </row>
    <row r="183">
      <c r="D183">
        <f>IF($E183="","",IFERROR(IF(INDEX('Per Invoice'!$A$2:$A$301,MATCH($E183,'Per Invoice'!$B$2:$B$301,0))=0,"",INDEX('Per Invoice'!$A$2:$A$301,MATCH($E183,'Per Invoice'!$B$2:$B$301,0))),""))</f>
        <v/>
      </c>
      <c r="H183" s="11" t="n"/>
      <c r="R183" s="7">
        <f>IF($E183="","",Q183*Z183/100)</f>
        <v/>
      </c>
      <c r="S183" s="7" t="n"/>
      <c r="Y183" s="7" t="n"/>
      <c r="Z183" s="7" t="n"/>
      <c r="AA183" s="7">
        <f>IF($E183="","",Z183*AF183/100)</f>
        <v/>
      </c>
      <c r="AB183" s="7">
        <f>IF($E183="","",Z183-AA183)</f>
        <v/>
      </c>
      <c r="AC183" s="7">
        <f>IF($E183="","",AB183-R183)</f>
        <v/>
      </c>
      <c r="AF183">
        <f>IF($E183="","",IF($AR183=1,0,IF($AQ183=1,Settings!$C$6,Settings!$C$7))*100)</f>
        <v/>
      </c>
      <c r="AJ183" s="7" t="n"/>
      <c r="AM183" s="11" t="n"/>
      <c r="AO183">
        <f>IF($E183="","",IF(COUNTIF($E$2:$E183,$E183)=1,1,0))</f>
        <v/>
      </c>
      <c r="AP183">
        <f>IF($AO183=1,SUMPRODUCT(--($AS$2:$AS$1001&lt;$AS183))+1,"")</f>
        <v/>
      </c>
      <c r="AQ183">
        <f>IF($E183="","",IF(OR($V183=TRUE(),$V183="TRUE"),1,0))</f>
        <v/>
      </c>
      <c r="AR183">
        <f>IF($E183="","",IF($AE183="Yes",1,0))</f>
        <v/>
      </c>
      <c r="AS183">
        <f>IF($AO183=1,IFERROR(IF(VALUE($E183)&lt;100000000,VALUE($E183),1000000000),IFERROR(IF(VALUE(MID($E183,2,20))&lt;100000000,VALUE(MID($E183,2,20)),1000000000),1000000000))+ROW()/100000,"")</f>
        <v/>
      </c>
    </row>
    <row r="184">
      <c r="D184">
        <f>IF($E184="","",IFERROR(IF(INDEX('Per Invoice'!$A$2:$A$301,MATCH($E184,'Per Invoice'!$B$2:$B$301,0))=0,"",INDEX('Per Invoice'!$A$2:$A$301,MATCH($E184,'Per Invoice'!$B$2:$B$301,0))),""))</f>
        <v/>
      </c>
      <c r="H184" s="11" t="n"/>
      <c r="R184" s="7">
        <f>IF($E184="","",Q184*Z184/100)</f>
        <v/>
      </c>
      <c r="S184" s="7" t="n"/>
      <c r="Y184" s="7" t="n"/>
      <c r="Z184" s="7" t="n"/>
      <c r="AA184" s="7">
        <f>IF($E184="","",Z184*AF184/100)</f>
        <v/>
      </c>
      <c r="AB184" s="7">
        <f>IF($E184="","",Z184-AA184)</f>
        <v/>
      </c>
      <c r="AC184" s="7">
        <f>IF($E184="","",AB184-R184)</f>
        <v/>
      </c>
      <c r="AF184">
        <f>IF($E184="","",IF($AR184=1,0,IF($AQ184=1,Settings!$C$6,Settings!$C$7))*100)</f>
        <v/>
      </c>
      <c r="AJ184" s="7" t="n"/>
      <c r="AM184" s="11" t="n"/>
      <c r="AO184">
        <f>IF($E184="","",IF(COUNTIF($E$2:$E184,$E184)=1,1,0))</f>
        <v/>
      </c>
      <c r="AP184">
        <f>IF($AO184=1,SUMPRODUCT(--($AS$2:$AS$1001&lt;$AS184))+1,"")</f>
        <v/>
      </c>
      <c r="AQ184">
        <f>IF($E184="","",IF(OR($V184=TRUE(),$V184="TRUE"),1,0))</f>
        <v/>
      </c>
      <c r="AR184">
        <f>IF($E184="","",IF($AE184="Yes",1,0))</f>
        <v/>
      </c>
      <c r="AS184">
        <f>IF($AO184=1,IFERROR(IF(VALUE($E184)&lt;100000000,VALUE($E184),1000000000),IFERROR(IF(VALUE(MID($E184,2,20))&lt;100000000,VALUE(MID($E184,2,20)),1000000000),1000000000))+ROW()/100000,"")</f>
        <v/>
      </c>
    </row>
    <row r="185">
      <c r="D185">
        <f>IF($E185="","",IFERROR(IF(INDEX('Per Invoice'!$A$2:$A$301,MATCH($E185,'Per Invoice'!$B$2:$B$301,0))=0,"",INDEX('Per Invoice'!$A$2:$A$301,MATCH($E185,'Per Invoice'!$B$2:$B$301,0))),""))</f>
        <v/>
      </c>
      <c r="H185" s="11" t="n"/>
      <c r="R185" s="7">
        <f>IF($E185="","",Q185*Z185/100)</f>
        <v/>
      </c>
      <c r="S185" s="7" t="n"/>
      <c r="Y185" s="7" t="n"/>
      <c r="Z185" s="7" t="n"/>
      <c r="AA185" s="7">
        <f>IF($E185="","",Z185*AF185/100)</f>
        <v/>
      </c>
      <c r="AB185" s="7">
        <f>IF($E185="","",Z185-AA185)</f>
        <v/>
      </c>
      <c r="AC185" s="7">
        <f>IF($E185="","",AB185-R185)</f>
        <v/>
      </c>
      <c r="AF185">
        <f>IF($E185="","",IF($AR185=1,0,IF($AQ185=1,Settings!$C$6,Settings!$C$7))*100)</f>
        <v/>
      </c>
      <c r="AJ185" s="7" t="n"/>
      <c r="AM185" s="11" t="n"/>
      <c r="AO185">
        <f>IF($E185="","",IF(COUNTIF($E$2:$E185,$E185)=1,1,0))</f>
        <v/>
      </c>
      <c r="AP185">
        <f>IF($AO185=1,SUMPRODUCT(--($AS$2:$AS$1001&lt;$AS185))+1,"")</f>
        <v/>
      </c>
      <c r="AQ185">
        <f>IF($E185="","",IF(OR($V185=TRUE(),$V185="TRUE"),1,0))</f>
        <v/>
      </c>
      <c r="AR185">
        <f>IF($E185="","",IF($AE185="Yes",1,0))</f>
        <v/>
      </c>
      <c r="AS185">
        <f>IF($AO185=1,IFERROR(IF(VALUE($E185)&lt;100000000,VALUE($E185),1000000000),IFERROR(IF(VALUE(MID($E185,2,20))&lt;100000000,VALUE(MID($E185,2,20)),1000000000),1000000000))+ROW()/100000,"")</f>
        <v/>
      </c>
    </row>
    <row r="186">
      <c r="D186">
        <f>IF($E186="","",IFERROR(IF(INDEX('Per Invoice'!$A$2:$A$301,MATCH($E186,'Per Invoice'!$B$2:$B$301,0))=0,"",INDEX('Per Invoice'!$A$2:$A$301,MATCH($E186,'Per Invoice'!$B$2:$B$301,0))),""))</f>
        <v/>
      </c>
      <c r="H186" s="11" t="n"/>
      <c r="R186" s="7">
        <f>IF($E186="","",Q186*Z186/100)</f>
        <v/>
      </c>
      <c r="S186" s="7" t="n"/>
      <c r="Y186" s="7" t="n"/>
      <c r="Z186" s="7" t="n"/>
      <c r="AA186" s="7">
        <f>IF($E186="","",Z186*AF186/100)</f>
        <v/>
      </c>
      <c r="AB186" s="7">
        <f>IF($E186="","",Z186-AA186)</f>
        <v/>
      </c>
      <c r="AC186" s="7">
        <f>IF($E186="","",AB186-R186)</f>
        <v/>
      </c>
      <c r="AF186">
        <f>IF($E186="","",IF($AR186=1,0,IF($AQ186=1,Settings!$C$6,Settings!$C$7))*100)</f>
        <v/>
      </c>
      <c r="AJ186" s="7" t="n"/>
      <c r="AM186" s="11" t="n"/>
      <c r="AO186">
        <f>IF($E186="","",IF(COUNTIF($E$2:$E186,$E186)=1,1,0))</f>
        <v/>
      </c>
      <c r="AP186">
        <f>IF($AO186=1,SUMPRODUCT(--($AS$2:$AS$1001&lt;$AS186))+1,"")</f>
        <v/>
      </c>
      <c r="AQ186">
        <f>IF($E186="","",IF(OR($V186=TRUE(),$V186="TRUE"),1,0))</f>
        <v/>
      </c>
      <c r="AR186">
        <f>IF($E186="","",IF($AE186="Yes",1,0))</f>
        <v/>
      </c>
      <c r="AS186">
        <f>IF($AO186=1,IFERROR(IF(VALUE($E186)&lt;100000000,VALUE($E186),1000000000),IFERROR(IF(VALUE(MID($E186,2,20))&lt;100000000,VALUE(MID($E186,2,20)),1000000000),1000000000))+ROW()/100000,"")</f>
        <v/>
      </c>
    </row>
    <row r="187">
      <c r="D187">
        <f>IF($E187="","",IFERROR(IF(INDEX('Per Invoice'!$A$2:$A$301,MATCH($E187,'Per Invoice'!$B$2:$B$301,0))=0,"",INDEX('Per Invoice'!$A$2:$A$301,MATCH($E187,'Per Invoice'!$B$2:$B$301,0))),""))</f>
        <v/>
      </c>
      <c r="H187" s="11" t="n"/>
      <c r="R187" s="7">
        <f>IF($E187="","",Q187*Z187/100)</f>
        <v/>
      </c>
      <c r="S187" s="7" t="n"/>
      <c r="Y187" s="7" t="n"/>
      <c r="Z187" s="7" t="n"/>
      <c r="AA187" s="7">
        <f>IF($E187="","",Z187*AF187/100)</f>
        <v/>
      </c>
      <c r="AB187" s="7">
        <f>IF($E187="","",Z187-AA187)</f>
        <v/>
      </c>
      <c r="AC187" s="7">
        <f>IF($E187="","",AB187-R187)</f>
        <v/>
      </c>
      <c r="AF187">
        <f>IF($E187="","",IF($AR187=1,0,IF($AQ187=1,Settings!$C$6,Settings!$C$7))*100)</f>
        <v/>
      </c>
      <c r="AJ187" s="7" t="n"/>
      <c r="AM187" s="11" t="n"/>
      <c r="AO187">
        <f>IF($E187="","",IF(COUNTIF($E$2:$E187,$E187)=1,1,0))</f>
        <v/>
      </c>
      <c r="AP187">
        <f>IF($AO187=1,SUMPRODUCT(--($AS$2:$AS$1001&lt;$AS187))+1,"")</f>
        <v/>
      </c>
      <c r="AQ187">
        <f>IF($E187="","",IF(OR($V187=TRUE(),$V187="TRUE"),1,0))</f>
        <v/>
      </c>
      <c r="AR187">
        <f>IF($E187="","",IF($AE187="Yes",1,0))</f>
        <v/>
      </c>
      <c r="AS187">
        <f>IF($AO187=1,IFERROR(IF(VALUE($E187)&lt;100000000,VALUE($E187),1000000000),IFERROR(IF(VALUE(MID($E187,2,20))&lt;100000000,VALUE(MID($E187,2,20)),1000000000),1000000000))+ROW()/100000,"")</f>
        <v/>
      </c>
    </row>
    <row r="188">
      <c r="D188">
        <f>IF($E188="","",IFERROR(IF(INDEX('Per Invoice'!$A$2:$A$301,MATCH($E188,'Per Invoice'!$B$2:$B$301,0))=0,"",INDEX('Per Invoice'!$A$2:$A$301,MATCH($E188,'Per Invoice'!$B$2:$B$301,0))),""))</f>
        <v/>
      </c>
      <c r="H188" s="11" t="n"/>
      <c r="R188" s="7">
        <f>IF($E188="","",Q188*Z188/100)</f>
        <v/>
      </c>
      <c r="S188" s="7" t="n"/>
      <c r="Y188" s="7" t="n"/>
      <c r="Z188" s="7" t="n"/>
      <c r="AA188" s="7">
        <f>IF($E188="","",Z188*AF188/100)</f>
        <v/>
      </c>
      <c r="AB188" s="7">
        <f>IF($E188="","",Z188-AA188)</f>
        <v/>
      </c>
      <c r="AC188" s="7">
        <f>IF($E188="","",AB188-R188)</f>
        <v/>
      </c>
      <c r="AF188">
        <f>IF($E188="","",IF($AR188=1,0,IF($AQ188=1,Settings!$C$6,Settings!$C$7))*100)</f>
        <v/>
      </c>
      <c r="AJ188" s="7" t="n"/>
      <c r="AM188" s="11" t="n"/>
      <c r="AO188">
        <f>IF($E188="","",IF(COUNTIF($E$2:$E188,$E188)=1,1,0))</f>
        <v/>
      </c>
      <c r="AP188">
        <f>IF($AO188=1,SUMPRODUCT(--($AS$2:$AS$1001&lt;$AS188))+1,"")</f>
        <v/>
      </c>
      <c r="AQ188">
        <f>IF($E188="","",IF(OR($V188=TRUE(),$V188="TRUE"),1,0))</f>
        <v/>
      </c>
      <c r="AR188">
        <f>IF($E188="","",IF($AE188="Yes",1,0))</f>
        <v/>
      </c>
      <c r="AS188">
        <f>IF($AO188=1,IFERROR(IF(VALUE($E188)&lt;100000000,VALUE($E188),1000000000),IFERROR(IF(VALUE(MID($E188,2,20))&lt;100000000,VALUE(MID($E188,2,20)),1000000000),1000000000))+ROW()/100000,"")</f>
        <v/>
      </c>
    </row>
    <row r="189">
      <c r="D189">
        <f>IF($E189="","",IFERROR(IF(INDEX('Per Invoice'!$A$2:$A$301,MATCH($E189,'Per Invoice'!$B$2:$B$301,0))=0,"",INDEX('Per Invoice'!$A$2:$A$301,MATCH($E189,'Per Invoice'!$B$2:$B$301,0))),""))</f>
        <v/>
      </c>
      <c r="H189" s="11" t="n"/>
      <c r="R189" s="7">
        <f>IF($E189="","",Q189*Z189/100)</f>
        <v/>
      </c>
      <c r="S189" s="7" t="n"/>
      <c r="Y189" s="7" t="n"/>
      <c r="Z189" s="7" t="n"/>
      <c r="AA189" s="7">
        <f>IF($E189="","",Z189*AF189/100)</f>
        <v/>
      </c>
      <c r="AB189" s="7">
        <f>IF($E189="","",Z189-AA189)</f>
        <v/>
      </c>
      <c r="AC189" s="7">
        <f>IF($E189="","",AB189-R189)</f>
        <v/>
      </c>
      <c r="AF189">
        <f>IF($E189="","",IF($AR189=1,0,IF($AQ189=1,Settings!$C$6,Settings!$C$7))*100)</f>
        <v/>
      </c>
      <c r="AJ189" s="7" t="n"/>
      <c r="AM189" s="11" t="n"/>
      <c r="AO189">
        <f>IF($E189="","",IF(COUNTIF($E$2:$E189,$E189)=1,1,0))</f>
        <v/>
      </c>
      <c r="AP189">
        <f>IF($AO189=1,SUMPRODUCT(--($AS$2:$AS$1001&lt;$AS189))+1,"")</f>
        <v/>
      </c>
      <c r="AQ189">
        <f>IF($E189="","",IF(OR($V189=TRUE(),$V189="TRUE"),1,0))</f>
        <v/>
      </c>
      <c r="AR189">
        <f>IF($E189="","",IF($AE189="Yes",1,0))</f>
        <v/>
      </c>
      <c r="AS189">
        <f>IF($AO189=1,IFERROR(IF(VALUE($E189)&lt;100000000,VALUE($E189),1000000000),IFERROR(IF(VALUE(MID($E189,2,20))&lt;100000000,VALUE(MID($E189,2,20)),1000000000),1000000000))+ROW()/100000,"")</f>
        <v/>
      </c>
    </row>
    <row r="190">
      <c r="D190">
        <f>IF($E190="","",IFERROR(IF(INDEX('Per Invoice'!$A$2:$A$301,MATCH($E190,'Per Invoice'!$B$2:$B$301,0))=0,"",INDEX('Per Invoice'!$A$2:$A$301,MATCH($E190,'Per Invoice'!$B$2:$B$301,0))),""))</f>
        <v/>
      </c>
      <c r="H190" s="11" t="n"/>
      <c r="R190" s="7">
        <f>IF($E190="","",Q190*Z190/100)</f>
        <v/>
      </c>
      <c r="S190" s="7" t="n"/>
      <c r="Y190" s="7" t="n"/>
      <c r="Z190" s="7" t="n"/>
      <c r="AA190" s="7">
        <f>IF($E190="","",Z190*AF190/100)</f>
        <v/>
      </c>
      <c r="AB190" s="7">
        <f>IF($E190="","",Z190-AA190)</f>
        <v/>
      </c>
      <c r="AC190" s="7">
        <f>IF($E190="","",AB190-R190)</f>
        <v/>
      </c>
      <c r="AF190">
        <f>IF($E190="","",IF($AR190=1,0,IF($AQ190=1,Settings!$C$6,Settings!$C$7))*100)</f>
        <v/>
      </c>
      <c r="AJ190" s="7" t="n"/>
      <c r="AM190" s="11" t="n"/>
      <c r="AO190">
        <f>IF($E190="","",IF(COUNTIF($E$2:$E190,$E190)=1,1,0))</f>
        <v/>
      </c>
      <c r="AP190">
        <f>IF($AO190=1,SUMPRODUCT(--($AS$2:$AS$1001&lt;$AS190))+1,"")</f>
        <v/>
      </c>
      <c r="AQ190">
        <f>IF($E190="","",IF(OR($V190=TRUE(),$V190="TRUE"),1,0))</f>
        <v/>
      </c>
      <c r="AR190">
        <f>IF($E190="","",IF($AE190="Yes",1,0))</f>
        <v/>
      </c>
      <c r="AS190">
        <f>IF($AO190=1,IFERROR(IF(VALUE($E190)&lt;100000000,VALUE($E190),1000000000),IFERROR(IF(VALUE(MID($E190,2,20))&lt;100000000,VALUE(MID($E190,2,20)),1000000000),1000000000))+ROW()/100000,"")</f>
        <v/>
      </c>
    </row>
    <row r="191">
      <c r="D191">
        <f>IF($E191="","",IFERROR(IF(INDEX('Per Invoice'!$A$2:$A$301,MATCH($E191,'Per Invoice'!$B$2:$B$301,0))=0,"",INDEX('Per Invoice'!$A$2:$A$301,MATCH($E191,'Per Invoice'!$B$2:$B$301,0))),""))</f>
        <v/>
      </c>
      <c r="H191" s="11" t="n"/>
      <c r="R191" s="7">
        <f>IF($E191="","",Q191*Z191/100)</f>
        <v/>
      </c>
      <c r="S191" s="7" t="n"/>
      <c r="Y191" s="7" t="n"/>
      <c r="Z191" s="7" t="n"/>
      <c r="AA191" s="7">
        <f>IF($E191="","",Z191*AF191/100)</f>
        <v/>
      </c>
      <c r="AB191" s="7">
        <f>IF($E191="","",Z191-AA191)</f>
        <v/>
      </c>
      <c r="AC191" s="7">
        <f>IF($E191="","",AB191-R191)</f>
        <v/>
      </c>
      <c r="AF191">
        <f>IF($E191="","",IF($AR191=1,0,IF($AQ191=1,Settings!$C$6,Settings!$C$7))*100)</f>
        <v/>
      </c>
      <c r="AJ191" s="7" t="n"/>
      <c r="AM191" s="11" t="n"/>
      <c r="AO191">
        <f>IF($E191="","",IF(COUNTIF($E$2:$E191,$E191)=1,1,0))</f>
        <v/>
      </c>
      <c r="AP191">
        <f>IF($AO191=1,SUMPRODUCT(--($AS$2:$AS$1001&lt;$AS191))+1,"")</f>
        <v/>
      </c>
      <c r="AQ191">
        <f>IF($E191="","",IF(OR($V191=TRUE(),$V191="TRUE"),1,0))</f>
        <v/>
      </c>
      <c r="AR191">
        <f>IF($E191="","",IF($AE191="Yes",1,0))</f>
        <v/>
      </c>
      <c r="AS191">
        <f>IF($AO191=1,IFERROR(IF(VALUE($E191)&lt;100000000,VALUE($E191),1000000000),IFERROR(IF(VALUE(MID($E191,2,20))&lt;100000000,VALUE(MID($E191,2,20)),1000000000),1000000000))+ROW()/100000,"")</f>
        <v/>
      </c>
    </row>
    <row r="192">
      <c r="D192">
        <f>IF($E192="","",IFERROR(IF(INDEX('Per Invoice'!$A$2:$A$301,MATCH($E192,'Per Invoice'!$B$2:$B$301,0))=0,"",INDEX('Per Invoice'!$A$2:$A$301,MATCH($E192,'Per Invoice'!$B$2:$B$301,0))),""))</f>
        <v/>
      </c>
      <c r="H192" s="11" t="n"/>
      <c r="R192" s="7">
        <f>IF($E192="","",Q192*Z192/100)</f>
        <v/>
      </c>
      <c r="S192" s="7" t="n"/>
      <c r="Y192" s="7" t="n"/>
      <c r="Z192" s="7" t="n"/>
      <c r="AA192" s="7">
        <f>IF($E192="","",Z192*AF192/100)</f>
        <v/>
      </c>
      <c r="AB192" s="7">
        <f>IF($E192="","",Z192-AA192)</f>
        <v/>
      </c>
      <c r="AC192" s="7">
        <f>IF($E192="","",AB192-R192)</f>
        <v/>
      </c>
      <c r="AF192">
        <f>IF($E192="","",IF($AR192=1,0,IF($AQ192=1,Settings!$C$6,Settings!$C$7))*100)</f>
        <v/>
      </c>
      <c r="AJ192" s="7" t="n"/>
      <c r="AM192" s="11" t="n"/>
      <c r="AO192">
        <f>IF($E192="","",IF(COUNTIF($E$2:$E192,$E192)=1,1,0))</f>
        <v/>
      </c>
      <c r="AP192">
        <f>IF($AO192=1,SUMPRODUCT(--($AS$2:$AS$1001&lt;$AS192))+1,"")</f>
        <v/>
      </c>
      <c r="AQ192">
        <f>IF($E192="","",IF(OR($V192=TRUE(),$V192="TRUE"),1,0))</f>
        <v/>
      </c>
      <c r="AR192">
        <f>IF($E192="","",IF($AE192="Yes",1,0))</f>
        <v/>
      </c>
      <c r="AS192">
        <f>IF($AO192=1,IFERROR(IF(VALUE($E192)&lt;100000000,VALUE($E192),1000000000),IFERROR(IF(VALUE(MID($E192,2,20))&lt;100000000,VALUE(MID($E192,2,20)),1000000000),1000000000))+ROW()/100000,"")</f>
        <v/>
      </c>
    </row>
    <row r="193">
      <c r="D193">
        <f>IF($E193="","",IFERROR(IF(INDEX('Per Invoice'!$A$2:$A$301,MATCH($E193,'Per Invoice'!$B$2:$B$301,0))=0,"",INDEX('Per Invoice'!$A$2:$A$301,MATCH($E193,'Per Invoice'!$B$2:$B$301,0))),""))</f>
        <v/>
      </c>
      <c r="H193" s="11" t="n"/>
      <c r="R193" s="7">
        <f>IF($E193="","",Q193*Z193/100)</f>
        <v/>
      </c>
      <c r="S193" s="7" t="n"/>
      <c r="Y193" s="7" t="n"/>
      <c r="Z193" s="7" t="n"/>
      <c r="AA193" s="7">
        <f>IF($E193="","",Z193*AF193/100)</f>
        <v/>
      </c>
      <c r="AB193" s="7">
        <f>IF($E193="","",Z193-AA193)</f>
        <v/>
      </c>
      <c r="AC193" s="7">
        <f>IF($E193="","",AB193-R193)</f>
        <v/>
      </c>
      <c r="AF193">
        <f>IF($E193="","",IF($AR193=1,0,IF($AQ193=1,Settings!$C$6,Settings!$C$7))*100)</f>
        <v/>
      </c>
      <c r="AJ193" s="7" t="n"/>
      <c r="AM193" s="11" t="n"/>
      <c r="AO193">
        <f>IF($E193="","",IF(COUNTIF($E$2:$E193,$E193)=1,1,0))</f>
        <v/>
      </c>
      <c r="AP193">
        <f>IF($AO193=1,SUMPRODUCT(--($AS$2:$AS$1001&lt;$AS193))+1,"")</f>
        <v/>
      </c>
      <c r="AQ193">
        <f>IF($E193="","",IF(OR($V193=TRUE(),$V193="TRUE"),1,0))</f>
        <v/>
      </c>
      <c r="AR193">
        <f>IF($E193="","",IF($AE193="Yes",1,0))</f>
        <v/>
      </c>
      <c r="AS193">
        <f>IF($AO193=1,IFERROR(IF(VALUE($E193)&lt;100000000,VALUE($E193),1000000000),IFERROR(IF(VALUE(MID($E193,2,20))&lt;100000000,VALUE(MID($E193,2,20)),1000000000),1000000000))+ROW()/100000,"")</f>
        <v/>
      </c>
    </row>
    <row r="194">
      <c r="D194">
        <f>IF($E194="","",IFERROR(IF(INDEX('Per Invoice'!$A$2:$A$301,MATCH($E194,'Per Invoice'!$B$2:$B$301,0))=0,"",INDEX('Per Invoice'!$A$2:$A$301,MATCH($E194,'Per Invoice'!$B$2:$B$301,0))),""))</f>
        <v/>
      </c>
      <c r="H194" s="11" t="n"/>
      <c r="R194" s="7">
        <f>IF($E194="","",Q194*Z194/100)</f>
        <v/>
      </c>
      <c r="S194" s="7" t="n"/>
      <c r="Y194" s="7" t="n"/>
      <c r="Z194" s="7" t="n"/>
      <c r="AA194" s="7">
        <f>IF($E194="","",Z194*AF194/100)</f>
        <v/>
      </c>
      <c r="AB194" s="7">
        <f>IF($E194="","",Z194-AA194)</f>
        <v/>
      </c>
      <c r="AC194" s="7">
        <f>IF($E194="","",AB194-R194)</f>
        <v/>
      </c>
      <c r="AF194">
        <f>IF($E194="","",IF($AR194=1,0,IF($AQ194=1,Settings!$C$6,Settings!$C$7))*100)</f>
        <v/>
      </c>
      <c r="AJ194" s="7" t="n"/>
      <c r="AM194" s="11" t="n"/>
      <c r="AO194">
        <f>IF($E194="","",IF(COUNTIF($E$2:$E194,$E194)=1,1,0))</f>
        <v/>
      </c>
      <c r="AP194">
        <f>IF($AO194=1,SUMPRODUCT(--($AS$2:$AS$1001&lt;$AS194))+1,"")</f>
        <v/>
      </c>
      <c r="AQ194">
        <f>IF($E194="","",IF(OR($V194=TRUE(),$V194="TRUE"),1,0))</f>
        <v/>
      </c>
      <c r="AR194">
        <f>IF($E194="","",IF($AE194="Yes",1,0))</f>
        <v/>
      </c>
      <c r="AS194">
        <f>IF($AO194=1,IFERROR(IF(VALUE($E194)&lt;100000000,VALUE($E194),1000000000),IFERROR(IF(VALUE(MID($E194,2,20))&lt;100000000,VALUE(MID($E194,2,20)),1000000000),1000000000))+ROW()/100000,"")</f>
        <v/>
      </c>
    </row>
    <row r="195">
      <c r="D195">
        <f>IF($E195="","",IFERROR(IF(INDEX('Per Invoice'!$A$2:$A$301,MATCH($E195,'Per Invoice'!$B$2:$B$301,0))=0,"",INDEX('Per Invoice'!$A$2:$A$301,MATCH($E195,'Per Invoice'!$B$2:$B$301,0))),""))</f>
        <v/>
      </c>
      <c r="H195" s="11" t="n"/>
      <c r="R195" s="7">
        <f>IF($E195="","",Q195*Z195/100)</f>
        <v/>
      </c>
      <c r="S195" s="7" t="n"/>
      <c r="Y195" s="7" t="n"/>
      <c r="Z195" s="7" t="n"/>
      <c r="AA195" s="7">
        <f>IF($E195="","",Z195*AF195/100)</f>
        <v/>
      </c>
      <c r="AB195" s="7">
        <f>IF($E195="","",Z195-AA195)</f>
        <v/>
      </c>
      <c r="AC195" s="7">
        <f>IF($E195="","",AB195-R195)</f>
        <v/>
      </c>
      <c r="AF195">
        <f>IF($E195="","",IF($AR195=1,0,IF($AQ195=1,Settings!$C$6,Settings!$C$7))*100)</f>
        <v/>
      </c>
      <c r="AJ195" s="7" t="n"/>
      <c r="AM195" s="11" t="n"/>
      <c r="AO195">
        <f>IF($E195="","",IF(COUNTIF($E$2:$E195,$E195)=1,1,0))</f>
        <v/>
      </c>
      <c r="AP195">
        <f>IF($AO195=1,SUMPRODUCT(--($AS$2:$AS$1001&lt;$AS195))+1,"")</f>
        <v/>
      </c>
      <c r="AQ195">
        <f>IF($E195="","",IF(OR($V195=TRUE(),$V195="TRUE"),1,0))</f>
        <v/>
      </c>
      <c r="AR195">
        <f>IF($E195="","",IF($AE195="Yes",1,0))</f>
        <v/>
      </c>
      <c r="AS195">
        <f>IF($AO195=1,IFERROR(IF(VALUE($E195)&lt;100000000,VALUE($E195),1000000000),IFERROR(IF(VALUE(MID($E195,2,20))&lt;100000000,VALUE(MID($E195,2,20)),1000000000),1000000000))+ROW()/100000,"")</f>
        <v/>
      </c>
    </row>
    <row r="196">
      <c r="D196">
        <f>IF($E196="","",IFERROR(IF(INDEX('Per Invoice'!$A$2:$A$301,MATCH($E196,'Per Invoice'!$B$2:$B$301,0))=0,"",INDEX('Per Invoice'!$A$2:$A$301,MATCH($E196,'Per Invoice'!$B$2:$B$301,0))),""))</f>
        <v/>
      </c>
      <c r="H196" s="11" t="n"/>
      <c r="R196" s="7">
        <f>IF($E196="","",Q196*Z196/100)</f>
        <v/>
      </c>
      <c r="S196" s="7" t="n"/>
      <c r="Y196" s="7" t="n"/>
      <c r="Z196" s="7" t="n"/>
      <c r="AA196" s="7">
        <f>IF($E196="","",Z196*AF196/100)</f>
        <v/>
      </c>
      <c r="AB196" s="7">
        <f>IF($E196="","",Z196-AA196)</f>
        <v/>
      </c>
      <c r="AC196" s="7">
        <f>IF($E196="","",AB196-R196)</f>
        <v/>
      </c>
      <c r="AF196">
        <f>IF($E196="","",IF($AR196=1,0,IF($AQ196=1,Settings!$C$6,Settings!$C$7))*100)</f>
        <v/>
      </c>
      <c r="AJ196" s="7" t="n"/>
      <c r="AM196" s="11" t="n"/>
      <c r="AO196">
        <f>IF($E196="","",IF(COUNTIF($E$2:$E196,$E196)=1,1,0))</f>
        <v/>
      </c>
      <c r="AP196">
        <f>IF($AO196=1,SUMPRODUCT(--($AS$2:$AS$1001&lt;$AS196))+1,"")</f>
        <v/>
      </c>
      <c r="AQ196">
        <f>IF($E196="","",IF(OR($V196=TRUE(),$V196="TRUE"),1,0))</f>
        <v/>
      </c>
      <c r="AR196">
        <f>IF($E196="","",IF($AE196="Yes",1,0))</f>
        <v/>
      </c>
      <c r="AS196">
        <f>IF($AO196=1,IFERROR(IF(VALUE($E196)&lt;100000000,VALUE($E196),1000000000),IFERROR(IF(VALUE(MID($E196,2,20))&lt;100000000,VALUE(MID($E196,2,20)),1000000000),1000000000))+ROW()/100000,"")</f>
        <v/>
      </c>
    </row>
    <row r="197">
      <c r="D197">
        <f>IF($E197="","",IFERROR(IF(INDEX('Per Invoice'!$A$2:$A$301,MATCH($E197,'Per Invoice'!$B$2:$B$301,0))=0,"",INDEX('Per Invoice'!$A$2:$A$301,MATCH($E197,'Per Invoice'!$B$2:$B$301,0))),""))</f>
        <v/>
      </c>
      <c r="H197" s="11" t="n"/>
      <c r="R197" s="7">
        <f>IF($E197="","",Q197*Z197/100)</f>
        <v/>
      </c>
      <c r="S197" s="7" t="n"/>
      <c r="Y197" s="7" t="n"/>
      <c r="Z197" s="7" t="n"/>
      <c r="AA197" s="7">
        <f>IF($E197="","",Z197*AF197/100)</f>
        <v/>
      </c>
      <c r="AB197" s="7">
        <f>IF($E197="","",Z197-AA197)</f>
        <v/>
      </c>
      <c r="AC197" s="7">
        <f>IF($E197="","",AB197-R197)</f>
        <v/>
      </c>
      <c r="AF197">
        <f>IF($E197="","",IF($AR197=1,0,IF($AQ197=1,Settings!$C$6,Settings!$C$7))*100)</f>
        <v/>
      </c>
      <c r="AJ197" s="7" t="n"/>
      <c r="AM197" s="11" t="n"/>
      <c r="AO197">
        <f>IF($E197="","",IF(COUNTIF($E$2:$E197,$E197)=1,1,0))</f>
        <v/>
      </c>
      <c r="AP197">
        <f>IF($AO197=1,SUMPRODUCT(--($AS$2:$AS$1001&lt;$AS197))+1,"")</f>
        <v/>
      </c>
      <c r="AQ197">
        <f>IF($E197="","",IF(OR($V197=TRUE(),$V197="TRUE"),1,0))</f>
        <v/>
      </c>
      <c r="AR197">
        <f>IF($E197="","",IF($AE197="Yes",1,0))</f>
        <v/>
      </c>
      <c r="AS197">
        <f>IF($AO197=1,IFERROR(IF(VALUE($E197)&lt;100000000,VALUE($E197),1000000000),IFERROR(IF(VALUE(MID($E197,2,20))&lt;100000000,VALUE(MID($E197,2,20)),1000000000),1000000000))+ROW()/100000,"")</f>
        <v/>
      </c>
    </row>
    <row r="198">
      <c r="D198">
        <f>IF($E198="","",IFERROR(IF(INDEX('Per Invoice'!$A$2:$A$301,MATCH($E198,'Per Invoice'!$B$2:$B$301,0))=0,"",INDEX('Per Invoice'!$A$2:$A$301,MATCH($E198,'Per Invoice'!$B$2:$B$301,0))),""))</f>
        <v/>
      </c>
      <c r="H198" s="11" t="n"/>
      <c r="R198" s="7">
        <f>IF($E198="","",Q198*Z198/100)</f>
        <v/>
      </c>
      <c r="S198" s="7" t="n"/>
      <c r="Y198" s="7" t="n"/>
      <c r="Z198" s="7" t="n"/>
      <c r="AA198" s="7">
        <f>IF($E198="","",Z198*AF198/100)</f>
        <v/>
      </c>
      <c r="AB198" s="7">
        <f>IF($E198="","",Z198-AA198)</f>
        <v/>
      </c>
      <c r="AC198" s="7">
        <f>IF($E198="","",AB198-R198)</f>
        <v/>
      </c>
      <c r="AF198">
        <f>IF($E198="","",IF($AR198=1,0,IF($AQ198=1,Settings!$C$6,Settings!$C$7))*100)</f>
        <v/>
      </c>
      <c r="AJ198" s="7" t="n"/>
      <c r="AM198" s="11" t="n"/>
      <c r="AO198">
        <f>IF($E198="","",IF(COUNTIF($E$2:$E198,$E198)=1,1,0))</f>
        <v/>
      </c>
      <c r="AP198">
        <f>IF($AO198=1,SUMPRODUCT(--($AS$2:$AS$1001&lt;$AS198))+1,"")</f>
        <v/>
      </c>
      <c r="AQ198">
        <f>IF($E198="","",IF(OR($V198=TRUE(),$V198="TRUE"),1,0))</f>
        <v/>
      </c>
      <c r="AR198">
        <f>IF($E198="","",IF($AE198="Yes",1,0))</f>
        <v/>
      </c>
      <c r="AS198">
        <f>IF($AO198=1,IFERROR(IF(VALUE($E198)&lt;100000000,VALUE($E198),1000000000),IFERROR(IF(VALUE(MID($E198,2,20))&lt;100000000,VALUE(MID($E198,2,20)),1000000000),1000000000))+ROW()/100000,"")</f>
        <v/>
      </c>
    </row>
    <row r="199">
      <c r="D199">
        <f>IF($E199="","",IFERROR(IF(INDEX('Per Invoice'!$A$2:$A$301,MATCH($E199,'Per Invoice'!$B$2:$B$301,0))=0,"",INDEX('Per Invoice'!$A$2:$A$301,MATCH($E199,'Per Invoice'!$B$2:$B$301,0))),""))</f>
        <v/>
      </c>
      <c r="H199" s="11" t="n"/>
      <c r="R199" s="7">
        <f>IF($E199="","",Q199*Z199/100)</f>
        <v/>
      </c>
      <c r="S199" s="7" t="n"/>
      <c r="Y199" s="7" t="n"/>
      <c r="Z199" s="7" t="n"/>
      <c r="AA199" s="7">
        <f>IF($E199="","",Z199*AF199/100)</f>
        <v/>
      </c>
      <c r="AB199" s="7">
        <f>IF($E199="","",Z199-AA199)</f>
        <v/>
      </c>
      <c r="AC199" s="7">
        <f>IF($E199="","",AB199-R199)</f>
        <v/>
      </c>
      <c r="AF199">
        <f>IF($E199="","",IF($AR199=1,0,IF($AQ199=1,Settings!$C$6,Settings!$C$7))*100)</f>
        <v/>
      </c>
      <c r="AJ199" s="7" t="n"/>
      <c r="AM199" s="11" t="n"/>
      <c r="AO199">
        <f>IF($E199="","",IF(COUNTIF($E$2:$E199,$E199)=1,1,0))</f>
        <v/>
      </c>
      <c r="AP199">
        <f>IF($AO199=1,SUMPRODUCT(--($AS$2:$AS$1001&lt;$AS199))+1,"")</f>
        <v/>
      </c>
      <c r="AQ199">
        <f>IF($E199="","",IF(OR($V199=TRUE(),$V199="TRUE"),1,0))</f>
        <v/>
      </c>
      <c r="AR199">
        <f>IF($E199="","",IF($AE199="Yes",1,0))</f>
        <v/>
      </c>
      <c r="AS199">
        <f>IF($AO199=1,IFERROR(IF(VALUE($E199)&lt;100000000,VALUE($E199),1000000000),IFERROR(IF(VALUE(MID($E199,2,20))&lt;100000000,VALUE(MID($E199,2,20)),1000000000),1000000000))+ROW()/100000,"")</f>
        <v/>
      </c>
    </row>
    <row r="200">
      <c r="D200">
        <f>IF($E200="","",IFERROR(IF(INDEX('Per Invoice'!$A$2:$A$301,MATCH($E200,'Per Invoice'!$B$2:$B$301,0))=0,"",INDEX('Per Invoice'!$A$2:$A$301,MATCH($E200,'Per Invoice'!$B$2:$B$301,0))),""))</f>
        <v/>
      </c>
      <c r="H200" s="11" t="n"/>
      <c r="R200" s="7">
        <f>IF($E200="","",Q200*Z200/100)</f>
        <v/>
      </c>
      <c r="S200" s="7" t="n"/>
      <c r="Y200" s="7" t="n"/>
      <c r="Z200" s="7" t="n"/>
      <c r="AA200" s="7">
        <f>IF($E200="","",Z200*AF200/100)</f>
        <v/>
      </c>
      <c r="AB200" s="7">
        <f>IF($E200="","",Z200-AA200)</f>
        <v/>
      </c>
      <c r="AC200" s="7">
        <f>IF($E200="","",AB200-R200)</f>
        <v/>
      </c>
      <c r="AF200">
        <f>IF($E200="","",IF($AR200=1,0,IF($AQ200=1,Settings!$C$6,Settings!$C$7))*100)</f>
        <v/>
      </c>
      <c r="AJ200" s="7" t="n"/>
      <c r="AM200" s="11" t="n"/>
      <c r="AO200">
        <f>IF($E200="","",IF(COUNTIF($E$2:$E200,$E200)=1,1,0))</f>
        <v/>
      </c>
      <c r="AP200">
        <f>IF($AO200=1,SUMPRODUCT(--($AS$2:$AS$1001&lt;$AS200))+1,"")</f>
        <v/>
      </c>
      <c r="AQ200">
        <f>IF($E200="","",IF(OR($V200=TRUE(),$V200="TRUE"),1,0))</f>
        <v/>
      </c>
      <c r="AR200">
        <f>IF($E200="","",IF($AE200="Yes",1,0))</f>
        <v/>
      </c>
      <c r="AS200">
        <f>IF($AO200=1,IFERROR(IF(VALUE($E200)&lt;100000000,VALUE($E200),1000000000),IFERROR(IF(VALUE(MID($E200,2,20))&lt;100000000,VALUE(MID($E200,2,20)),1000000000),1000000000))+ROW()/100000,"")</f>
        <v/>
      </c>
    </row>
    <row r="201">
      <c r="D201">
        <f>IF($E201="","",IFERROR(IF(INDEX('Per Invoice'!$A$2:$A$301,MATCH($E201,'Per Invoice'!$B$2:$B$301,0))=0,"",INDEX('Per Invoice'!$A$2:$A$301,MATCH($E201,'Per Invoice'!$B$2:$B$301,0))),""))</f>
        <v/>
      </c>
      <c r="H201" s="11" t="n"/>
      <c r="R201" s="7">
        <f>IF($E201="","",Q201*Z201/100)</f>
        <v/>
      </c>
      <c r="S201" s="7" t="n"/>
      <c r="Y201" s="7" t="n"/>
      <c r="Z201" s="7" t="n"/>
      <c r="AA201" s="7">
        <f>IF($E201="","",Z201*AF201/100)</f>
        <v/>
      </c>
      <c r="AB201" s="7">
        <f>IF($E201="","",Z201-AA201)</f>
        <v/>
      </c>
      <c r="AC201" s="7">
        <f>IF($E201="","",AB201-R201)</f>
        <v/>
      </c>
      <c r="AF201">
        <f>IF($E201="","",IF($AR201=1,0,IF($AQ201=1,Settings!$C$6,Settings!$C$7))*100)</f>
        <v/>
      </c>
      <c r="AJ201" s="7" t="n"/>
      <c r="AM201" s="11" t="n"/>
      <c r="AO201">
        <f>IF($E201="","",IF(COUNTIF($E$2:$E201,$E201)=1,1,0))</f>
        <v/>
      </c>
      <c r="AP201">
        <f>IF($AO201=1,SUMPRODUCT(--($AS$2:$AS$1001&lt;$AS201))+1,"")</f>
        <v/>
      </c>
      <c r="AQ201">
        <f>IF($E201="","",IF(OR($V201=TRUE(),$V201="TRUE"),1,0))</f>
        <v/>
      </c>
      <c r="AR201">
        <f>IF($E201="","",IF($AE201="Yes",1,0))</f>
        <v/>
      </c>
      <c r="AS201">
        <f>IF($AO201=1,IFERROR(IF(VALUE($E201)&lt;100000000,VALUE($E201),1000000000),IFERROR(IF(VALUE(MID($E201,2,20))&lt;100000000,VALUE(MID($E201,2,20)),1000000000),1000000000))+ROW()/100000,"")</f>
        <v/>
      </c>
    </row>
    <row r="202">
      <c r="D202">
        <f>IF($E202="","",IFERROR(IF(INDEX('Per Invoice'!$A$2:$A$301,MATCH($E202,'Per Invoice'!$B$2:$B$301,0))=0,"",INDEX('Per Invoice'!$A$2:$A$301,MATCH($E202,'Per Invoice'!$B$2:$B$301,0))),""))</f>
        <v/>
      </c>
      <c r="H202" s="11" t="n"/>
      <c r="R202" s="7">
        <f>IF($E202="","",Q202*Z202/100)</f>
        <v/>
      </c>
      <c r="S202" s="7" t="n"/>
      <c r="Y202" s="7" t="n"/>
      <c r="Z202" s="7" t="n"/>
      <c r="AA202" s="7">
        <f>IF($E202="","",Z202*AF202/100)</f>
        <v/>
      </c>
      <c r="AB202" s="7">
        <f>IF($E202="","",Z202-AA202)</f>
        <v/>
      </c>
      <c r="AC202" s="7">
        <f>IF($E202="","",AB202-R202)</f>
        <v/>
      </c>
      <c r="AF202">
        <f>IF($E202="","",IF($AR202=1,0,IF($AQ202=1,Settings!$C$6,Settings!$C$7))*100)</f>
        <v/>
      </c>
      <c r="AJ202" s="7" t="n"/>
      <c r="AM202" s="11" t="n"/>
      <c r="AO202">
        <f>IF($E202="","",IF(COUNTIF($E$2:$E202,$E202)=1,1,0))</f>
        <v/>
      </c>
      <c r="AP202">
        <f>IF($AO202=1,SUMPRODUCT(--($AS$2:$AS$1001&lt;$AS202))+1,"")</f>
        <v/>
      </c>
      <c r="AQ202">
        <f>IF($E202="","",IF(OR($V202=TRUE(),$V202="TRUE"),1,0))</f>
        <v/>
      </c>
      <c r="AR202">
        <f>IF($E202="","",IF($AE202="Yes",1,0))</f>
        <v/>
      </c>
      <c r="AS202">
        <f>IF($AO202=1,IFERROR(IF(VALUE($E202)&lt;100000000,VALUE($E202),1000000000),IFERROR(IF(VALUE(MID($E202,2,20))&lt;100000000,VALUE(MID($E202,2,20)),1000000000),1000000000))+ROW()/100000,"")</f>
        <v/>
      </c>
    </row>
    <row r="203">
      <c r="D203">
        <f>IF($E203="","",IFERROR(IF(INDEX('Per Invoice'!$A$2:$A$301,MATCH($E203,'Per Invoice'!$B$2:$B$301,0))=0,"",INDEX('Per Invoice'!$A$2:$A$301,MATCH($E203,'Per Invoice'!$B$2:$B$301,0))),""))</f>
        <v/>
      </c>
      <c r="H203" s="11" t="n"/>
      <c r="R203" s="7">
        <f>IF($E203="","",Q203*Z203/100)</f>
        <v/>
      </c>
      <c r="S203" s="7" t="n"/>
      <c r="Y203" s="7" t="n"/>
      <c r="Z203" s="7" t="n"/>
      <c r="AA203" s="7">
        <f>IF($E203="","",Z203*AF203/100)</f>
        <v/>
      </c>
      <c r="AB203" s="7">
        <f>IF($E203="","",Z203-AA203)</f>
        <v/>
      </c>
      <c r="AC203" s="7">
        <f>IF($E203="","",AB203-R203)</f>
        <v/>
      </c>
      <c r="AF203">
        <f>IF($E203="","",IF($AR203=1,0,IF($AQ203=1,Settings!$C$6,Settings!$C$7))*100)</f>
        <v/>
      </c>
      <c r="AJ203" s="7" t="n"/>
      <c r="AM203" s="11" t="n"/>
      <c r="AO203">
        <f>IF($E203="","",IF(COUNTIF($E$2:$E203,$E203)=1,1,0))</f>
        <v/>
      </c>
      <c r="AP203">
        <f>IF($AO203=1,SUMPRODUCT(--($AS$2:$AS$1001&lt;$AS203))+1,"")</f>
        <v/>
      </c>
      <c r="AQ203">
        <f>IF($E203="","",IF(OR($V203=TRUE(),$V203="TRUE"),1,0))</f>
        <v/>
      </c>
      <c r="AR203">
        <f>IF($E203="","",IF($AE203="Yes",1,0))</f>
        <v/>
      </c>
      <c r="AS203">
        <f>IF($AO203=1,IFERROR(IF(VALUE($E203)&lt;100000000,VALUE($E203),1000000000),IFERROR(IF(VALUE(MID($E203,2,20))&lt;100000000,VALUE(MID($E203,2,20)),1000000000),1000000000))+ROW()/100000,"")</f>
        <v/>
      </c>
    </row>
    <row r="204">
      <c r="D204">
        <f>IF($E204="","",IFERROR(IF(INDEX('Per Invoice'!$A$2:$A$301,MATCH($E204,'Per Invoice'!$B$2:$B$301,0))=0,"",INDEX('Per Invoice'!$A$2:$A$301,MATCH($E204,'Per Invoice'!$B$2:$B$301,0))),""))</f>
        <v/>
      </c>
      <c r="H204" s="11" t="n"/>
      <c r="R204" s="7">
        <f>IF($E204="","",Q204*Z204/100)</f>
        <v/>
      </c>
      <c r="S204" s="7" t="n"/>
      <c r="Y204" s="7" t="n"/>
      <c r="Z204" s="7" t="n"/>
      <c r="AA204" s="7">
        <f>IF($E204="","",Z204*AF204/100)</f>
        <v/>
      </c>
      <c r="AB204" s="7">
        <f>IF($E204="","",Z204-AA204)</f>
        <v/>
      </c>
      <c r="AC204" s="7">
        <f>IF($E204="","",AB204-R204)</f>
        <v/>
      </c>
      <c r="AF204">
        <f>IF($E204="","",IF($AR204=1,0,IF($AQ204=1,Settings!$C$6,Settings!$C$7))*100)</f>
        <v/>
      </c>
      <c r="AJ204" s="7" t="n"/>
      <c r="AM204" s="11" t="n"/>
      <c r="AO204">
        <f>IF($E204="","",IF(COUNTIF($E$2:$E204,$E204)=1,1,0))</f>
        <v/>
      </c>
      <c r="AP204">
        <f>IF($AO204=1,SUMPRODUCT(--($AS$2:$AS$1001&lt;$AS204))+1,"")</f>
        <v/>
      </c>
      <c r="AQ204">
        <f>IF($E204="","",IF(OR($V204=TRUE(),$V204="TRUE"),1,0))</f>
        <v/>
      </c>
      <c r="AR204">
        <f>IF($E204="","",IF($AE204="Yes",1,0))</f>
        <v/>
      </c>
      <c r="AS204">
        <f>IF($AO204=1,IFERROR(IF(VALUE($E204)&lt;100000000,VALUE($E204),1000000000),IFERROR(IF(VALUE(MID($E204,2,20))&lt;100000000,VALUE(MID($E204,2,20)),1000000000),1000000000))+ROW()/100000,"")</f>
        <v/>
      </c>
    </row>
    <row r="205">
      <c r="D205">
        <f>IF($E205="","",IFERROR(IF(INDEX('Per Invoice'!$A$2:$A$301,MATCH($E205,'Per Invoice'!$B$2:$B$301,0))=0,"",INDEX('Per Invoice'!$A$2:$A$301,MATCH($E205,'Per Invoice'!$B$2:$B$301,0))),""))</f>
        <v/>
      </c>
      <c r="H205" s="11" t="n"/>
      <c r="R205" s="7">
        <f>IF($E205="","",Q205*Z205/100)</f>
        <v/>
      </c>
      <c r="S205" s="7" t="n"/>
      <c r="Y205" s="7" t="n"/>
      <c r="Z205" s="7" t="n"/>
      <c r="AA205" s="7">
        <f>IF($E205="","",Z205*AF205/100)</f>
        <v/>
      </c>
      <c r="AB205" s="7">
        <f>IF($E205="","",Z205-AA205)</f>
        <v/>
      </c>
      <c r="AC205" s="7">
        <f>IF($E205="","",AB205-R205)</f>
        <v/>
      </c>
      <c r="AF205">
        <f>IF($E205="","",IF($AR205=1,0,IF($AQ205=1,Settings!$C$6,Settings!$C$7))*100)</f>
        <v/>
      </c>
      <c r="AJ205" s="7" t="n"/>
      <c r="AM205" s="11" t="n"/>
      <c r="AO205">
        <f>IF($E205="","",IF(COUNTIF($E$2:$E205,$E205)=1,1,0))</f>
        <v/>
      </c>
      <c r="AP205">
        <f>IF($AO205=1,SUMPRODUCT(--($AS$2:$AS$1001&lt;$AS205))+1,"")</f>
        <v/>
      </c>
      <c r="AQ205">
        <f>IF($E205="","",IF(OR($V205=TRUE(),$V205="TRUE"),1,0))</f>
        <v/>
      </c>
      <c r="AR205">
        <f>IF($E205="","",IF($AE205="Yes",1,0))</f>
        <v/>
      </c>
      <c r="AS205">
        <f>IF($AO205=1,IFERROR(IF(VALUE($E205)&lt;100000000,VALUE($E205),1000000000),IFERROR(IF(VALUE(MID($E205,2,20))&lt;100000000,VALUE(MID($E205,2,20)),1000000000),1000000000))+ROW()/100000,"")</f>
        <v/>
      </c>
    </row>
    <row r="206">
      <c r="D206">
        <f>IF($E206="","",IFERROR(IF(INDEX('Per Invoice'!$A$2:$A$301,MATCH($E206,'Per Invoice'!$B$2:$B$301,0))=0,"",INDEX('Per Invoice'!$A$2:$A$301,MATCH($E206,'Per Invoice'!$B$2:$B$301,0))),""))</f>
        <v/>
      </c>
      <c r="H206" s="11" t="n"/>
      <c r="R206" s="7">
        <f>IF($E206="","",Q206*Z206/100)</f>
        <v/>
      </c>
      <c r="S206" s="7" t="n"/>
      <c r="Y206" s="7" t="n"/>
      <c r="Z206" s="7" t="n"/>
      <c r="AA206" s="7">
        <f>IF($E206="","",Z206*AF206/100)</f>
        <v/>
      </c>
      <c r="AB206" s="7">
        <f>IF($E206="","",Z206-AA206)</f>
        <v/>
      </c>
      <c r="AC206" s="7">
        <f>IF($E206="","",AB206-R206)</f>
        <v/>
      </c>
      <c r="AF206">
        <f>IF($E206="","",IF($AR206=1,0,IF($AQ206=1,Settings!$C$6,Settings!$C$7))*100)</f>
        <v/>
      </c>
      <c r="AJ206" s="7" t="n"/>
      <c r="AM206" s="11" t="n"/>
      <c r="AO206">
        <f>IF($E206="","",IF(COUNTIF($E$2:$E206,$E206)=1,1,0))</f>
        <v/>
      </c>
      <c r="AP206">
        <f>IF($AO206=1,SUMPRODUCT(--($AS$2:$AS$1001&lt;$AS206))+1,"")</f>
        <v/>
      </c>
      <c r="AQ206">
        <f>IF($E206="","",IF(OR($V206=TRUE(),$V206="TRUE"),1,0))</f>
        <v/>
      </c>
      <c r="AR206">
        <f>IF($E206="","",IF($AE206="Yes",1,0))</f>
        <v/>
      </c>
      <c r="AS206">
        <f>IF($AO206=1,IFERROR(IF(VALUE($E206)&lt;100000000,VALUE($E206),1000000000),IFERROR(IF(VALUE(MID($E206,2,20))&lt;100000000,VALUE(MID($E206,2,20)),1000000000),1000000000))+ROW()/100000,"")</f>
        <v/>
      </c>
    </row>
    <row r="207">
      <c r="D207">
        <f>IF($E207="","",IFERROR(IF(INDEX('Per Invoice'!$A$2:$A$301,MATCH($E207,'Per Invoice'!$B$2:$B$301,0))=0,"",INDEX('Per Invoice'!$A$2:$A$301,MATCH($E207,'Per Invoice'!$B$2:$B$301,0))),""))</f>
        <v/>
      </c>
      <c r="H207" s="11" t="n"/>
      <c r="R207" s="7">
        <f>IF($E207="","",Q207*Z207/100)</f>
        <v/>
      </c>
      <c r="S207" s="7" t="n"/>
      <c r="Y207" s="7" t="n"/>
      <c r="Z207" s="7" t="n"/>
      <c r="AA207" s="7">
        <f>IF($E207="","",Z207*AF207/100)</f>
        <v/>
      </c>
      <c r="AB207" s="7">
        <f>IF($E207="","",Z207-AA207)</f>
        <v/>
      </c>
      <c r="AC207" s="7">
        <f>IF($E207="","",AB207-R207)</f>
        <v/>
      </c>
      <c r="AF207">
        <f>IF($E207="","",IF($AR207=1,0,IF($AQ207=1,Settings!$C$6,Settings!$C$7))*100)</f>
        <v/>
      </c>
      <c r="AJ207" s="7" t="n"/>
      <c r="AM207" s="11" t="n"/>
      <c r="AO207">
        <f>IF($E207="","",IF(COUNTIF($E$2:$E207,$E207)=1,1,0))</f>
        <v/>
      </c>
      <c r="AP207">
        <f>IF($AO207=1,SUMPRODUCT(--($AS$2:$AS$1001&lt;$AS207))+1,"")</f>
        <v/>
      </c>
      <c r="AQ207">
        <f>IF($E207="","",IF(OR($V207=TRUE(),$V207="TRUE"),1,0))</f>
        <v/>
      </c>
      <c r="AR207">
        <f>IF($E207="","",IF($AE207="Yes",1,0))</f>
        <v/>
      </c>
      <c r="AS207">
        <f>IF($AO207=1,IFERROR(IF(VALUE($E207)&lt;100000000,VALUE($E207),1000000000),IFERROR(IF(VALUE(MID($E207,2,20))&lt;100000000,VALUE(MID($E207,2,20)),1000000000),1000000000))+ROW()/100000,"")</f>
        <v/>
      </c>
    </row>
    <row r="208">
      <c r="D208">
        <f>IF($E208="","",IFERROR(IF(INDEX('Per Invoice'!$A$2:$A$301,MATCH($E208,'Per Invoice'!$B$2:$B$301,0))=0,"",INDEX('Per Invoice'!$A$2:$A$301,MATCH($E208,'Per Invoice'!$B$2:$B$301,0))),""))</f>
        <v/>
      </c>
      <c r="H208" s="11" t="n"/>
      <c r="R208" s="7">
        <f>IF($E208="","",Q208*Z208/100)</f>
        <v/>
      </c>
      <c r="S208" s="7" t="n"/>
      <c r="Y208" s="7" t="n"/>
      <c r="Z208" s="7" t="n"/>
      <c r="AA208" s="7">
        <f>IF($E208="","",Z208*AF208/100)</f>
        <v/>
      </c>
      <c r="AB208" s="7">
        <f>IF($E208="","",Z208-AA208)</f>
        <v/>
      </c>
      <c r="AC208" s="7">
        <f>IF($E208="","",AB208-R208)</f>
        <v/>
      </c>
      <c r="AF208">
        <f>IF($E208="","",IF($AR208=1,0,IF($AQ208=1,Settings!$C$6,Settings!$C$7))*100)</f>
        <v/>
      </c>
      <c r="AJ208" s="7" t="n"/>
      <c r="AM208" s="11" t="n"/>
      <c r="AO208">
        <f>IF($E208="","",IF(COUNTIF($E$2:$E208,$E208)=1,1,0))</f>
        <v/>
      </c>
      <c r="AP208">
        <f>IF($AO208=1,SUMPRODUCT(--($AS$2:$AS$1001&lt;$AS208))+1,"")</f>
        <v/>
      </c>
      <c r="AQ208">
        <f>IF($E208="","",IF(OR($V208=TRUE(),$V208="TRUE"),1,0))</f>
        <v/>
      </c>
      <c r="AR208">
        <f>IF($E208="","",IF($AE208="Yes",1,0))</f>
        <v/>
      </c>
      <c r="AS208">
        <f>IF($AO208=1,IFERROR(IF(VALUE($E208)&lt;100000000,VALUE($E208),1000000000),IFERROR(IF(VALUE(MID($E208,2,20))&lt;100000000,VALUE(MID($E208,2,20)),1000000000),1000000000))+ROW()/100000,"")</f>
        <v/>
      </c>
    </row>
    <row r="209">
      <c r="D209">
        <f>IF($E209="","",IFERROR(IF(INDEX('Per Invoice'!$A$2:$A$301,MATCH($E209,'Per Invoice'!$B$2:$B$301,0))=0,"",INDEX('Per Invoice'!$A$2:$A$301,MATCH($E209,'Per Invoice'!$B$2:$B$301,0))),""))</f>
        <v/>
      </c>
      <c r="H209" s="11" t="n"/>
      <c r="R209" s="7">
        <f>IF($E209="","",Q209*Z209/100)</f>
        <v/>
      </c>
      <c r="S209" s="7" t="n"/>
      <c r="Y209" s="7" t="n"/>
      <c r="Z209" s="7" t="n"/>
      <c r="AA209" s="7">
        <f>IF($E209="","",Z209*AF209/100)</f>
        <v/>
      </c>
      <c r="AB209" s="7">
        <f>IF($E209="","",Z209-AA209)</f>
        <v/>
      </c>
      <c r="AC209" s="7">
        <f>IF($E209="","",AB209-R209)</f>
        <v/>
      </c>
      <c r="AF209">
        <f>IF($E209="","",IF($AR209=1,0,IF($AQ209=1,Settings!$C$6,Settings!$C$7))*100)</f>
        <v/>
      </c>
      <c r="AJ209" s="7" t="n"/>
      <c r="AM209" s="11" t="n"/>
      <c r="AO209">
        <f>IF($E209="","",IF(COUNTIF($E$2:$E209,$E209)=1,1,0))</f>
        <v/>
      </c>
      <c r="AP209">
        <f>IF($AO209=1,SUMPRODUCT(--($AS$2:$AS$1001&lt;$AS209))+1,"")</f>
        <v/>
      </c>
      <c r="AQ209">
        <f>IF($E209="","",IF(OR($V209=TRUE(),$V209="TRUE"),1,0))</f>
        <v/>
      </c>
      <c r="AR209">
        <f>IF($E209="","",IF($AE209="Yes",1,0))</f>
        <v/>
      </c>
      <c r="AS209">
        <f>IF($AO209=1,IFERROR(IF(VALUE($E209)&lt;100000000,VALUE($E209),1000000000),IFERROR(IF(VALUE(MID($E209,2,20))&lt;100000000,VALUE(MID($E209,2,20)),1000000000),1000000000))+ROW()/100000,"")</f>
        <v/>
      </c>
    </row>
    <row r="210">
      <c r="D210">
        <f>IF($E210="","",IFERROR(IF(INDEX('Per Invoice'!$A$2:$A$301,MATCH($E210,'Per Invoice'!$B$2:$B$301,0))=0,"",INDEX('Per Invoice'!$A$2:$A$301,MATCH($E210,'Per Invoice'!$B$2:$B$301,0))),""))</f>
        <v/>
      </c>
      <c r="H210" s="11" t="n"/>
      <c r="R210" s="7">
        <f>IF($E210="","",Q210*Z210/100)</f>
        <v/>
      </c>
      <c r="S210" s="7" t="n"/>
      <c r="Y210" s="7" t="n"/>
      <c r="Z210" s="7" t="n"/>
      <c r="AA210" s="7">
        <f>IF($E210="","",Z210*AF210/100)</f>
        <v/>
      </c>
      <c r="AB210" s="7">
        <f>IF($E210="","",Z210-AA210)</f>
        <v/>
      </c>
      <c r="AC210" s="7">
        <f>IF($E210="","",AB210-R210)</f>
        <v/>
      </c>
      <c r="AF210">
        <f>IF($E210="","",IF($AR210=1,0,IF($AQ210=1,Settings!$C$6,Settings!$C$7))*100)</f>
        <v/>
      </c>
      <c r="AJ210" s="7" t="n"/>
      <c r="AM210" s="11" t="n"/>
      <c r="AO210">
        <f>IF($E210="","",IF(COUNTIF($E$2:$E210,$E210)=1,1,0))</f>
        <v/>
      </c>
      <c r="AP210">
        <f>IF($AO210=1,SUMPRODUCT(--($AS$2:$AS$1001&lt;$AS210))+1,"")</f>
        <v/>
      </c>
      <c r="AQ210">
        <f>IF($E210="","",IF(OR($V210=TRUE(),$V210="TRUE"),1,0))</f>
        <v/>
      </c>
      <c r="AR210">
        <f>IF($E210="","",IF($AE210="Yes",1,0))</f>
        <v/>
      </c>
      <c r="AS210">
        <f>IF($AO210=1,IFERROR(IF(VALUE($E210)&lt;100000000,VALUE($E210),1000000000),IFERROR(IF(VALUE(MID($E210,2,20))&lt;100000000,VALUE(MID($E210,2,20)),1000000000),1000000000))+ROW()/100000,"")</f>
        <v/>
      </c>
    </row>
    <row r="211">
      <c r="D211">
        <f>IF($E211="","",IFERROR(IF(INDEX('Per Invoice'!$A$2:$A$301,MATCH($E211,'Per Invoice'!$B$2:$B$301,0))=0,"",INDEX('Per Invoice'!$A$2:$A$301,MATCH($E211,'Per Invoice'!$B$2:$B$301,0))),""))</f>
        <v/>
      </c>
      <c r="H211" s="11" t="n"/>
      <c r="R211" s="7">
        <f>IF($E211="","",Q211*Z211/100)</f>
        <v/>
      </c>
      <c r="S211" s="7" t="n"/>
      <c r="Y211" s="7" t="n"/>
      <c r="Z211" s="7" t="n"/>
      <c r="AA211" s="7">
        <f>IF($E211="","",Z211*AF211/100)</f>
        <v/>
      </c>
      <c r="AB211" s="7">
        <f>IF($E211="","",Z211-AA211)</f>
        <v/>
      </c>
      <c r="AC211" s="7">
        <f>IF($E211="","",AB211-R211)</f>
        <v/>
      </c>
      <c r="AF211">
        <f>IF($E211="","",IF($AR211=1,0,IF($AQ211=1,Settings!$C$6,Settings!$C$7))*100)</f>
        <v/>
      </c>
      <c r="AJ211" s="7" t="n"/>
      <c r="AM211" s="11" t="n"/>
      <c r="AO211">
        <f>IF($E211="","",IF(COUNTIF($E$2:$E211,$E211)=1,1,0))</f>
        <v/>
      </c>
      <c r="AP211">
        <f>IF($AO211=1,SUMPRODUCT(--($AS$2:$AS$1001&lt;$AS211))+1,"")</f>
        <v/>
      </c>
      <c r="AQ211">
        <f>IF($E211="","",IF(OR($V211=TRUE(),$V211="TRUE"),1,0))</f>
        <v/>
      </c>
      <c r="AR211">
        <f>IF($E211="","",IF($AE211="Yes",1,0))</f>
        <v/>
      </c>
      <c r="AS211">
        <f>IF($AO211=1,IFERROR(IF(VALUE($E211)&lt;100000000,VALUE($E211),1000000000),IFERROR(IF(VALUE(MID($E211,2,20))&lt;100000000,VALUE(MID($E211,2,20)),1000000000),1000000000))+ROW()/100000,"")</f>
        <v/>
      </c>
    </row>
    <row r="212">
      <c r="D212">
        <f>IF($E212="","",IFERROR(IF(INDEX('Per Invoice'!$A$2:$A$301,MATCH($E212,'Per Invoice'!$B$2:$B$301,0))=0,"",INDEX('Per Invoice'!$A$2:$A$301,MATCH($E212,'Per Invoice'!$B$2:$B$301,0))),""))</f>
        <v/>
      </c>
      <c r="H212" s="11" t="n"/>
      <c r="R212" s="7">
        <f>IF($E212="","",Q212*Z212/100)</f>
        <v/>
      </c>
      <c r="S212" s="7" t="n"/>
      <c r="Y212" s="7" t="n"/>
      <c r="Z212" s="7" t="n"/>
      <c r="AA212" s="7">
        <f>IF($E212="","",Z212*AF212/100)</f>
        <v/>
      </c>
      <c r="AB212" s="7">
        <f>IF($E212="","",Z212-AA212)</f>
        <v/>
      </c>
      <c r="AC212" s="7">
        <f>IF($E212="","",AB212-R212)</f>
        <v/>
      </c>
      <c r="AF212">
        <f>IF($E212="","",IF($AR212=1,0,IF($AQ212=1,Settings!$C$6,Settings!$C$7))*100)</f>
        <v/>
      </c>
      <c r="AJ212" s="7" t="n"/>
      <c r="AM212" s="11" t="n"/>
      <c r="AO212">
        <f>IF($E212="","",IF(COUNTIF($E$2:$E212,$E212)=1,1,0))</f>
        <v/>
      </c>
      <c r="AP212">
        <f>IF($AO212=1,SUMPRODUCT(--($AS$2:$AS$1001&lt;$AS212))+1,"")</f>
        <v/>
      </c>
      <c r="AQ212">
        <f>IF($E212="","",IF(OR($V212=TRUE(),$V212="TRUE"),1,0))</f>
        <v/>
      </c>
      <c r="AR212">
        <f>IF($E212="","",IF($AE212="Yes",1,0))</f>
        <v/>
      </c>
      <c r="AS212">
        <f>IF($AO212=1,IFERROR(IF(VALUE($E212)&lt;100000000,VALUE($E212),1000000000),IFERROR(IF(VALUE(MID($E212,2,20))&lt;100000000,VALUE(MID($E212,2,20)),1000000000),1000000000))+ROW()/100000,"")</f>
        <v/>
      </c>
    </row>
    <row r="213">
      <c r="D213">
        <f>IF($E213="","",IFERROR(IF(INDEX('Per Invoice'!$A$2:$A$301,MATCH($E213,'Per Invoice'!$B$2:$B$301,0))=0,"",INDEX('Per Invoice'!$A$2:$A$301,MATCH($E213,'Per Invoice'!$B$2:$B$301,0))),""))</f>
        <v/>
      </c>
      <c r="H213" s="11" t="n"/>
      <c r="R213" s="7">
        <f>IF($E213="","",Q213*Z213/100)</f>
        <v/>
      </c>
      <c r="S213" s="7" t="n"/>
      <c r="Y213" s="7" t="n"/>
      <c r="Z213" s="7" t="n"/>
      <c r="AA213" s="7">
        <f>IF($E213="","",Z213*AF213/100)</f>
        <v/>
      </c>
      <c r="AB213" s="7">
        <f>IF($E213="","",Z213-AA213)</f>
        <v/>
      </c>
      <c r="AC213" s="7">
        <f>IF($E213="","",AB213-R213)</f>
        <v/>
      </c>
      <c r="AF213">
        <f>IF($E213="","",IF($AR213=1,0,IF($AQ213=1,Settings!$C$6,Settings!$C$7))*100)</f>
        <v/>
      </c>
      <c r="AJ213" s="7" t="n"/>
      <c r="AM213" s="11" t="n"/>
      <c r="AO213">
        <f>IF($E213="","",IF(COUNTIF($E$2:$E213,$E213)=1,1,0))</f>
        <v/>
      </c>
      <c r="AP213">
        <f>IF($AO213=1,SUMPRODUCT(--($AS$2:$AS$1001&lt;$AS213))+1,"")</f>
        <v/>
      </c>
      <c r="AQ213">
        <f>IF($E213="","",IF(OR($V213=TRUE(),$V213="TRUE"),1,0))</f>
        <v/>
      </c>
      <c r="AR213">
        <f>IF($E213="","",IF($AE213="Yes",1,0))</f>
        <v/>
      </c>
      <c r="AS213">
        <f>IF($AO213=1,IFERROR(IF(VALUE($E213)&lt;100000000,VALUE($E213),1000000000),IFERROR(IF(VALUE(MID($E213,2,20))&lt;100000000,VALUE(MID($E213,2,20)),1000000000),1000000000))+ROW()/100000,"")</f>
        <v/>
      </c>
    </row>
    <row r="214">
      <c r="D214">
        <f>IF($E214="","",IFERROR(IF(INDEX('Per Invoice'!$A$2:$A$301,MATCH($E214,'Per Invoice'!$B$2:$B$301,0))=0,"",INDEX('Per Invoice'!$A$2:$A$301,MATCH($E214,'Per Invoice'!$B$2:$B$301,0))),""))</f>
        <v/>
      </c>
      <c r="H214" s="11" t="n"/>
      <c r="R214" s="7">
        <f>IF($E214="","",Q214*Z214/100)</f>
        <v/>
      </c>
      <c r="S214" s="7" t="n"/>
      <c r="Y214" s="7" t="n"/>
      <c r="Z214" s="7" t="n"/>
      <c r="AA214" s="7">
        <f>IF($E214="","",Z214*AF214/100)</f>
        <v/>
      </c>
      <c r="AB214" s="7">
        <f>IF($E214="","",Z214-AA214)</f>
        <v/>
      </c>
      <c r="AC214" s="7">
        <f>IF($E214="","",AB214-R214)</f>
        <v/>
      </c>
      <c r="AF214">
        <f>IF($E214="","",IF($AR214=1,0,IF($AQ214=1,Settings!$C$6,Settings!$C$7))*100)</f>
        <v/>
      </c>
      <c r="AJ214" s="7" t="n"/>
      <c r="AM214" s="11" t="n"/>
      <c r="AO214">
        <f>IF($E214="","",IF(COUNTIF($E$2:$E214,$E214)=1,1,0))</f>
        <v/>
      </c>
      <c r="AP214">
        <f>IF($AO214=1,SUMPRODUCT(--($AS$2:$AS$1001&lt;$AS214))+1,"")</f>
        <v/>
      </c>
      <c r="AQ214">
        <f>IF($E214="","",IF(OR($V214=TRUE(),$V214="TRUE"),1,0))</f>
        <v/>
      </c>
      <c r="AR214">
        <f>IF($E214="","",IF($AE214="Yes",1,0))</f>
        <v/>
      </c>
      <c r="AS214">
        <f>IF($AO214=1,IFERROR(IF(VALUE($E214)&lt;100000000,VALUE($E214),1000000000),IFERROR(IF(VALUE(MID($E214,2,20))&lt;100000000,VALUE(MID($E214,2,20)),1000000000),1000000000))+ROW()/100000,"")</f>
        <v/>
      </c>
    </row>
    <row r="215">
      <c r="D215">
        <f>IF($E215="","",IFERROR(IF(INDEX('Per Invoice'!$A$2:$A$301,MATCH($E215,'Per Invoice'!$B$2:$B$301,0))=0,"",INDEX('Per Invoice'!$A$2:$A$301,MATCH($E215,'Per Invoice'!$B$2:$B$301,0))),""))</f>
        <v/>
      </c>
      <c r="H215" s="11" t="n"/>
      <c r="R215" s="7">
        <f>IF($E215="","",Q215*Z215/100)</f>
        <v/>
      </c>
      <c r="S215" s="7" t="n"/>
      <c r="Y215" s="7" t="n"/>
      <c r="Z215" s="7" t="n"/>
      <c r="AA215" s="7">
        <f>IF($E215="","",Z215*AF215/100)</f>
        <v/>
      </c>
      <c r="AB215" s="7">
        <f>IF($E215="","",Z215-AA215)</f>
        <v/>
      </c>
      <c r="AC215" s="7">
        <f>IF($E215="","",AB215-R215)</f>
        <v/>
      </c>
      <c r="AF215">
        <f>IF($E215="","",IF($AR215=1,0,IF($AQ215=1,Settings!$C$6,Settings!$C$7))*100)</f>
        <v/>
      </c>
      <c r="AJ215" s="7" t="n"/>
      <c r="AM215" s="11" t="n"/>
      <c r="AO215">
        <f>IF($E215="","",IF(COUNTIF($E$2:$E215,$E215)=1,1,0))</f>
        <v/>
      </c>
      <c r="AP215">
        <f>IF($AO215=1,SUMPRODUCT(--($AS$2:$AS$1001&lt;$AS215))+1,"")</f>
        <v/>
      </c>
      <c r="AQ215">
        <f>IF($E215="","",IF(OR($V215=TRUE(),$V215="TRUE"),1,0))</f>
        <v/>
      </c>
      <c r="AR215">
        <f>IF($E215="","",IF($AE215="Yes",1,0))</f>
        <v/>
      </c>
      <c r="AS215">
        <f>IF($AO215=1,IFERROR(IF(VALUE($E215)&lt;100000000,VALUE($E215),1000000000),IFERROR(IF(VALUE(MID($E215,2,20))&lt;100000000,VALUE(MID($E215,2,20)),1000000000),1000000000))+ROW()/100000,"")</f>
        <v/>
      </c>
    </row>
    <row r="216">
      <c r="D216">
        <f>IF($E216="","",IFERROR(IF(INDEX('Per Invoice'!$A$2:$A$301,MATCH($E216,'Per Invoice'!$B$2:$B$301,0))=0,"",INDEX('Per Invoice'!$A$2:$A$301,MATCH($E216,'Per Invoice'!$B$2:$B$301,0))),""))</f>
        <v/>
      </c>
      <c r="H216" s="11" t="n"/>
      <c r="R216" s="7">
        <f>IF($E216="","",Q216*Z216/100)</f>
        <v/>
      </c>
      <c r="S216" s="7" t="n"/>
      <c r="Y216" s="7" t="n"/>
      <c r="Z216" s="7" t="n"/>
      <c r="AA216" s="7">
        <f>IF($E216="","",Z216*AF216/100)</f>
        <v/>
      </c>
      <c r="AB216" s="7">
        <f>IF($E216="","",Z216-AA216)</f>
        <v/>
      </c>
      <c r="AC216" s="7">
        <f>IF($E216="","",AB216-R216)</f>
        <v/>
      </c>
      <c r="AF216">
        <f>IF($E216="","",IF($AR216=1,0,IF($AQ216=1,Settings!$C$6,Settings!$C$7))*100)</f>
        <v/>
      </c>
      <c r="AJ216" s="7" t="n"/>
      <c r="AM216" s="11" t="n"/>
      <c r="AO216">
        <f>IF($E216="","",IF(COUNTIF($E$2:$E216,$E216)=1,1,0))</f>
        <v/>
      </c>
      <c r="AP216">
        <f>IF($AO216=1,SUMPRODUCT(--($AS$2:$AS$1001&lt;$AS216))+1,"")</f>
        <v/>
      </c>
      <c r="AQ216">
        <f>IF($E216="","",IF(OR($V216=TRUE(),$V216="TRUE"),1,0))</f>
        <v/>
      </c>
      <c r="AR216">
        <f>IF($E216="","",IF($AE216="Yes",1,0))</f>
        <v/>
      </c>
      <c r="AS216">
        <f>IF($AO216=1,IFERROR(IF(VALUE($E216)&lt;100000000,VALUE($E216),1000000000),IFERROR(IF(VALUE(MID($E216,2,20))&lt;100000000,VALUE(MID($E216,2,20)),1000000000),1000000000))+ROW()/100000,"")</f>
        <v/>
      </c>
    </row>
    <row r="217">
      <c r="D217">
        <f>IF($E217="","",IFERROR(IF(INDEX('Per Invoice'!$A$2:$A$301,MATCH($E217,'Per Invoice'!$B$2:$B$301,0))=0,"",INDEX('Per Invoice'!$A$2:$A$301,MATCH($E217,'Per Invoice'!$B$2:$B$301,0))),""))</f>
        <v/>
      </c>
      <c r="H217" s="11" t="n"/>
      <c r="R217" s="7">
        <f>IF($E217="","",Q217*Z217/100)</f>
        <v/>
      </c>
      <c r="S217" s="7" t="n"/>
      <c r="Y217" s="7" t="n"/>
      <c r="Z217" s="7" t="n"/>
      <c r="AA217" s="7">
        <f>IF($E217="","",Z217*AF217/100)</f>
        <v/>
      </c>
      <c r="AB217" s="7">
        <f>IF($E217="","",Z217-AA217)</f>
        <v/>
      </c>
      <c r="AC217" s="7">
        <f>IF($E217="","",AB217-R217)</f>
        <v/>
      </c>
      <c r="AF217">
        <f>IF($E217="","",IF($AR217=1,0,IF($AQ217=1,Settings!$C$6,Settings!$C$7))*100)</f>
        <v/>
      </c>
      <c r="AJ217" s="7" t="n"/>
      <c r="AM217" s="11" t="n"/>
      <c r="AO217">
        <f>IF($E217="","",IF(COUNTIF($E$2:$E217,$E217)=1,1,0))</f>
        <v/>
      </c>
      <c r="AP217">
        <f>IF($AO217=1,SUMPRODUCT(--($AS$2:$AS$1001&lt;$AS217))+1,"")</f>
        <v/>
      </c>
      <c r="AQ217">
        <f>IF($E217="","",IF(OR($V217=TRUE(),$V217="TRUE"),1,0))</f>
        <v/>
      </c>
      <c r="AR217">
        <f>IF($E217="","",IF($AE217="Yes",1,0))</f>
        <v/>
      </c>
      <c r="AS217">
        <f>IF($AO217=1,IFERROR(IF(VALUE($E217)&lt;100000000,VALUE($E217),1000000000),IFERROR(IF(VALUE(MID($E217,2,20))&lt;100000000,VALUE(MID($E217,2,20)),1000000000),1000000000))+ROW()/100000,"")</f>
        <v/>
      </c>
    </row>
    <row r="218">
      <c r="D218">
        <f>IF($E218="","",IFERROR(IF(INDEX('Per Invoice'!$A$2:$A$301,MATCH($E218,'Per Invoice'!$B$2:$B$301,0))=0,"",INDEX('Per Invoice'!$A$2:$A$301,MATCH($E218,'Per Invoice'!$B$2:$B$301,0))),""))</f>
        <v/>
      </c>
      <c r="H218" s="11" t="n"/>
      <c r="R218" s="7">
        <f>IF($E218="","",Q218*Z218/100)</f>
        <v/>
      </c>
      <c r="S218" s="7" t="n"/>
      <c r="Y218" s="7" t="n"/>
      <c r="Z218" s="7" t="n"/>
      <c r="AA218" s="7">
        <f>IF($E218="","",Z218*AF218/100)</f>
        <v/>
      </c>
      <c r="AB218" s="7">
        <f>IF($E218="","",Z218-AA218)</f>
        <v/>
      </c>
      <c r="AC218" s="7">
        <f>IF($E218="","",AB218-R218)</f>
        <v/>
      </c>
      <c r="AF218">
        <f>IF($E218="","",IF($AR218=1,0,IF($AQ218=1,Settings!$C$6,Settings!$C$7))*100)</f>
        <v/>
      </c>
      <c r="AJ218" s="7" t="n"/>
      <c r="AM218" s="11" t="n"/>
      <c r="AO218">
        <f>IF($E218="","",IF(COUNTIF($E$2:$E218,$E218)=1,1,0))</f>
        <v/>
      </c>
      <c r="AP218">
        <f>IF($AO218=1,SUMPRODUCT(--($AS$2:$AS$1001&lt;$AS218))+1,"")</f>
        <v/>
      </c>
      <c r="AQ218">
        <f>IF($E218="","",IF(OR($V218=TRUE(),$V218="TRUE"),1,0))</f>
        <v/>
      </c>
      <c r="AR218">
        <f>IF($E218="","",IF($AE218="Yes",1,0))</f>
        <v/>
      </c>
      <c r="AS218">
        <f>IF($AO218=1,IFERROR(IF(VALUE($E218)&lt;100000000,VALUE($E218),1000000000),IFERROR(IF(VALUE(MID($E218,2,20))&lt;100000000,VALUE(MID($E218,2,20)),1000000000),1000000000))+ROW()/100000,"")</f>
        <v/>
      </c>
    </row>
    <row r="219">
      <c r="D219">
        <f>IF($E219="","",IFERROR(IF(INDEX('Per Invoice'!$A$2:$A$301,MATCH($E219,'Per Invoice'!$B$2:$B$301,0))=0,"",INDEX('Per Invoice'!$A$2:$A$301,MATCH($E219,'Per Invoice'!$B$2:$B$301,0))),""))</f>
        <v/>
      </c>
      <c r="H219" s="11" t="n"/>
      <c r="R219" s="7">
        <f>IF($E219="","",Q219*Z219/100)</f>
        <v/>
      </c>
      <c r="S219" s="7" t="n"/>
      <c r="Y219" s="7" t="n"/>
      <c r="Z219" s="7" t="n"/>
      <c r="AA219" s="7">
        <f>IF($E219="","",Z219*AF219/100)</f>
        <v/>
      </c>
      <c r="AB219" s="7">
        <f>IF($E219="","",Z219-AA219)</f>
        <v/>
      </c>
      <c r="AC219" s="7">
        <f>IF($E219="","",AB219-R219)</f>
        <v/>
      </c>
      <c r="AF219">
        <f>IF($E219="","",IF($AR219=1,0,IF($AQ219=1,Settings!$C$6,Settings!$C$7))*100)</f>
        <v/>
      </c>
      <c r="AJ219" s="7" t="n"/>
      <c r="AM219" s="11" t="n"/>
      <c r="AO219">
        <f>IF($E219="","",IF(COUNTIF($E$2:$E219,$E219)=1,1,0))</f>
        <v/>
      </c>
      <c r="AP219">
        <f>IF($AO219=1,SUMPRODUCT(--($AS$2:$AS$1001&lt;$AS219))+1,"")</f>
        <v/>
      </c>
      <c r="AQ219">
        <f>IF($E219="","",IF(OR($V219=TRUE(),$V219="TRUE"),1,0))</f>
        <v/>
      </c>
      <c r="AR219">
        <f>IF($E219="","",IF($AE219="Yes",1,0))</f>
        <v/>
      </c>
      <c r="AS219">
        <f>IF($AO219=1,IFERROR(IF(VALUE($E219)&lt;100000000,VALUE($E219),1000000000),IFERROR(IF(VALUE(MID($E219,2,20))&lt;100000000,VALUE(MID($E219,2,20)),1000000000),1000000000))+ROW()/100000,"")</f>
        <v/>
      </c>
    </row>
    <row r="220">
      <c r="D220">
        <f>IF($E220="","",IFERROR(IF(INDEX('Per Invoice'!$A$2:$A$301,MATCH($E220,'Per Invoice'!$B$2:$B$301,0))=0,"",INDEX('Per Invoice'!$A$2:$A$301,MATCH($E220,'Per Invoice'!$B$2:$B$301,0))),""))</f>
        <v/>
      </c>
      <c r="H220" s="11" t="n"/>
      <c r="R220" s="7">
        <f>IF($E220="","",Q220*Z220/100)</f>
        <v/>
      </c>
      <c r="S220" s="7" t="n"/>
      <c r="Y220" s="7" t="n"/>
      <c r="Z220" s="7" t="n"/>
      <c r="AA220" s="7">
        <f>IF($E220="","",Z220*AF220/100)</f>
        <v/>
      </c>
      <c r="AB220" s="7">
        <f>IF($E220="","",Z220-AA220)</f>
        <v/>
      </c>
      <c r="AC220" s="7">
        <f>IF($E220="","",AB220-R220)</f>
        <v/>
      </c>
      <c r="AF220">
        <f>IF($E220="","",IF($AR220=1,0,IF($AQ220=1,Settings!$C$6,Settings!$C$7))*100)</f>
        <v/>
      </c>
      <c r="AJ220" s="7" t="n"/>
      <c r="AM220" s="11" t="n"/>
      <c r="AO220">
        <f>IF($E220="","",IF(COUNTIF($E$2:$E220,$E220)=1,1,0))</f>
        <v/>
      </c>
      <c r="AP220">
        <f>IF($AO220=1,SUMPRODUCT(--($AS$2:$AS$1001&lt;$AS220))+1,"")</f>
        <v/>
      </c>
      <c r="AQ220">
        <f>IF($E220="","",IF(OR($V220=TRUE(),$V220="TRUE"),1,0))</f>
        <v/>
      </c>
      <c r="AR220">
        <f>IF($E220="","",IF($AE220="Yes",1,0))</f>
        <v/>
      </c>
      <c r="AS220">
        <f>IF($AO220=1,IFERROR(IF(VALUE($E220)&lt;100000000,VALUE($E220),1000000000),IFERROR(IF(VALUE(MID($E220,2,20))&lt;100000000,VALUE(MID($E220,2,20)),1000000000),1000000000))+ROW()/100000,"")</f>
        <v/>
      </c>
    </row>
    <row r="221">
      <c r="D221">
        <f>IF($E221="","",IFERROR(IF(INDEX('Per Invoice'!$A$2:$A$301,MATCH($E221,'Per Invoice'!$B$2:$B$301,0))=0,"",INDEX('Per Invoice'!$A$2:$A$301,MATCH($E221,'Per Invoice'!$B$2:$B$301,0))),""))</f>
        <v/>
      </c>
      <c r="H221" s="11" t="n"/>
      <c r="R221" s="7">
        <f>IF($E221="","",Q221*Z221/100)</f>
        <v/>
      </c>
      <c r="S221" s="7" t="n"/>
      <c r="Y221" s="7" t="n"/>
      <c r="Z221" s="7" t="n"/>
      <c r="AA221" s="7">
        <f>IF($E221="","",Z221*AF221/100)</f>
        <v/>
      </c>
      <c r="AB221" s="7">
        <f>IF($E221="","",Z221-AA221)</f>
        <v/>
      </c>
      <c r="AC221" s="7">
        <f>IF($E221="","",AB221-R221)</f>
        <v/>
      </c>
      <c r="AF221">
        <f>IF($E221="","",IF($AR221=1,0,IF($AQ221=1,Settings!$C$6,Settings!$C$7))*100)</f>
        <v/>
      </c>
      <c r="AJ221" s="7" t="n"/>
      <c r="AM221" s="11" t="n"/>
      <c r="AO221">
        <f>IF($E221="","",IF(COUNTIF($E$2:$E221,$E221)=1,1,0))</f>
        <v/>
      </c>
      <c r="AP221">
        <f>IF($AO221=1,SUMPRODUCT(--($AS$2:$AS$1001&lt;$AS221))+1,"")</f>
        <v/>
      </c>
      <c r="AQ221">
        <f>IF($E221="","",IF(OR($V221=TRUE(),$V221="TRUE"),1,0))</f>
        <v/>
      </c>
      <c r="AR221">
        <f>IF($E221="","",IF($AE221="Yes",1,0))</f>
        <v/>
      </c>
      <c r="AS221">
        <f>IF($AO221=1,IFERROR(IF(VALUE($E221)&lt;100000000,VALUE($E221),1000000000),IFERROR(IF(VALUE(MID($E221,2,20))&lt;100000000,VALUE(MID($E221,2,20)),1000000000),1000000000))+ROW()/100000,"")</f>
        <v/>
      </c>
    </row>
    <row r="222">
      <c r="D222">
        <f>IF($E222="","",IFERROR(IF(INDEX('Per Invoice'!$A$2:$A$301,MATCH($E222,'Per Invoice'!$B$2:$B$301,0))=0,"",INDEX('Per Invoice'!$A$2:$A$301,MATCH($E222,'Per Invoice'!$B$2:$B$301,0))),""))</f>
        <v/>
      </c>
      <c r="H222" s="11" t="n"/>
      <c r="R222" s="7">
        <f>IF($E222="","",Q222*Z222/100)</f>
        <v/>
      </c>
      <c r="S222" s="7" t="n"/>
      <c r="Y222" s="7" t="n"/>
      <c r="Z222" s="7" t="n"/>
      <c r="AA222" s="7">
        <f>IF($E222="","",Z222*AF222/100)</f>
        <v/>
      </c>
      <c r="AB222" s="7">
        <f>IF($E222="","",Z222-AA222)</f>
        <v/>
      </c>
      <c r="AC222" s="7">
        <f>IF($E222="","",AB222-R222)</f>
        <v/>
      </c>
      <c r="AF222">
        <f>IF($E222="","",IF($AR222=1,0,IF($AQ222=1,Settings!$C$6,Settings!$C$7))*100)</f>
        <v/>
      </c>
      <c r="AJ222" s="7" t="n"/>
      <c r="AM222" s="11" t="n"/>
      <c r="AO222">
        <f>IF($E222="","",IF(COUNTIF($E$2:$E222,$E222)=1,1,0))</f>
        <v/>
      </c>
      <c r="AP222">
        <f>IF($AO222=1,SUMPRODUCT(--($AS$2:$AS$1001&lt;$AS222))+1,"")</f>
        <v/>
      </c>
      <c r="AQ222">
        <f>IF($E222="","",IF(OR($V222=TRUE(),$V222="TRUE"),1,0))</f>
        <v/>
      </c>
      <c r="AR222">
        <f>IF($E222="","",IF($AE222="Yes",1,0))</f>
        <v/>
      </c>
      <c r="AS222">
        <f>IF($AO222=1,IFERROR(IF(VALUE($E222)&lt;100000000,VALUE($E222),1000000000),IFERROR(IF(VALUE(MID($E222,2,20))&lt;100000000,VALUE(MID($E222,2,20)),1000000000),1000000000))+ROW()/100000,"")</f>
        <v/>
      </c>
    </row>
    <row r="223">
      <c r="D223">
        <f>IF($E223="","",IFERROR(IF(INDEX('Per Invoice'!$A$2:$A$301,MATCH($E223,'Per Invoice'!$B$2:$B$301,0))=0,"",INDEX('Per Invoice'!$A$2:$A$301,MATCH($E223,'Per Invoice'!$B$2:$B$301,0))),""))</f>
        <v/>
      </c>
      <c r="H223" s="11" t="n"/>
      <c r="R223" s="7">
        <f>IF($E223="","",Q223*Z223/100)</f>
        <v/>
      </c>
      <c r="S223" s="7" t="n"/>
      <c r="Y223" s="7" t="n"/>
      <c r="Z223" s="7" t="n"/>
      <c r="AA223" s="7">
        <f>IF($E223="","",Z223*AF223/100)</f>
        <v/>
      </c>
      <c r="AB223" s="7">
        <f>IF($E223="","",Z223-AA223)</f>
        <v/>
      </c>
      <c r="AC223" s="7">
        <f>IF($E223="","",AB223-R223)</f>
        <v/>
      </c>
      <c r="AF223">
        <f>IF($E223="","",IF($AR223=1,0,IF($AQ223=1,Settings!$C$6,Settings!$C$7))*100)</f>
        <v/>
      </c>
      <c r="AJ223" s="7" t="n"/>
      <c r="AM223" s="11" t="n"/>
      <c r="AO223">
        <f>IF($E223="","",IF(COUNTIF($E$2:$E223,$E223)=1,1,0))</f>
        <v/>
      </c>
      <c r="AP223">
        <f>IF($AO223=1,SUMPRODUCT(--($AS$2:$AS$1001&lt;$AS223))+1,"")</f>
        <v/>
      </c>
      <c r="AQ223">
        <f>IF($E223="","",IF(OR($V223=TRUE(),$V223="TRUE"),1,0))</f>
        <v/>
      </c>
      <c r="AR223">
        <f>IF($E223="","",IF($AE223="Yes",1,0))</f>
        <v/>
      </c>
      <c r="AS223">
        <f>IF($AO223=1,IFERROR(IF(VALUE($E223)&lt;100000000,VALUE($E223),1000000000),IFERROR(IF(VALUE(MID($E223,2,20))&lt;100000000,VALUE(MID($E223,2,20)),1000000000),1000000000))+ROW()/100000,"")</f>
        <v/>
      </c>
    </row>
    <row r="224">
      <c r="D224">
        <f>IF($E224="","",IFERROR(IF(INDEX('Per Invoice'!$A$2:$A$301,MATCH($E224,'Per Invoice'!$B$2:$B$301,0))=0,"",INDEX('Per Invoice'!$A$2:$A$301,MATCH($E224,'Per Invoice'!$B$2:$B$301,0))),""))</f>
        <v/>
      </c>
      <c r="H224" s="11" t="n"/>
      <c r="R224" s="7">
        <f>IF($E224="","",Q224*Z224/100)</f>
        <v/>
      </c>
      <c r="S224" s="7" t="n"/>
      <c r="Y224" s="7" t="n"/>
      <c r="Z224" s="7" t="n"/>
      <c r="AA224" s="7">
        <f>IF($E224="","",Z224*AF224/100)</f>
        <v/>
      </c>
      <c r="AB224" s="7">
        <f>IF($E224="","",Z224-AA224)</f>
        <v/>
      </c>
      <c r="AC224" s="7">
        <f>IF($E224="","",AB224-R224)</f>
        <v/>
      </c>
      <c r="AF224">
        <f>IF($E224="","",IF($AR224=1,0,IF($AQ224=1,Settings!$C$6,Settings!$C$7))*100)</f>
        <v/>
      </c>
      <c r="AJ224" s="7" t="n"/>
      <c r="AM224" s="11" t="n"/>
      <c r="AO224">
        <f>IF($E224="","",IF(COUNTIF($E$2:$E224,$E224)=1,1,0))</f>
        <v/>
      </c>
      <c r="AP224">
        <f>IF($AO224=1,SUMPRODUCT(--($AS$2:$AS$1001&lt;$AS224))+1,"")</f>
        <v/>
      </c>
      <c r="AQ224">
        <f>IF($E224="","",IF(OR($V224=TRUE(),$V224="TRUE"),1,0))</f>
        <v/>
      </c>
      <c r="AR224">
        <f>IF($E224="","",IF($AE224="Yes",1,0))</f>
        <v/>
      </c>
      <c r="AS224">
        <f>IF($AO224=1,IFERROR(IF(VALUE($E224)&lt;100000000,VALUE($E224),1000000000),IFERROR(IF(VALUE(MID($E224,2,20))&lt;100000000,VALUE(MID($E224,2,20)),1000000000),1000000000))+ROW()/100000,"")</f>
        <v/>
      </c>
    </row>
    <row r="225">
      <c r="D225">
        <f>IF($E225="","",IFERROR(IF(INDEX('Per Invoice'!$A$2:$A$301,MATCH($E225,'Per Invoice'!$B$2:$B$301,0))=0,"",INDEX('Per Invoice'!$A$2:$A$301,MATCH($E225,'Per Invoice'!$B$2:$B$301,0))),""))</f>
        <v/>
      </c>
      <c r="H225" s="11" t="n"/>
      <c r="R225" s="7">
        <f>IF($E225="","",Q225*Z225/100)</f>
        <v/>
      </c>
      <c r="S225" s="7" t="n"/>
      <c r="Y225" s="7" t="n"/>
      <c r="Z225" s="7" t="n"/>
      <c r="AA225" s="7">
        <f>IF($E225="","",Z225*AF225/100)</f>
        <v/>
      </c>
      <c r="AB225" s="7">
        <f>IF($E225="","",Z225-AA225)</f>
        <v/>
      </c>
      <c r="AC225" s="7">
        <f>IF($E225="","",AB225-R225)</f>
        <v/>
      </c>
      <c r="AF225">
        <f>IF($E225="","",IF($AR225=1,0,IF($AQ225=1,Settings!$C$6,Settings!$C$7))*100)</f>
        <v/>
      </c>
      <c r="AJ225" s="7" t="n"/>
      <c r="AM225" s="11" t="n"/>
      <c r="AO225">
        <f>IF($E225="","",IF(COUNTIF($E$2:$E225,$E225)=1,1,0))</f>
        <v/>
      </c>
      <c r="AP225">
        <f>IF($AO225=1,SUMPRODUCT(--($AS$2:$AS$1001&lt;$AS225))+1,"")</f>
        <v/>
      </c>
      <c r="AQ225">
        <f>IF($E225="","",IF(OR($V225=TRUE(),$V225="TRUE"),1,0))</f>
        <v/>
      </c>
      <c r="AR225">
        <f>IF($E225="","",IF($AE225="Yes",1,0))</f>
        <v/>
      </c>
      <c r="AS225">
        <f>IF($AO225=1,IFERROR(IF(VALUE($E225)&lt;100000000,VALUE($E225),1000000000),IFERROR(IF(VALUE(MID($E225,2,20))&lt;100000000,VALUE(MID($E225,2,20)),1000000000),1000000000))+ROW()/100000,"")</f>
        <v/>
      </c>
    </row>
    <row r="226">
      <c r="D226">
        <f>IF($E226="","",IFERROR(IF(INDEX('Per Invoice'!$A$2:$A$301,MATCH($E226,'Per Invoice'!$B$2:$B$301,0))=0,"",INDEX('Per Invoice'!$A$2:$A$301,MATCH($E226,'Per Invoice'!$B$2:$B$301,0))),""))</f>
        <v/>
      </c>
      <c r="H226" s="11" t="n"/>
      <c r="R226" s="7">
        <f>IF($E226="","",Q226*Z226/100)</f>
        <v/>
      </c>
      <c r="S226" s="7" t="n"/>
      <c r="Y226" s="7" t="n"/>
      <c r="Z226" s="7" t="n"/>
      <c r="AA226" s="7">
        <f>IF($E226="","",Z226*AF226/100)</f>
        <v/>
      </c>
      <c r="AB226" s="7">
        <f>IF($E226="","",Z226-AA226)</f>
        <v/>
      </c>
      <c r="AC226" s="7">
        <f>IF($E226="","",AB226-R226)</f>
        <v/>
      </c>
      <c r="AF226">
        <f>IF($E226="","",IF($AR226=1,0,IF($AQ226=1,Settings!$C$6,Settings!$C$7))*100)</f>
        <v/>
      </c>
      <c r="AJ226" s="7" t="n"/>
      <c r="AM226" s="11" t="n"/>
      <c r="AO226">
        <f>IF($E226="","",IF(COUNTIF($E$2:$E226,$E226)=1,1,0))</f>
        <v/>
      </c>
      <c r="AP226">
        <f>IF($AO226=1,SUMPRODUCT(--($AS$2:$AS$1001&lt;$AS226))+1,"")</f>
        <v/>
      </c>
      <c r="AQ226">
        <f>IF($E226="","",IF(OR($V226=TRUE(),$V226="TRUE"),1,0))</f>
        <v/>
      </c>
      <c r="AR226">
        <f>IF($E226="","",IF($AE226="Yes",1,0))</f>
        <v/>
      </c>
      <c r="AS226">
        <f>IF($AO226=1,IFERROR(IF(VALUE($E226)&lt;100000000,VALUE($E226),1000000000),IFERROR(IF(VALUE(MID($E226,2,20))&lt;100000000,VALUE(MID($E226,2,20)),1000000000),1000000000))+ROW()/100000,"")</f>
        <v/>
      </c>
    </row>
    <row r="227">
      <c r="D227">
        <f>IF($E227="","",IFERROR(IF(INDEX('Per Invoice'!$A$2:$A$301,MATCH($E227,'Per Invoice'!$B$2:$B$301,0))=0,"",INDEX('Per Invoice'!$A$2:$A$301,MATCH($E227,'Per Invoice'!$B$2:$B$301,0))),""))</f>
        <v/>
      </c>
      <c r="H227" s="11" t="n"/>
      <c r="R227" s="7">
        <f>IF($E227="","",Q227*Z227/100)</f>
        <v/>
      </c>
      <c r="S227" s="7" t="n"/>
      <c r="Y227" s="7" t="n"/>
      <c r="Z227" s="7" t="n"/>
      <c r="AA227" s="7">
        <f>IF($E227="","",Z227*AF227/100)</f>
        <v/>
      </c>
      <c r="AB227" s="7">
        <f>IF($E227="","",Z227-AA227)</f>
        <v/>
      </c>
      <c r="AC227" s="7">
        <f>IF($E227="","",AB227-R227)</f>
        <v/>
      </c>
      <c r="AF227">
        <f>IF($E227="","",IF($AR227=1,0,IF($AQ227=1,Settings!$C$6,Settings!$C$7))*100)</f>
        <v/>
      </c>
      <c r="AJ227" s="7" t="n"/>
      <c r="AM227" s="11" t="n"/>
      <c r="AO227">
        <f>IF($E227="","",IF(COUNTIF($E$2:$E227,$E227)=1,1,0))</f>
        <v/>
      </c>
      <c r="AP227">
        <f>IF($AO227=1,SUMPRODUCT(--($AS$2:$AS$1001&lt;$AS227))+1,"")</f>
        <v/>
      </c>
      <c r="AQ227">
        <f>IF($E227="","",IF(OR($V227=TRUE(),$V227="TRUE"),1,0))</f>
        <v/>
      </c>
      <c r="AR227">
        <f>IF($E227="","",IF($AE227="Yes",1,0))</f>
        <v/>
      </c>
      <c r="AS227">
        <f>IF($AO227=1,IFERROR(IF(VALUE($E227)&lt;100000000,VALUE($E227),1000000000),IFERROR(IF(VALUE(MID($E227,2,20))&lt;100000000,VALUE(MID($E227,2,20)),1000000000),1000000000))+ROW()/100000,"")</f>
        <v/>
      </c>
    </row>
    <row r="228">
      <c r="D228">
        <f>IF($E228="","",IFERROR(IF(INDEX('Per Invoice'!$A$2:$A$301,MATCH($E228,'Per Invoice'!$B$2:$B$301,0))=0,"",INDEX('Per Invoice'!$A$2:$A$301,MATCH($E228,'Per Invoice'!$B$2:$B$301,0))),""))</f>
        <v/>
      </c>
      <c r="H228" s="11" t="n"/>
      <c r="R228" s="7">
        <f>IF($E228="","",Q228*Z228/100)</f>
        <v/>
      </c>
      <c r="S228" s="7" t="n"/>
      <c r="Y228" s="7" t="n"/>
      <c r="Z228" s="7" t="n"/>
      <c r="AA228" s="7">
        <f>IF($E228="","",Z228*AF228/100)</f>
        <v/>
      </c>
      <c r="AB228" s="7">
        <f>IF($E228="","",Z228-AA228)</f>
        <v/>
      </c>
      <c r="AC228" s="7">
        <f>IF($E228="","",AB228-R228)</f>
        <v/>
      </c>
      <c r="AF228">
        <f>IF($E228="","",IF($AR228=1,0,IF($AQ228=1,Settings!$C$6,Settings!$C$7))*100)</f>
        <v/>
      </c>
      <c r="AJ228" s="7" t="n"/>
      <c r="AM228" s="11" t="n"/>
      <c r="AO228">
        <f>IF($E228="","",IF(COUNTIF($E$2:$E228,$E228)=1,1,0))</f>
        <v/>
      </c>
      <c r="AP228">
        <f>IF($AO228=1,SUMPRODUCT(--($AS$2:$AS$1001&lt;$AS228))+1,"")</f>
        <v/>
      </c>
      <c r="AQ228">
        <f>IF($E228="","",IF(OR($V228=TRUE(),$V228="TRUE"),1,0))</f>
        <v/>
      </c>
      <c r="AR228">
        <f>IF($E228="","",IF($AE228="Yes",1,0))</f>
        <v/>
      </c>
      <c r="AS228">
        <f>IF($AO228=1,IFERROR(IF(VALUE($E228)&lt;100000000,VALUE($E228),1000000000),IFERROR(IF(VALUE(MID($E228,2,20))&lt;100000000,VALUE(MID($E228,2,20)),1000000000),1000000000))+ROW()/100000,"")</f>
        <v/>
      </c>
    </row>
    <row r="229">
      <c r="D229">
        <f>IF($E229="","",IFERROR(IF(INDEX('Per Invoice'!$A$2:$A$301,MATCH($E229,'Per Invoice'!$B$2:$B$301,0))=0,"",INDEX('Per Invoice'!$A$2:$A$301,MATCH($E229,'Per Invoice'!$B$2:$B$301,0))),""))</f>
        <v/>
      </c>
      <c r="H229" s="11" t="n"/>
      <c r="R229" s="7">
        <f>IF($E229="","",Q229*Z229/100)</f>
        <v/>
      </c>
      <c r="S229" s="7" t="n"/>
      <c r="Y229" s="7" t="n"/>
      <c r="Z229" s="7" t="n"/>
      <c r="AA229" s="7">
        <f>IF($E229="","",Z229*AF229/100)</f>
        <v/>
      </c>
      <c r="AB229" s="7">
        <f>IF($E229="","",Z229-AA229)</f>
        <v/>
      </c>
      <c r="AC229" s="7">
        <f>IF($E229="","",AB229-R229)</f>
        <v/>
      </c>
      <c r="AF229">
        <f>IF($E229="","",IF($AR229=1,0,IF($AQ229=1,Settings!$C$6,Settings!$C$7))*100)</f>
        <v/>
      </c>
      <c r="AJ229" s="7" t="n"/>
      <c r="AM229" s="11" t="n"/>
      <c r="AO229">
        <f>IF($E229="","",IF(COUNTIF($E$2:$E229,$E229)=1,1,0))</f>
        <v/>
      </c>
      <c r="AP229">
        <f>IF($AO229=1,SUMPRODUCT(--($AS$2:$AS$1001&lt;$AS229))+1,"")</f>
        <v/>
      </c>
      <c r="AQ229">
        <f>IF($E229="","",IF(OR($V229=TRUE(),$V229="TRUE"),1,0))</f>
        <v/>
      </c>
      <c r="AR229">
        <f>IF($E229="","",IF($AE229="Yes",1,0))</f>
        <v/>
      </c>
      <c r="AS229">
        <f>IF($AO229=1,IFERROR(IF(VALUE($E229)&lt;100000000,VALUE($E229),1000000000),IFERROR(IF(VALUE(MID($E229,2,20))&lt;100000000,VALUE(MID($E229,2,20)),1000000000),1000000000))+ROW()/100000,"")</f>
        <v/>
      </c>
    </row>
    <row r="230">
      <c r="D230">
        <f>IF($E230="","",IFERROR(IF(INDEX('Per Invoice'!$A$2:$A$301,MATCH($E230,'Per Invoice'!$B$2:$B$301,0))=0,"",INDEX('Per Invoice'!$A$2:$A$301,MATCH($E230,'Per Invoice'!$B$2:$B$301,0))),""))</f>
        <v/>
      </c>
      <c r="H230" s="11" t="n"/>
      <c r="R230" s="7">
        <f>IF($E230="","",Q230*Z230/100)</f>
        <v/>
      </c>
      <c r="S230" s="7" t="n"/>
      <c r="Y230" s="7" t="n"/>
      <c r="Z230" s="7" t="n"/>
      <c r="AA230" s="7">
        <f>IF($E230="","",Z230*AF230/100)</f>
        <v/>
      </c>
      <c r="AB230" s="7">
        <f>IF($E230="","",Z230-AA230)</f>
        <v/>
      </c>
      <c r="AC230" s="7">
        <f>IF($E230="","",AB230-R230)</f>
        <v/>
      </c>
      <c r="AF230">
        <f>IF($E230="","",IF($AR230=1,0,IF($AQ230=1,Settings!$C$6,Settings!$C$7))*100)</f>
        <v/>
      </c>
      <c r="AJ230" s="7" t="n"/>
      <c r="AM230" s="11" t="n"/>
      <c r="AO230">
        <f>IF($E230="","",IF(COUNTIF($E$2:$E230,$E230)=1,1,0))</f>
        <v/>
      </c>
      <c r="AP230">
        <f>IF($AO230=1,SUMPRODUCT(--($AS$2:$AS$1001&lt;$AS230))+1,"")</f>
        <v/>
      </c>
      <c r="AQ230">
        <f>IF($E230="","",IF(OR($V230=TRUE(),$V230="TRUE"),1,0))</f>
        <v/>
      </c>
      <c r="AR230">
        <f>IF($E230="","",IF($AE230="Yes",1,0))</f>
        <v/>
      </c>
      <c r="AS230">
        <f>IF($AO230=1,IFERROR(IF(VALUE($E230)&lt;100000000,VALUE($E230),1000000000),IFERROR(IF(VALUE(MID($E230,2,20))&lt;100000000,VALUE(MID($E230,2,20)),1000000000),1000000000))+ROW()/100000,"")</f>
        <v/>
      </c>
    </row>
    <row r="231">
      <c r="D231">
        <f>IF($E231="","",IFERROR(IF(INDEX('Per Invoice'!$A$2:$A$301,MATCH($E231,'Per Invoice'!$B$2:$B$301,0))=0,"",INDEX('Per Invoice'!$A$2:$A$301,MATCH($E231,'Per Invoice'!$B$2:$B$301,0))),""))</f>
        <v/>
      </c>
      <c r="H231" s="11" t="n"/>
      <c r="R231" s="7">
        <f>IF($E231="","",Q231*Z231/100)</f>
        <v/>
      </c>
      <c r="S231" s="7" t="n"/>
      <c r="Y231" s="7" t="n"/>
      <c r="Z231" s="7" t="n"/>
      <c r="AA231" s="7">
        <f>IF($E231="","",Z231*AF231/100)</f>
        <v/>
      </c>
      <c r="AB231" s="7">
        <f>IF($E231="","",Z231-AA231)</f>
        <v/>
      </c>
      <c r="AC231" s="7">
        <f>IF($E231="","",AB231-R231)</f>
        <v/>
      </c>
      <c r="AF231">
        <f>IF($E231="","",IF($AR231=1,0,IF($AQ231=1,Settings!$C$6,Settings!$C$7))*100)</f>
        <v/>
      </c>
      <c r="AJ231" s="7" t="n"/>
      <c r="AM231" s="11" t="n"/>
      <c r="AO231">
        <f>IF($E231="","",IF(COUNTIF($E$2:$E231,$E231)=1,1,0))</f>
        <v/>
      </c>
      <c r="AP231">
        <f>IF($AO231=1,SUMPRODUCT(--($AS$2:$AS$1001&lt;$AS231))+1,"")</f>
        <v/>
      </c>
      <c r="AQ231">
        <f>IF($E231="","",IF(OR($V231=TRUE(),$V231="TRUE"),1,0))</f>
        <v/>
      </c>
      <c r="AR231">
        <f>IF($E231="","",IF($AE231="Yes",1,0))</f>
        <v/>
      </c>
      <c r="AS231">
        <f>IF($AO231=1,IFERROR(IF(VALUE($E231)&lt;100000000,VALUE($E231),1000000000),IFERROR(IF(VALUE(MID($E231,2,20))&lt;100000000,VALUE(MID($E231,2,20)),1000000000),1000000000))+ROW()/100000,"")</f>
        <v/>
      </c>
    </row>
    <row r="232">
      <c r="D232">
        <f>IF($E232="","",IFERROR(IF(INDEX('Per Invoice'!$A$2:$A$301,MATCH($E232,'Per Invoice'!$B$2:$B$301,0))=0,"",INDEX('Per Invoice'!$A$2:$A$301,MATCH($E232,'Per Invoice'!$B$2:$B$301,0))),""))</f>
        <v/>
      </c>
      <c r="H232" s="11" t="n"/>
      <c r="R232" s="7">
        <f>IF($E232="","",Q232*Z232/100)</f>
        <v/>
      </c>
      <c r="S232" s="7" t="n"/>
      <c r="Y232" s="7" t="n"/>
      <c r="Z232" s="7" t="n"/>
      <c r="AA232" s="7">
        <f>IF($E232="","",Z232*AF232/100)</f>
        <v/>
      </c>
      <c r="AB232" s="7">
        <f>IF($E232="","",Z232-AA232)</f>
        <v/>
      </c>
      <c r="AC232" s="7">
        <f>IF($E232="","",AB232-R232)</f>
        <v/>
      </c>
      <c r="AF232">
        <f>IF($E232="","",IF($AR232=1,0,IF($AQ232=1,Settings!$C$6,Settings!$C$7))*100)</f>
        <v/>
      </c>
      <c r="AJ232" s="7" t="n"/>
      <c r="AM232" s="11" t="n"/>
      <c r="AO232">
        <f>IF($E232="","",IF(COUNTIF($E$2:$E232,$E232)=1,1,0))</f>
        <v/>
      </c>
      <c r="AP232">
        <f>IF($AO232=1,SUMPRODUCT(--($AS$2:$AS$1001&lt;$AS232))+1,"")</f>
        <v/>
      </c>
      <c r="AQ232">
        <f>IF($E232="","",IF(OR($V232=TRUE(),$V232="TRUE"),1,0))</f>
        <v/>
      </c>
      <c r="AR232">
        <f>IF($E232="","",IF($AE232="Yes",1,0))</f>
        <v/>
      </c>
      <c r="AS232">
        <f>IF($AO232=1,IFERROR(IF(VALUE($E232)&lt;100000000,VALUE($E232),1000000000),IFERROR(IF(VALUE(MID($E232,2,20))&lt;100000000,VALUE(MID($E232,2,20)),1000000000),1000000000))+ROW()/100000,"")</f>
        <v/>
      </c>
    </row>
    <row r="233">
      <c r="D233">
        <f>IF($E233="","",IFERROR(IF(INDEX('Per Invoice'!$A$2:$A$301,MATCH($E233,'Per Invoice'!$B$2:$B$301,0))=0,"",INDEX('Per Invoice'!$A$2:$A$301,MATCH($E233,'Per Invoice'!$B$2:$B$301,0))),""))</f>
        <v/>
      </c>
      <c r="H233" s="11" t="n"/>
      <c r="R233" s="7">
        <f>IF($E233="","",Q233*Z233/100)</f>
        <v/>
      </c>
      <c r="S233" s="7" t="n"/>
      <c r="Y233" s="7" t="n"/>
      <c r="Z233" s="7" t="n"/>
      <c r="AA233" s="7">
        <f>IF($E233="","",Z233*AF233/100)</f>
        <v/>
      </c>
      <c r="AB233" s="7">
        <f>IF($E233="","",Z233-AA233)</f>
        <v/>
      </c>
      <c r="AC233" s="7">
        <f>IF($E233="","",AB233-R233)</f>
        <v/>
      </c>
      <c r="AF233">
        <f>IF($E233="","",IF($AR233=1,0,IF($AQ233=1,Settings!$C$6,Settings!$C$7))*100)</f>
        <v/>
      </c>
      <c r="AJ233" s="7" t="n"/>
      <c r="AM233" s="11" t="n"/>
      <c r="AO233">
        <f>IF($E233="","",IF(COUNTIF($E$2:$E233,$E233)=1,1,0))</f>
        <v/>
      </c>
      <c r="AP233">
        <f>IF($AO233=1,SUMPRODUCT(--($AS$2:$AS$1001&lt;$AS233))+1,"")</f>
        <v/>
      </c>
      <c r="AQ233">
        <f>IF($E233="","",IF(OR($V233=TRUE(),$V233="TRUE"),1,0))</f>
        <v/>
      </c>
      <c r="AR233">
        <f>IF($E233="","",IF($AE233="Yes",1,0))</f>
        <v/>
      </c>
      <c r="AS233">
        <f>IF($AO233=1,IFERROR(IF(VALUE($E233)&lt;100000000,VALUE($E233),1000000000),IFERROR(IF(VALUE(MID($E233,2,20))&lt;100000000,VALUE(MID($E233,2,20)),1000000000),1000000000))+ROW()/100000,"")</f>
        <v/>
      </c>
    </row>
    <row r="234">
      <c r="D234">
        <f>IF($E234="","",IFERROR(IF(INDEX('Per Invoice'!$A$2:$A$301,MATCH($E234,'Per Invoice'!$B$2:$B$301,0))=0,"",INDEX('Per Invoice'!$A$2:$A$301,MATCH($E234,'Per Invoice'!$B$2:$B$301,0))),""))</f>
        <v/>
      </c>
      <c r="H234" s="11" t="n"/>
      <c r="R234" s="7">
        <f>IF($E234="","",Q234*Z234/100)</f>
        <v/>
      </c>
      <c r="S234" s="7" t="n"/>
      <c r="Y234" s="7" t="n"/>
      <c r="Z234" s="7" t="n"/>
      <c r="AA234" s="7">
        <f>IF($E234="","",Z234*AF234/100)</f>
        <v/>
      </c>
      <c r="AB234" s="7">
        <f>IF($E234="","",Z234-AA234)</f>
        <v/>
      </c>
      <c r="AC234" s="7">
        <f>IF($E234="","",AB234-R234)</f>
        <v/>
      </c>
      <c r="AF234">
        <f>IF($E234="","",IF($AR234=1,0,IF($AQ234=1,Settings!$C$6,Settings!$C$7))*100)</f>
        <v/>
      </c>
      <c r="AJ234" s="7" t="n"/>
      <c r="AM234" s="11" t="n"/>
      <c r="AO234">
        <f>IF($E234="","",IF(COUNTIF($E$2:$E234,$E234)=1,1,0))</f>
        <v/>
      </c>
      <c r="AP234">
        <f>IF($AO234=1,SUMPRODUCT(--($AS$2:$AS$1001&lt;$AS234))+1,"")</f>
        <v/>
      </c>
      <c r="AQ234">
        <f>IF($E234="","",IF(OR($V234=TRUE(),$V234="TRUE"),1,0))</f>
        <v/>
      </c>
      <c r="AR234">
        <f>IF($E234="","",IF($AE234="Yes",1,0))</f>
        <v/>
      </c>
      <c r="AS234">
        <f>IF($AO234=1,IFERROR(IF(VALUE($E234)&lt;100000000,VALUE($E234),1000000000),IFERROR(IF(VALUE(MID($E234,2,20))&lt;100000000,VALUE(MID($E234,2,20)),1000000000),1000000000))+ROW()/100000,"")</f>
        <v/>
      </c>
    </row>
    <row r="235">
      <c r="D235">
        <f>IF($E235="","",IFERROR(IF(INDEX('Per Invoice'!$A$2:$A$301,MATCH($E235,'Per Invoice'!$B$2:$B$301,0))=0,"",INDEX('Per Invoice'!$A$2:$A$301,MATCH($E235,'Per Invoice'!$B$2:$B$301,0))),""))</f>
        <v/>
      </c>
      <c r="H235" s="11" t="n"/>
      <c r="R235" s="7">
        <f>IF($E235="","",Q235*Z235/100)</f>
        <v/>
      </c>
      <c r="S235" s="7" t="n"/>
      <c r="Y235" s="7" t="n"/>
      <c r="Z235" s="7" t="n"/>
      <c r="AA235" s="7">
        <f>IF($E235="","",Z235*AF235/100)</f>
        <v/>
      </c>
      <c r="AB235" s="7">
        <f>IF($E235="","",Z235-AA235)</f>
        <v/>
      </c>
      <c r="AC235" s="7">
        <f>IF($E235="","",AB235-R235)</f>
        <v/>
      </c>
      <c r="AF235">
        <f>IF($E235="","",IF($AR235=1,0,IF($AQ235=1,Settings!$C$6,Settings!$C$7))*100)</f>
        <v/>
      </c>
      <c r="AJ235" s="7" t="n"/>
      <c r="AM235" s="11" t="n"/>
      <c r="AO235">
        <f>IF($E235="","",IF(COUNTIF($E$2:$E235,$E235)=1,1,0))</f>
        <v/>
      </c>
      <c r="AP235">
        <f>IF($AO235=1,SUMPRODUCT(--($AS$2:$AS$1001&lt;$AS235))+1,"")</f>
        <v/>
      </c>
      <c r="AQ235">
        <f>IF($E235="","",IF(OR($V235=TRUE(),$V235="TRUE"),1,0))</f>
        <v/>
      </c>
      <c r="AR235">
        <f>IF($E235="","",IF($AE235="Yes",1,0))</f>
        <v/>
      </c>
      <c r="AS235">
        <f>IF($AO235=1,IFERROR(IF(VALUE($E235)&lt;100000000,VALUE($E235),1000000000),IFERROR(IF(VALUE(MID($E235,2,20))&lt;100000000,VALUE(MID($E235,2,20)),1000000000),1000000000))+ROW()/100000,"")</f>
        <v/>
      </c>
    </row>
    <row r="236">
      <c r="D236">
        <f>IF($E236="","",IFERROR(IF(INDEX('Per Invoice'!$A$2:$A$301,MATCH($E236,'Per Invoice'!$B$2:$B$301,0))=0,"",INDEX('Per Invoice'!$A$2:$A$301,MATCH($E236,'Per Invoice'!$B$2:$B$301,0))),""))</f>
        <v/>
      </c>
      <c r="H236" s="11" t="n"/>
      <c r="R236" s="7">
        <f>IF($E236="","",Q236*Z236/100)</f>
        <v/>
      </c>
      <c r="S236" s="7" t="n"/>
      <c r="Y236" s="7" t="n"/>
      <c r="Z236" s="7" t="n"/>
      <c r="AA236" s="7">
        <f>IF($E236="","",Z236*AF236/100)</f>
        <v/>
      </c>
      <c r="AB236" s="7">
        <f>IF($E236="","",Z236-AA236)</f>
        <v/>
      </c>
      <c r="AC236" s="7">
        <f>IF($E236="","",AB236-R236)</f>
        <v/>
      </c>
      <c r="AF236">
        <f>IF($E236="","",IF($AR236=1,0,IF($AQ236=1,Settings!$C$6,Settings!$C$7))*100)</f>
        <v/>
      </c>
      <c r="AJ236" s="7" t="n"/>
      <c r="AM236" s="11" t="n"/>
      <c r="AO236">
        <f>IF($E236="","",IF(COUNTIF($E$2:$E236,$E236)=1,1,0))</f>
        <v/>
      </c>
      <c r="AP236">
        <f>IF($AO236=1,SUMPRODUCT(--($AS$2:$AS$1001&lt;$AS236))+1,"")</f>
        <v/>
      </c>
      <c r="AQ236">
        <f>IF($E236="","",IF(OR($V236=TRUE(),$V236="TRUE"),1,0))</f>
        <v/>
      </c>
      <c r="AR236">
        <f>IF($E236="","",IF($AE236="Yes",1,0))</f>
        <v/>
      </c>
      <c r="AS236">
        <f>IF($AO236=1,IFERROR(IF(VALUE($E236)&lt;100000000,VALUE($E236),1000000000),IFERROR(IF(VALUE(MID($E236,2,20))&lt;100000000,VALUE(MID($E236,2,20)),1000000000),1000000000))+ROW()/100000,"")</f>
        <v/>
      </c>
    </row>
    <row r="237">
      <c r="D237">
        <f>IF($E237="","",IFERROR(IF(INDEX('Per Invoice'!$A$2:$A$301,MATCH($E237,'Per Invoice'!$B$2:$B$301,0))=0,"",INDEX('Per Invoice'!$A$2:$A$301,MATCH($E237,'Per Invoice'!$B$2:$B$301,0))),""))</f>
        <v/>
      </c>
      <c r="H237" s="11" t="n"/>
      <c r="R237" s="7">
        <f>IF($E237="","",Q237*Z237/100)</f>
        <v/>
      </c>
      <c r="S237" s="7" t="n"/>
      <c r="Y237" s="7" t="n"/>
      <c r="Z237" s="7" t="n"/>
      <c r="AA237" s="7">
        <f>IF($E237="","",Z237*AF237/100)</f>
        <v/>
      </c>
      <c r="AB237" s="7">
        <f>IF($E237="","",Z237-AA237)</f>
        <v/>
      </c>
      <c r="AC237" s="7">
        <f>IF($E237="","",AB237-R237)</f>
        <v/>
      </c>
      <c r="AF237">
        <f>IF($E237="","",IF($AR237=1,0,IF($AQ237=1,Settings!$C$6,Settings!$C$7))*100)</f>
        <v/>
      </c>
      <c r="AJ237" s="7" t="n"/>
      <c r="AM237" s="11" t="n"/>
      <c r="AO237">
        <f>IF($E237="","",IF(COUNTIF($E$2:$E237,$E237)=1,1,0))</f>
        <v/>
      </c>
      <c r="AP237">
        <f>IF($AO237=1,SUMPRODUCT(--($AS$2:$AS$1001&lt;$AS237))+1,"")</f>
        <v/>
      </c>
      <c r="AQ237">
        <f>IF($E237="","",IF(OR($V237=TRUE(),$V237="TRUE"),1,0))</f>
        <v/>
      </c>
      <c r="AR237">
        <f>IF($E237="","",IF($AE237="Yes",1,0))</f>
        <v/>
      </c>
      <c r="AS237">
        <f>IF($AO237=1,IFERROR(IF(VALUE($E237)&lt;100000000,VALUE($E237),1000000000),IFERROR(IF(VALUE(MID($E237,2,20))&lt;100000000,VALUE(MID($E237,2,20)),1000000000),1000000000))+ROW()/100000,"")</f>
        <v/>
      </c>
    </row>
    <row r="238">
      <c r="D238">
        <f>IF($E238="","",IFERROR(IF(INDEX('Per Invoice'!$A$2:$A$301,MATCH($E238,'Per Invoice'!$B$2:$B$301,0))=0,"",INDEX('Per Invoice'!$A$2:$A$301,MATCH($E238,'Per Invoice'!$B$2:$B$301,0))),""))</f>
        <v/>
      </c>
      <c r="H238" s="11" t="n"/>
      <c r="R238" s="7">
        <f>IF($E238="","",Q238*Z238/100)</f>
        <v/>
      </c>
      <c r="S238" s="7" t="n"/>
      <c r="Y238" s="7" t="n"/>
      <c r="Z238" s="7" t="n"/>
      <c r="AA238" s="7">
        <f>IF($E238="","",Z238*AF238/100)</f>
        <v/>
      </c>
      <c r="AB238" s="7">
        <f>IF($E238="","",Z238-AA238)</f>
        <v/>
      </c>
      <c r="AC238" s="7">
        <f>IF($E238="","",AB238-R238)</f>
        <v/>
      </c>
      <c r="AF238">
        <f>IF($E238="","",IF($AR238=1,0,IF($AQ238=1,Settings!$C$6,Settings!$C$7))*100)</f>
        <v/>
      </c>
      <c r="AJ238" s="7" t="n"/>
      <c r="AM238" s="11" t="n"/>
      <c r="AO238">
        <f>IF($E238="","",IF(COUNTIF($E$2:$E238,$E238)=1,1,0))</f>
        <v/>
      </c>
      <c r="AP238">
        <f>IF($AO238=1,SUMPRODUCT(--($AS$2:$AS$1001&lt;$AS238))+1,"")</f>
        <v/>
      </c>
      <c r="AQ238">
        <f>IF($E238="","",IF(OR($V238=TRUE(),$V238="TRUE"),1,0))</f>
        <v/>
      </c>
      <c r="AR238">
        <f>IF($E238="","",IF($AE238="Yes",1,0))</f>
        <v/>
      </c>
      <c r="AS238">
        <f>IF($AO238=1,IFERROR(IF(VALUE($E238)&lt;100000000,VALUE($E238),1000000000),IFERROR(IF(VALUE(MID($E238,2,20))&lt;100000000,VALUE(MID($E238,2,20)),1000000000),1000000000))+ROW()/100000,"")</f>
        <v/>
      </c>
    </row>
    <row r="239">
      <c r="D239">
        <f>IF($E239="","",IFERROR(IF(INDEX('Per Invoice'!$A$2:$A$301,MATCH($E239,'Per Invoice'!$B$2:$B$301,0))=0,"",INDEX('Per Invoice'!$A$2:$A$301,MATCH($E239,'Per Invoice'!$B$2:$B$301,0))),""))</f>
        <v/>
      </c>
      <c r="H239" s="11" t="n"/>
      <c r="R239" s="7">
        <f>IF($E239="","",Q239*Z239/100)</f>
        <v/>
      </c>
      <c r="S239" s="7" t="n"/>
      <c r="Y239" s="7" t="n"/>
      <c r="Z239" s="7" t="n"/>
      <c r="AA239" s="7">
        <f>IF($E239="","",Z239*AF239/100)</f>
        <v/>
      </c>
      <c r="AB239" s="7">
        <f>IF($E239="","",Z239-AA239)</f>
        <v/>
      </c>
      <c r="AC239" s="7">
        <f>IF($E239="","",AB239-R239)</f>
        <v/>
      </c>
      <c r="AF239">
        <f>IF($E239="","",IF($AR239=1,0,IF($AQ239=1,Settings!$C$6,Settings!$C$7))*100)</f>
        <v/>
      </c>
      <c r="AJ239" s="7" t="n"/>
      <c r="AM239" s="11" t="n"/>
      <c r="AO239">
        <f>IF($E239="","",IF(COUNTIF($E$2:$E239,$E239)=1,1,0))</f>
        <v/>
      </c>
      <c r="AP239">
        <f>IF($AO239=1,SUMPRODUCT(--($AS$2:$AS$1001&lt;$AS239))+1,"")</f>
        <v/>
      </c>
      <c r="AQ239">
        <f>IF($E239="","",IF(OR($V239=TRUE(),$V239="TRUE"),1,0))</f>
        <v/>
      </c>
      <c r="AR239">
        <f>IF($E239="","",IF($AE239="Yes",1,0))</f>
        <v/>
      </c>
      <c r="AS239">
        <f>IF($AO239=1,IFERROR(IF(VALUE($E239)&lt;100000000,VALUE($E239),1000000000),IFERROR(IF(VALUE(MID($E239,2,20))&lt;100000000,VALUE(MID($E239,2,20)),1000000000),1000000000))+ROW()/100000,"")</f>
        <v/>
      </c>
    </row>
    <row r="240">
      <c r="D240">
        <f>IF($E240="","",IFERROR(IF(INDEX('Per Invoice'!$A$2:$A$301,MATCH($E240,'Per Invoice'!$B$2:$B$301,0))=0,"",INDEX('Per Invoice'!$A$2:$A$301,MATCH($E240,'Per Invoice'!$B$2:$B$301,0))),""))</f>
        <v/>
      </c>
      <c r="H240" s="11" t="n"/>
      <c r="R240" s="7">
        <f>IF($E240="","",Q240*Z240/100)</f>
        <v/>
      </c>
      <c r="S240" s="7" t="n"/>
      <c r="Y240" s="7" t="n"/>
      <c r="Z240" s="7" t="n"/>
      <c r="AA240" s="7">
        <f>IF($E240="","",Z240*AF240/100)</f>
        <v/>
      </c>
      <c r="AB240" s="7">
        <f>IF($E240="","",Z240-AA240)</f>
        <v/>
      </c>
      <c r="AC240" s="7">
        <f>IF($E240="","",AB240-R240)</f>
        <v/>
      </c>
      <c r="AF240">
        <f>IF($E240="","",IF($AR240=1,0,IF($AQ240=1,Settings!$C$6,Settings!$C$7))*100)</f>
        <v/>
      </c>
      <c r="AJ240" s="7" t="n"/>
      <c r="AM240" s="11" t="n"/>
      <c r="AO240">
        <f>IF($E240="","",IF(COUNTIF($E$2:$E240,$E240)=1,1,0))</f>
        <v/>
      </c>
      <c r="AP240">
        <f>IF($AO240=1,SUMPRODUCT(--($AS$2:$AS$1001&lt;$AS240))+1,"")</f>
        <v/>
      </c>
      <c r="AQ240">
        <f>IF($E240="","",IF(OR($V240=TRUE(),$V240="TRUE"),1,0))</f>
        <v/>
      </c>
      <c r="AR240">
        <f>IF($E240="","",IF($AE240="Yes",1,0))</f>
        <v/>
      </c>
      <c r="AS240">
        <f>IF($AO240=1,IFERROR(IF(VALUE($E240)&lt;100000000,VALUE($E240),1000000000),IFERROR(IF(VALUE(MID($E240,2,20))&lt;100000000,VALUE(MID($E240,2,20)),1000000000),1000000000))+ROW()/100000,"")</f>
        <v/>
      </c>
    </row>
    <row r="241">
      <c r="D241">
        <f>IF($E241="","",IFERROR(IF(INDEX('Per Invoice'!$A$2:$A$301,MATCH($E241,'Per Invoice'!$B$2:$B$301,0))=0,"",INDEX('Per Invoice'!$A$2:$A$301,MATCH($E241,'Per Invoice'!$B$2:$B$301,0))),""))</f>
        <v/>
      </c>
      <c r="H241" s="11" t="n"/>
      <c r="R241" s="7">
        <f>IF($E241="","",Q241*Z241/100)</f>
        <v/>
      </c>
      <c r="S241" s="7" t="n"/>
      <c r="Y241" s="7" t="n"/>
      <c r="Z241" s="7" t="n"/>
      <c r="AA241" s="7">
        <f>IF($E241="","",Z241*AF241/100)</f>
        <v/>
      </c>
      <c r="AB241" s="7">
        <f>IF($E241="","",Z241-AA241)</f>
        <v/>
      </c>
      <c r="AC241" s="7">
        <f>IF($E241="","",AB241-R241)</f>
        <v/>
      </c>
      <c r="AF241">
        <f>IF($E241="","",IF($AR241=1,0,IF($AQ241=1,Settings!$C$6,Settings!$C$7))*100)</f>
        <v/>
      </c>
      <c r="AJ241" s="7" t="n"/>
      <c r="AM241" s="11" t="n"/>
      <c r="AO241">
        <f>IF($E241="","",IF(COUNTIF($E$2:$E241,$E241)=1,1,0))</f>
        <v/>
      </c>
      <c r="AP241">
        <f>IF($AO241=1,SUMPRODUCT(--($AS$2:$AS$1001&lt;$AS241))+1,"")</f>
        <v/>
      </c>
      <c r="AQ241">
        <f>IF($E241="","",IF(OR($V241=TRUE(),$V241="TRUE"),1,0))</f>
        <v/>
      </c>
      <c r="AR241">
        <f>IF($E241="","",IF($AE241="Yes",1,0))</f>
        <v/>
      </c>
      <c r="AS241">
        <f>IF($AO241=1,IFERROR(IF(VALUE($E241)&lt;100000000,VALUE($E241),1000000000),IFERROR(IF(VALUE(MID($E241,2,20))&lt;100000000,VALUE(MID($E241,2,20)),1000000000),1000000000))+ROW()/100000,"")</f>
        <v/>
      </c>
    </row>
    <row r="242">
      <c r="D242">
        <f>IF($E242="","",IFERROR(IF(INDEX('Per Invoice'!$A$2:$A$301,MATCH($E242,'Per Invoice'!$B$2:$B$301,0))=0,"",INDEX('Per Invoice'!$A$2:$A$301,MATCH($E242,'Per Invoice'!$B$2:$B$301,0))),""))</f>
        <v/>
      </c>
      <c r="H242" s="11" t="n"/>
      <c r="R242" s="7">
        <f>IF($E242="","",Q242*Z242/100)</f>
        <v/>
      </c>
      <c r="S242" s="7" t="n"/>
      <c r="Y242" s="7" t="n"/>
      <c r="Z242" s="7" t="n"/>
      <c r="AA242" s="7">
        <f>IF($E242="","",Z242*AF242/100)</f>
        <v/>
      </c>
      <c r="AB242" s="7">
        <f>IF($E242="","",Z242-AA242)</f>
        <v/>
      </c>
      <c r="AC242" s="7">
        <f>IF($E242="","",AB242-R242)</f>
        <v/>
      </c>
      <c r="AF242">
        <f>IF($E242="","",IF($AR242=1,0,IF($AQ242=1,Settings!$C$6,Settings!$C$7))*100)</f>
        <v/>
      </c>
      <c r="AJ242" s="7" t="n"/>
      <c r="AM242" s="11" t="n"/>
      <c r="AO242">
        <f>IF($E242="","",IF(COUNTIF($E$2:$E242,$E242)=1,1,0))</f>
        <v/>
      </c>
      <c r="AP242">
        <f>IF($AO242=1,SUMPRODUCT(--($AS$2:$AS$1001&lt;$AS242))+1,"")</f>
        <v/>
      </c>
      <c r="AQ242">
        <f>IF($E242="","",IF(OR($V242=TRUE(),$V242="TRUE"),1,0))</f>
        <v/>
      </c>
      <c r="AR242">
        <f>IF($E242="","",IF($AE242="Yes",1,0))</f>
        <v/>
      </c>
      <c r="AS242">
        <f>IF($AO242=1,IFERROR(IF(VALUE($E242)&lt;100000000,VALUE($E242),1000000000),IFERROR(IF(VALUE(MID($E242,2,20))&lt;100000000,VALUE(MID($E242,2,20)),1000000000),1000000000))+ROW()/100000,"")</f>
        <v/>
      </c>
    </row>
    <row r="243">
      <c r="D243">
        <f>IF($E243="","",IFERROR(IF(INDEX('Per Invoice'!$A$2:$A$301,MATCH($E243,'Per Invoice'!$B$2:$B$301,0))=0,"",INDEX('Per Invoice'!$A$2:$A$301,MATCH($E243,'Per Invoice'!$B$2:$B$301,0))),""))</f>
        <v/>
      </c>
      <c r="H243" s="11" t="n"/>
      <c r="R243" s="7">
        <f>IF($E243="","",Q243*Z243/100)</f>
        <v/>
      </c>
      <c r="S243" s="7" t="n"/>
      <c r="Y243" s="7" t="n"/>
      <c r="Z243" s="7" t="n"/>
      <c r="AA243" s="7">
        <f>IF($E243="","",Z243*AF243/100)</f>
        <v/>
      </c>
      <c r="AB243" s="7">
        <f>IF($E243="","",Z243-AA243)</f>
        <v/>
      </c>
      <c r="AC243" s="7">
        <f>IF($E243="","",AB243-R243)</f>
        <v/>
      </c>
      <c r="AF243">
        <f>IF($E243="","",IF($AR243=1,0,IF($AQ243=1,Settings!$C$6,Settings!$C$7))*100)</f>
        <v/>
      </c>
      <c r="AJ243" s="7" t="n"/>
      <c r="AM243" s="11" t="n"/>
      <c r="AO243">
        <f>IF($E243="","",IF(COUNTIF($E$2:$E243,$E243)=1,1,0))</f>
        <v/>
      </c>
      <c r="AP243">
        <f>IF($AO243=1,SUMPRODUCT(--($AS$2:$AS$1001&lt;$AS243))+1,"")</f>
        <v/>
      </c>
      <c r="AQ243">
        <f>IF($E243="","",IF(OR($V243=TRUE(),$V243="TRUE"),1,0))</f>
        <v/>
      </c>
      <c r="AR243">
        <f>IF($E243="","",IF($AE243="Yes",1,0))</f>
        <v/>
      </c>
      <c r="AS243">
        <f>IF($AO243=1,IFERROR(IF(VALUE($E243)&lt;100000000,VALUE($E243),1000000000),IFERROR(IF(VALUE(MID($E243,2,20))&lt;100000000,VALUE(MID($E243,2,20)),1000000000),1000000000))+ROW()/100000,"")</f>
        <v/>
      </c>
    </row>
    <row r="244">
      <c r="D244">
        <f>IF($E244="","",IFERROR(IF(INDEX('Per Invoice'!$A$2:$A$301,MATCH($E244,'Per Invoice'!$B$2:$B$301,0))=0,"",INDEX('Per Invoice'!$A$2:$A$301,MATCH($E244,'Per Invoice'!$B$2:$B$301,0))),""))</f>
        <v/>
      </c>
      <c r="H244" s="11" t="n"/>
      <c r="R244" s="7">
        <f>IF($E244="","",Q244*Z244/100)</f>
        <v/>
      </c>
      <c r="S244" s="7" t="n"/>
      <c r="Y244" s="7" t="n"/>
      <c r="Z244" s="7" t="n"/>
      <c r="AA244" s="7">
        <f>IF($E244="","",Z244*AF244/100)</f>
        <v/>
      </c>
      <c r="AB244" s="7">
        <f>IF($E244="","",Z244-AA244)</f>
        <v/>
      </c>
      <c r="AC244" s="7">
        <f>IF($E244="","",AB244-R244)</f>
        <v/>
      </c>
      <c r="AF244">
        <f>IF($E244="","",IF($AR244=1,0,IF($AQ244=1,Settings!$C$6,Settings!$C$7))*100)</f>
        <v/>
      </c>
      <c r="AJ244" s="7" t="n"/>
      <c r="AM244" s="11" t="n"/>
      <c r="AO244">
        <f>IF($E244="","",IF(COUNTIF($E$2:$E244,$E244)=1,1,0))</f>
        <v/>
      </c>
      <c r="AP244">
        <f>IF($AO244=1,SUMPRODUCT(--($AS$2:$AS$1001&lt;$AS244))+1,"")</f>
        <v/>
      </c>
      <c r="AQ244">
        <f>IF($E244="","",IF(OR($V244=TRUE(),$V244="TRUE"),1,0))</f>
        <v/>
      </c>
      <c r="AR244">
        <f>IF($E244="","",IF($AE244="Yes",1,0))</f>
        <v/>
      </c>
      <c r="AS244">
        <f>IF($AO244=1,IFERROR(IF(VALUE($E244)&lt;100000000,VALUE($E244),1000000000),IFERROR(IF(VALUE(MID($E244,2,20))&lt;100000000,VALUE(MID($E244,2,20)),1000000000),1000000000))+ROW()/100000,"")</f>
        <v/>
      </c>
    </row>
    <row r="245">
      <c r="D245">
        <f>IF($E245="","",IFERROR(IF(INDEX('Per Invoice'!$A$2:$A$301,MATCH($E245,'Per Invoice'!$B$2:$B$301,0))=0,"",INDEX('Per Invoice'!$A$2:$A$301,MATCH($E245,'Per Invoice'!$B$2:$B$301,0))),""))</f>
        <v/>
      </c>
      <c r="H245" s="11" t="n"/>
      <c r="R245" s="7">
        <f>IF($E245="","",Q245*Z245/100)</f>
        <v/>
      </c>
      <c r="S245" s="7" t="n"/>
      <c r="Y245" s="7" t="n"/>
      <c r="Z245" s="7" t="n"/>
      <c r="AA245" s="7">
        <f>IF($E245="","",Z245*AF245/100)</f>
        <v/>
      </c>
      <c r="AB245" s="7">
        <f>IF($E245="","",Z245-AA245)</f>
        <v/>
      </c>
      <c r="AC245" s="7">
        <f>IF($E245="","",AB245-R245)</f>
        <v/>
      </c>
      <c r="AF245">
        <f>IF($E245="","",IF($AR245=1,0,IF($AQ245=1,Settings!$C$6,Settings!$C$7))*100)</f>
        <v/>
      </c>
      <c r="AJ245" s="7" t="n"/>
      <c r="AM245" s="11" t="n"/>
      <c r="AO245">
        <f>IF($E245="","",IF(COUNTIF($E$2:$E245,$E245)=1,1,0))</f>
        <v/>
      </c>
      <c r="AP245">
        <f>IF($AO245=1,SUMPRODUCT(--($AS$2:$AS$1001&lt;$AS245))+1,"")</f>
        <v/>
      </c>
      <c r="AQ245">
        <f>IF($E245="","",IF(OR($V245=TRUE(),$V245="TRUE"),1,0))</f>
        <v/>
      </c>
      <c r="AR245">
        <f>IF($E245="","",IF($AE245="Yes",1,0))</f>
        <v/>
      </c>
      <c r="AS245">
        <f>IF($AO245=1,IFERROR(IF(VALUE($E245)&lt;100000000,VALUE($E245),1000000000),IFERROR(IF(VALUE(MID($E245,2,20))&lt;100000000,VALUE(MID($E245,2,20)),1000000000),1000000000))+ROW()/100000,"")</f>
        <v/>
      </c>
    </row>
    <row r="246">
      <c r="D246">
        <f>IF($E246="","",IFERROR(IF(INDEX('Per Invoice'!$A$2:$A$301,MATCH($E246,'Per Invoice'!$B$2:$B$301,0))=0,"",INDEX('Per Invoice'!$A$2:$A$301,MATCH($E246,'Per Invoice'!$B$2:$B$301,0))),""))</f>
        <v/>
      </c>
      <c r="H246" s="11" t="n"/>
      <c r="R246" s="7">
        <f>IF($E246="","",Q246*Z246/100)</f>
        <v/>
      </c>
      <c r="S246" s="7" t="n"/>
      <c r="Y246" s="7" t="n"/>
      <c r="Z246" s="7" t="n"/>
      <c r="AA246" s="7">
        <f>IF($E246="","",Z246*AF246/100)</f>
        <v/>
      </c>
      <c r="AB246" s="7">
        <f>IF($E246="","",Z246-AA246)</f>
        <v/>
      </c>
      <c r="AC246" s="7">
        <f>IF($E246="","",AB246-R246)</f>
        <v/>
      </c>
      <c r="AF246">
        <f>IF($E246="","",IF($AR246=1,0,IF($AQ246=1,Settings!$C$6,Settings!$C$7))*100)</f>
        <v/>
      </c>
      <c r="AJ246" s="7" t="n"/>
      <c r="AM246" s="11" t="n"/>
      <c r="AO246">
        <f>IF($E246="","",IF(COUNTIF($E$2:$E246,$E246)=1,1,0))</f>
        <v/>
      </c>
      <c r="AP246">
        <f>IF($AO246=1,SUMPRODUCT(--($AS$2:$AS$1001&lt;$AS246))+1,"")</f>
        <v/>
      </c>
      <c r="AQ246">
        <f>IF($E246="","",IF(OR($V246=TRUE(),$V246="TRUE"),1,0))</f>
        <v/>
      </c>
      <c r="AR246">
        <f>IF($E246="","",IF($AE246="Yes",1,0))</f>
        <v/>
      </c>
      <c r="AS246">
        <f>IF($AO246=1,IFERROR(IF(VALUE($E246)&lt;100000000,VALUE($E246),1000000000),IFERROR(IF(VALUE(MID($E246,2,20))&lt;100000000,VALUE(MID($E246,2,20)),1000000000),1000000000))+ROW()/100000,"")</f>
        <v/>
      </c>
    </row>
    <row r="247">
      <c r="D247">
        <f>IF($E247="","",IFERROR(IF(INDEX('Per Invoice'!$A$2:$A$301,MATCH($E247,'Per Invoice'!$B$2:$B$301,0))=0,"",INDEX('Per Invoice'!$A$2:$A$301,MATCH($E247,'Per Invoice'!$B$2:$B$301,0))),""))</f>
        <v/>
      </c>
      <c r="H247" s="11" t="n"/>
      <c r="R247" s="7">
        <f>IF($E247="","",Q247*Z247/100)</f>
        <v/>
      </c>
      <c r="S247" s="7" t="n"/>
      <c r="Y247" s="7" t="n"/>
      <c r="Z247" s="7" t="n"/>
      <c r="AA247" s="7">
        <f>IF($E247="","",Z247*AF247/100)</f>
        <v/>
      </c>
      <c r="AB247" s="7">
        <f>IF($E247="","",Z247-AA247)</f>
        <v/>
      </c>
      <c r="AC247" s="7">
        <f>IF($E247="","",AB247-R247)</f>
        <v/>
      </c>
      <c r="AF247">
        <f>IF($E247="","",IF($AR247=1,0,IF($AQ247=1,Settings!$C$6,Settings!$C$7))*100)</f>
        <v/>
      </c>
      <c r="AJ247" s="7" t="n"/>
      <c r="AM247" s="11" t="n"/>
      <c r="AO247">
        <f>IF($E247="","",IF(COUNTIF($E$2:$E247,$E247)=1,1,0))</f>
        <v/>
      </c>
      <c r="AP247">
        <f>IF($AO247=1,SUMPRODUCT(--($AS$2:$AS$1001&lt;$AS247))+1,"")</f>
        <v/>
      </c>
      <c r="AQ247">
        <f>IF($E247="","",IF(OR($V247=TRUE(),$V247="TRUE"),1,0))</f>
        <v/>
      </c>
      <c r="AR247">
        <f>IF($E247="","",IF($AE247="Yes",1,0))</f>
        <v/>
      </c>
      <c r="AS247">
        <f>IF($AO247=1,IFERROR(IF(VALUE($E247)&lt;100000000,VALUE($E247),1000000000),IFERROR(IF(VALUE(MID($E247,2,20))&lt;100000000,VALUE(MID($E247,2,20)),1000000000),1000000000))+ROW()/100000,"")</f>
        <v/>
      </c>
    </row>
    <row r="248">
      <c r="D248">
        <f>IF($E248="","",IFERROR(IF(INDEX('Per Invoice'!$A$2:$A$301,MATCH($E248,'Per Invoice'!$B$2:$B$301,0))=0,"",INDEX('Per Invoice'!$A$2:$A$301,MATCH($E248,'Per Invoice'!$B$2:$B$301,0))),""))</f>
        <v/>
      </c>
      <c r="H248" s="11" t="n"/>
      <c r="R248" s="7">
        <f>IF($E248="","",Q248*Z248/100)</f>
        <v/>
      </c>
      <c r="S248" s="7" t="n"/>
      <c r="Y248" s="7" t="n"/>
      <c r="Z248" s="7" t="n"/>
      <c r="AA248" s="7">
        <f>IF($E248="","",Z248*AF248/100)</f>
        <v/>
      </c>
      <c r="AB248" s="7">
        <f>IF($E248="","",Z248-AA248)</f>
        <v/>
      </c>
      <c r="AC248" s="7">
        <f>IF($E248="","",AB248-R248)</f>
        <v/>
      </c>
      <c r="AF248">
        <f>IF($E248="","",IF($AR248=1,0,IF($AQ248=1,Settings!$C$6,Settings!$C$7))*100)</f>
        <v/>
      </c>
      <c r="AJ248" s="7" t="n"/>
      <c r="AM248" s="11" t="n"/>
      <c r="AO248">
        <f>IF($E248="","",IF(COUNTIF($E$2:$E248,$E248)=1,1,0))</f>
        <v/>
      </c>
      <c r="AP248">
        <f>IF($AO248=1,SUMPRODUCT(--($AS$2:$AS$1001&lt;$AS248))+1,"")</f>
        <v/>
      </c>
      <c r="AQ248">
        <f>IF($E248="","",IF(OR($V248=TRUE(),$V248="TRUE"),1,0))</f>
        <v/>
      </c>
      <c r="AR248">
        <f>IF($E248="","",IF($AE248="Yes",1,0))</f>
        <v/>
      </c>
      <c r="AS248">
        <f>IF($AO248=1,IFERROR(IF(VALUE($E248)&lt;100000000,VALUE($E248),1000000000),IFERROR(IF(VALUE(MID($E248,2,20))&lt;100000000,VALUE(MID($E248,2,20)),1000000000),1000000000))+ROW()/100000,"")</f>
        <v/>
      </c>
    </row>
    <row r="249">
      <c r="D249">
        <f>IF($E249="","",IFERROR(IF(INDEX('Per Invoice'!$A$2:$A$301,MATCH($E249,'Per Invoice'!$B$2:$B$301,0))=0,"",INDEX('Per Invoice'!$A$2:$A$301,MATCH($E249,'Per Invoice'!$B$2:$B$301,0))),""))</f>
        <v/>
      </c>
      <c r="H249" s="11" t="n"/>
      <c r="R249" s="7">
        <f>IF($E249="","",Q249*Z249/100)</f>
        <v/>
      </c>
      <c r="S249" s="7" t="n"/>
      <c r="Y249" s="7" t="n"/>
      <c r="Z249" s="7" t="n"/>
      <c r="AA249" s="7">
        <f>IF($E249="","",Z249*AF249/100)</f>
        <v/>
      </c>
      <c r="AB249" s="7">
        <f>IF($E249="","",Z249-AA249)</f>
        <v/>
      </c>
      <c r="AC249" s="7">
        <f>IF($E249="","",AB249-R249)</f>
        <v/>
      </c>
      <c r="AF249">
        <f>IF($E249="","",IF($AR249=1,0,IF($AQ249=1,Settings!$C$6,Settings!$C$7))*100)</f>
        <v/>
      </c>
      <c r="AJ249" s="7" t="n"/>
      <c r="AM249" s="11" t="n"/>
      <c r="AO249">
        <f>IF($E249="","",IF(COUNTIF($E$2:$E249,$E249)=1,1,0))</f>
        <v/>
      </c>
      <c r="AP249">
        <f>IF($AO249=1,SUMPRODUCT(--($AS$2:$AS$1001&lt;$AS249))+1,"")</f>
        <v/>
      </c>
      <c r="AQ249">
        <f>IF($E249="","",IF(OR($V249=TRUE(),$V249="TRUE"),1,0))</f>
        <v/>
      </c>
      <c r="AR249">
        <f>IF($E249="","",IF($AE249="Yes",1,0))</f>
        <v/>
      </c>
      <c r="AS249">
        <f>IF($AO249=1,IFERROR(IF(VALUE($E249)&lt;100000000,VALUE($E249),1000000000),IFERROR(IF(VALUE(MID($E249,2,20))&lt;100000000,VALUE(MID($E249,2,20)),1000000000),1000000000))+ROW()/100000,"")</f>
        <v/>
      </c>
    </row>
    <row r="250">
      <c r="D250">
        <f>IF($E250="","",IFERROR(IF(INDEX('Per Invoice'!$A$2:$A$301,MATCH($E250,'Per Invoice'!$B$2:$B$301,0))=0,"",INDEX('Per Invoice'!$A$2:$A$301,MATCH($E250,'Per Invoice'!$B$2:$B$301,0))),""))</f>
        <v/>
      </c>
      <c r="H250" s="11" t="n"/>
      <c r="R250" s="7">
        <f>IF($E250="","",Q250*Z250/100)</f>
        <v/>
      </c>
      <c r="S250" s="7" t="n"/>
      <c r="Y250" s="7" t="n"/>
      <c r="Z250" s="7" t="n"/>
      <c r="AA250" s="7">
        <f>IF($E250="","",Z250*AF250/100)</f>
        <v/>
      </c>
      <c r="AB250" s="7">
        <f>IF($E250="","",Z250-AA250)</f>
        <v/>
      </c>
      <c r="AC250" s="7">
        <f>IF($E250="","",AB250-R250)</f>
        <v/>
      </c>
      <c r="AF250">
        <f>IF($E250="","",IF($AR250=1,0,IF($AQ250=1,Settings!$C$6,Settings!$C$7))*100)</f>
        <v/>
      </c>
      <c r="AJ250" s="7" t="n"/>
      <c r="AM250" s="11" t="n"/>
      <c r="AO250">
        <f>IF($E250="","",IF(COUNTIF($E$2:$E250,$E250)=1,1,0))</f>
        <v/>
      </c>
      <c r="AP250">
        <f>IF($AO250=1,SUMPRODUCT(--($AS$2:$AS$1001&lt;$AS250))+1,"")</f>
        <v/>
      </c>
      <c r="AQ250">
        <f>IF($E250="","",IF(OR($V250=TRUE(),$V250="TRUE"),1,0))</f>
        <v/>
      </c>
      <c r="AR250">
        <f>IF($E250="","",IF($AE250="Yes",1,0))</f>
        <v/>
      </c>
      <c r="AS250">
        <f>IF($AO250=1,IFERROR(IF(VALUE($E250)&lt;100000000,VALUE($E250),1000000000),IFERROR(IF(VALUE(MID($E250,2,20))&lt;100000000,VALUE(MID($E250,2,20)),1000000000),1000000000))+ROW()/100000,"")</f>
        <v/>
      </c>
    </row>
    <row r="251">
      <c r="D251">
        <f>IF($E251="","",IFERROR(IF(INDEX('Per Invoice'!$A$2:$A$301,MATCH($E251,'Per Invoice'!$B$2:$B$301,0))=0,"",INDEX('Per Invoice'!$A$2:$A$301,MATCH($E251,'Per Invoice'!$B$2:$B$301,0))),""))</f>
        <v/>
      </c>
      <c r="H251" s="11" t="n"/>
      <c r="R251" s="7">
        <f>IF($E251="","",Q251*Z251/100)</f>
        <v/>
      </c>
      <c r="S251" s="7" t="n"/>
      <c r="Y251" s="7" t="n"/>
      <c r="Z251" s="7" t="n"/>
      <c r="AA251" s="7">
        <f>IF($E251="","",Z251*AF251/100)</f>
        <v/>
      </c>
      <c r="AB251" s="7">
        <f>IF($E251="","",Z251-AA251)</f>
        <v/>
      </c>
      <c r="AC251" s="7">
        <f>IF($E251="","",AB251-R251)</f>
        <v/>
      </c>
      <c r="AF251">
        <f>IF($E251="","",IF($AR251=1,0,IF($AQ251=1,Settings!$C$6,Settings!$C$7))*100)</f>
        <v/>
      </c>
      <c r="AJ251" s="7" t="n"/>
      <c r="AM251" s="11" t="n"/>
      <c r="AO251">
        <f>IF($E251="","",IF(COUNTIF($E$2:$E251,$E251)=1,1,0))</f>
        <v/>
      </c>
      <c r="AP251">
        <f>IF($AO251=1,SUMPRODUCT(--($AS$2:$AS$1001&lt;$AS251))+1,"")</f>
        <v/>
      </c>
      <c r="AQ251">
        <f>IF($E251="","",IF(OR($V251=TRUE(),$V251="TRUE"),1,0))</f>
        <v/>
      </c>
      <c r="AR251">
        <f>IF($E251="","",IF($AE251="Yes",1,0))</f>
        <v/>
      </c>
      <c r="AS251">
        <f>IF($AO251=1,IFERROR(IF(VALUE($E251)&lt;100000000,VALUE($E251),1000000000),IFERROR(IF(VALUE(MID($E251,2,20))&lt;100000000,VALUE(MID($E251,2,20)),1000000000),1000000000))+ROW()/100000,"")</f>
        <v/>
      </c>
    </row>
    <row r="252">
      <c r="D252">
        <f>IF($E252="","",IFERROR(IF(INDEX('Per Invoice'!$A$2:$A$301,MATCH($E252,'Per Invoice'!$B$2:$B$301,0))=0,"",INDEX('Per Invoice'!$A$2:$A$301,MATCH($E252,'Per Invoice'!$B$2:$B$301,0))),""))</f>
        <v/>
      </c>
      <c r="H252" s="11" t="n"/>
      <c r="R252" s="7">
        <f>IF($E252="","",Q252*Z252/100)</f>
        <v/>
      </c>
      <c r="S252" s="7" t="n"/>
      <c r="Y252" s="7" t="n"/>
      <c r="Z252" s="7" t="n"/>
      <c r="AA252" s="7">
        <f>IF($E252="","",Z252*AF252/100)</f>
        <v/>
      </c>
      <c r="AB252" s="7">
        <f>IF($E252="","",Z252-AA252)</f>
        <v/>
      </c>
      <c r="AC252" s="7">
        <f>IF($E252="","",AB252-R252)</f>
        <v/>
      </c>
      <c r="AF252">
        <f>IF($E252="","",IF($AR252=1,0,IF($AQ252=1,Settings!$C$6,Settings!$C$7))*100)</f>
        <v/>
      </c>
      <c r="AJ252" s="7" t="n"/>
      <c r="AM252" s="11" t="n"/>
      <c r="AO252">
        <f>IF($E252="","",IF(COUNTIF($E$2:$E252,$E252)=1,1,0))</f>
        <v/>
      </c>
      <c r="AP252">
        <f>IF($AO252=1,SUMPRODUCT(--($AS$2:$AS$1001&lt;$AS252))+1,"")</f>
        <v/>
      </c>
      <c r="AQ252">
        <f>IF($E252="","",IF(OR($V252=TRUE(),$V252="TRUE"),1,0))</f>
        <v/>
      </c>
      <c r="AR252">
        <f>IF($E252="","",IF($AE252="Yes",1,0))</f>
        <v/>
      </c>
      <c r="AS252">
        <f>IF($AO252=1,IFERROR(IF(VALUE($E252)&lt;100000000,VALUE($E252),1000000000),IFERROR(IF(VALUE(MID($E252,2,20))&lt;100000000,VALUE(MID($E252,2,20)),1000000000),1000000000))+ROW()/100000,"")</f>
        <v/>
      </c>
    </row>
    <row r="253">
      <c r="D253">
        <f>IF($E253="","",IFERROR(IF(INDEX('Per Invoice'!$A$2:$A$301,MATCH($E253,'Per Invoice'!$B$2:$B$301,0))=0,"",INDEX('Per Invoice'!$A$2:$A$301,MATCH($E253,'Per Invoice'!$B$2:$B$301,0))),""))</f>
        <v/>
      </c>
      <c r="H253" s="11" t="n"/>
      <c r="R253" s="7">
        <f>IF($E253="","",Q253*Z253/100)</f>
        <v/>
      </c>
      <c r="S253" s="7" t="n"/>
      <c r="Y253" s="7" t="n"/>
      <c r="Z253" s="7" t="n"/>
      <c r="AA253" s="7">
        <f>IF($E253="","",Z253*AF253/100)</f>
        <v/>
      </c>
      <c r="AB253" s="7">
        <f>IF($E253="","",Z253-AA253)</f>
        <v/>
      </c>
      <c r="AC253" s="7">
        <f>IF($E253="","",AB253-R253)</f>
        <v/>
      </c>
      <c r="AF253">
        <f>IF($E253="","",IF($AR253=1,0,IF($AQ253=1,Settings!$C$6,Settings!$C$7))*100)</f>
        <v/>
      </c>
      <c r="AJ253" s="7" t="n"/>
      <c r="AM253" s="11" t="n"/>
      <c r="AO253">
        <f>IF($E253="","",IF(COUNTIF($E$2:$E253,$E253)=1,1,0))</f>
        <v/>
      </c>
      <c r="AP253">
        <f>IF($AO253=1,SUMPRODUCT(--($AS$2:$AS$1001&lt;$AS253))+1,"")</f>
        <v/>
      </c>
      <c r="AQ253">
        <f>IF($E253="","",IF(OR($V253=TRUE(),$V253="TRUE"),1,0))</f>
        <v/>
      </c>
      <c r="AR253">
        <f>IF($E253="","",IF($AE253="Yes",1,0))</f>
        <v/>
      </c>
      <c r="AS253">
        <f>IF($AO253=1,IFERROR(IF(VALUE($E253)&lt;100000000,VALUE($E253),1000000000),IFERROR(IF(VALUE(MID($E253,2,20))&lt;100000000,VALUE(MID($E253,2,20)),1000000000),1000000000))+ROW()/100000,"")</f>
        <v/>
      </c>
    </row>
    <row r="254">
      <c r="D254">
        <f>IF($E254="","",IFERROR(IF(INDEX('Per Invoice'!$A$2:$A$301,MATCH($E254,'Per Invoice'!$B$2:$B$301,0))=0,"",INDEX('Per Invoice'!$A$2:$A$301,MATCH($E254,'Per Invoice'!$B$2:$B$301,0))),""))</f>
        <v/>
      </c>
      <c r="H254" s="11" t="n"/>
      <c r="R254" s="7">
        <f>IF($E254="","",Q254*Z254/100)</f>
        <v/>
      </c>
      <c r="S254" s="7" t="n"/>
      <c r="Y254" s="7" t="n"/>
      <c r="Z254" s="7" t="n"/>
      <c r="AA254" s="7">
        <f>IF($E254="","",Z254*AF254/100)</f>
        <v/>
      </c>
      <c r="AB254" s="7">
        <f>IF($E254="","",Z254-AA254)</f>
        <v/>
      </c>
      <c r="AC254" s="7">
        <f>IF($E254="","",AB254-R254)</f>
        <v/>
      </c>
      <c r="AF254">
        <f>IF($E254="","",IF($AR254=1,0,IF($AQ254=1,Settings!$C$6,Settings!$C$7))*100)</f>
        <v/>
      </c>
      <c r="AJ254" s="7" t="n"/>
      <c r="AM254" s="11" t="n"/>
      <c r="AO254">
        <f>IF($E254="","",IF(COUNTIF($E$2:$E254,$E254)=1,1,0))</f>
        <v/>
      </c>
      <c r="AP254">
        <f>IF($AO254=1,SUMPRODUCT(--($AS$2:$AS$1001&lt;$AS254))+1,"")</f>
        <v/>
      </c>
      <c r="AQ254">
        <f>IF($E254="","",IF(OR($V254=TRUE(),$V254="TRUE"),1,0))</f>
        <v/>
      </c>
      <c r="AR254">
        <f>IF($E254="","",IF($AE254="Yes",1,0))</f>
        <v/>
      </c>
      <c r="AS254">
        <f>IF($AO254=1,IFERROR(IF(VALUE($E254)&lt;100000000,VALUE($E254),1000000000),IFERROR(IF(VALUE(MID($E254,2,20))&lt;100000000,VALUE(MID($E254,2,20)),1000000000),1000000000))+ROW()/100000,"")</f>
        <v/>
      </c>
    </row>
    <row r="255">
      <c r="D255">
        <f>IF($E255="","",IFERROR(IF(INDEX('Per Invoice'!$A$2:$A$301,MATCH($E255,'Per Invoice'!$B$2:$B$301,0))=0,"",INDEX('Per Invoice'!$A$2:$A$301,MATCH($E255,'Per Invoice'!$B$2:$B$301,0))),""))</f>
        <v/>
      </c>
      <c r="H255" s="11" t="n"/>
      <c r="R255" s="7">
        <f>IF($E255="","",Q255*Z255/100)</f>
        <v/>
      </c>
      <c r="S255" s="7" t="n"/>
      <c r="Y255" s="7" t="n"/>
      <c r="Z255" s="7" t="n"/>
      <c r="AA255" s="7">
        <f>IF($E255="","",Z255*AF255/100)</f>
        <v/>
      </c>
      <c r="AB255" s="7">
        <f>IF($E255="","",Z255-AA255)</f>
        <v/>
      </c>
      <c r="AC255" s="7">
        <f>IF($E255="","",AB255-R255)</f>
        <v/>
      </c>
      <c r="AF255">
        <f>IF($E255="","",IF($AR255=1,0,IF($AQ255=1,Settings!$C$6,Settings!$C$7))*100)</f>
        <v/>
      </c>
      <c r="AJ255" s="7" t="n"/>
      <c r="AM255" s="11" t="n"/>
      <c r="AO255">
        <f>IF($E255="","",IF(COUNTIF($E$2:$E255,$E255)=1,1,0))</f>
        <v/>
      </c>
      <c r="AP255">
        <f>IF($AO255=1,SUMPRODUCT(--($AS$2:$AS$1001&lt;$AS255))+1,"")</f>
        <v/>
      </c>
      <c r="AQ255">
        <f>IF($E255="","",IF(OR($V255=TRUE(),$V255="TRUE"),1,0))</f>
        <v/>
      </c>
      <c r="AR255">
        <f>IF($E255="","",IF($AE255="Yes",1,0))</f>
        <v/>
      </c>
      <c r="AS255">
        <f>IF($AO255=1,IFERROR(IF(VALUE($E255)&lt;100000000,VALUE($E255),1000000000),IFERROR(IF(VALUE(MID($E255,2,20))&lt;100000000,VALUE(MID($E255,2,20)),1000000000),1000000000))+ROW()/100000,"")</f>
        <v/>
      </c>
    </row>
    <row r="256">
      <c r="D256">
        <f>IF($E256="","",IFERROR(IF(INDEX('Per Invoice'!$A$2:$A$301,MATCH($E256,'Per Invoice'!$B$2:$B$301,0))=0,"",INDEX('Per Invoice'!$A$2:$A$301,MATCH($E256,'Per Invoice'!$B$2:$B$301,0))),""))</f>
        <v/>
      </c>
      <c r="H256" s="11" t="n"/>
      <c r="R256" s="7">
        <f>IF($E256="","",Q256*Z256/100)</f>
        <v/>
      </c>
      <c r="S256" s="7" t="n"/>
      <c r="Y256" s="7" t="n"/>
      <c r="Z256" s="7" t="n"/>
      <c r="AA256" s="7">
        <f>IF($E256="","",Z256*AF256/100)</f>
        <v/>
      </c>
      <c r="AB256" s="7">
        <f>IF($E256="","",Z256-AA256)</f>
        <v/>
      </c>
      <c r="AC256" s="7">
        <f>IF($E256="","",AB256-R256)</f>
        <v/>
      </c>
      <c r="AF256">
        <f>IF($E256="","",IF($AR256=1,0,IF($AQ256=1,Settings!$C$6,Settings!$C$7))*100)</f>
        <v/>
      </c>
      <c r="AJ256" s="7" t="n"/>
      <c r="AM256" s="11" t="n"/>
      <c r="AO256">
        <f>IF($E256="","",IF(COUNTIF($E$2:$E256,$E256)=1,1,0))</f>
        <v/>
      </c>
      <c r="AP256">
        <f>IF($AO256=1,SUMPRODUCT(--($AS$2:$AS$1001&lt;$AS256))+1,"")</f>
        <v/>
      </c>
      <c r="AQ256">
        <f>IF($E256="","",IF(OR($V256=TRUE(),$V256="TRUE"),1,0))</f>
        <v/>
      </c>
      <c r="AR256">
        <f>IF($E256="","",IF($AE256="Yes",1,0))</f>
        <v/>
      </c>
      <c r="AS256">
        <f>IF($AO256=1,IFERROR(IF(VALUE($E256)&lt;100000000,VALUE($E256),1000000000),IFERROR(IF(VALUE(MID($E256,2,20))&lt;100000000,VALUE(MID($E256,2,20)),1000000000),1000000000))+ROW()/100000,"")</f>
        <v/>
      </c>
    </row>
    <row r="257">
      <c r="D257">
        <f>IF($E257="","",IFERROR(IF(INDEX('Per Invoice'!$A$2:$A$301,MATCH($E257,'Per Invoice'!$B$2:$B$301,0))=0,"",INDEX('Per Invoice'!$A$2:$A$301,MATCH($E257,'Per Invoice'!$B$2:$B$301,0))),""))</f>
        <v/>
      </c>
      <c r="H257" s="11" t="n"/>
      <c r="R257" s="7">
        <f>IF($E257="","",Q257*Z257/100)</f>
        <v/>
      </c>
      <c r="S257" s="7" t="n"/>
      <c r="Y257" s="7" t="n"/>
      <c r="Z257" s="7" t="n"/>
      <c r="AA257" s="7">
        <f>IF($E257="","",Z257*AF257/100)</f>
        <v/>
      </c>
      <c r="AB257" s="7">
        <f>IF($E257="","",Z257-AA257)</f>
        <v/>
      </c>
      <c r="AC257" s="7">
        <f>IF($E257="","",AB257-R257)</f>
        <v/>
      </c>
      <c r="AF257">
        <f>IF($E257="","",IF($AR257=1,0,IF($AQ257=1,Settings!$C$6,Settings!$C$7))*100)</f>
        <v/>
      </c>
      <c r="AJ257" s="7" t="n"/>
      <c r="AM257" s="11" t="n"/>
      <c r="AO257">
        <f>IF($E257="","",IF(COUNTIF($E$2:$E257,$E257)=1,1,0))</f>
        <v/>
      </c>
      <c r="AP257">
        <f>IF($AO257=1,SUMPRODUCT(--($AS$2:$AS$1001&lt;$AS257))+1,"")</f>
        <v/>
      </c>
      <c r="AQ257">
        <f>IF($E257="","",IF(OR($V257=TRUE(),$V257="TRUE"),1,0))</f>
        <v/>
      </c>
      <c r="AR257">
        <f>IF($E257="","",IF($AE257="Yes",1,0))</f>
        <v/>
      </c>
      <c r="AS257">
        <f>IF($AO257=1,IFERROR(IF(VALUE($E257)&lt;100000000,VALUE($E257),1000000000),IFERROR(IF(VALUE(MID($E257,2,20))&lt;100000000,VALUE(MID($E257,2,20)),1000000000),1000000000))+ROW()/100000,"")</f>
        <v/>
      </c>
    </row>
    <row r="258">
      <c r="D258">
        <f>IF($E258="","",IFERROR(IF(INDEX('Per Invoice'!$A$2:$A$301,MATCH($E258,'Per Invoice'!$B$2:$B$301,0))=0,"",INDEX('Per Invoice'!$A$2:$A$301,MATCH($E258,'Per Invoice'!$B$2:$B$301,0))),""))</f>
        <v/>
      </c>
      <c r="H258" s="11" t="n"/>
      <c r="R258" s="7">
        <f>IF($E258="","",Q258*Z258/100)</f>
        <v/>
      </c>
      <c r="S258" s="7" t="n"/>
      <c r="Y258" s="7" t="n"/>
      <c r="Z258" s="7" t="n"/>
      <c r="AA258" s="7">
        <f>IF($E258="","",Z258*AF258/100)</f>
        <v/>
      </c>
      <c r="AB258" s="7">
        <f>IF($E258="","",Z258-AA258)</f>
        <v/>
      </c>
      <c r="AC258" s="7">
        <f>IF($E258="","",AB258-R258)</f>
        <v/>
      </c>
      <c r="AF258">
        <f>IF($E258="","",IF($AR258=1,0,IF($AQ258=1,Settings!$C$6,Settings!$C$7))*100)</f>
        <v/>
      </c>
      <c r="AJ258" s="7" t="n"/>
      <c r="AM258" s="11" t="n"/>
      <c r="AO258">
        <f>IF($E258="","",IF(COUNTIF($E$2:$E258,$E258)=1,1,0))</f>
        <v/>
      </c>
      <c r="AP258">
        <f>IF($AO258=1,SUMPRODUCT(--($AS$2:$AS$1001&lt;$AS258))+1,"")</f>
        <v/>
      </c>
      <c r="AQ258">
        <f>IF($E258="","",IF(OR($V258=TRUE(),$V258="TRUE"),1,0))</f>
        <v/>
      </c>
      <c r="AR258">
        <f>IF($E258="","",IF($AE258="Yes",1,0))</f>
        <v/>
      </c>
      <c r="AS258">
        <f>IF($AO258=1,IFERROR(IF(VALUE($E258)&lt;100000000,VALUE($E258),1000000000),IFERROR(IF(VALUE(MID($E258,2,20))&lt;100000000,VALUE(MID($E258,2,20)),1000000000),1000000000))+ROW()/100000,"")</f>
        <v/>
      </c>
    </row>
    <row r="259">
      <c r="D259">
        <f>IF($E259="","",IFERROR(IF(INDEX('Per Invoice'!$A$2:$A$301,MATCH($E259,'Per Invoice'!$B$2:$B$301,0))=0,"",INDEX('Per Invoice'!$A$2:$A$301,MATCH($E259,'Per Invoice'!$B$2:$B$301,0))),""))</f>
        <v/>
      </c>
      <c r="H259" s="11" t="n"/>
      <c r="R259" s="7">
        <f>IF($E259="","",Q259*Z259/100)</f>
        <v/>
      </c>
      <c r="S259" s="7" t="n"/>
      <c r="Y259" s="7" t="n"/>
      <c r="Z259" s="7" t="n"/>
      <c r="AA259" s="7">
        <f>IF($E259="","",Z259*AF259/100)</f>
        <v/>
      </c>
      <c r="AB259" s="7">
        <f>IF($E259="","",Z259-AA259)</f>
        <v/>
      </c>
      <c r="AC259" s="7">
        <f>IF($E259="","",AB259-R259)</f>
        <v/>
      </c>
      <c r="AF259">
        <f>IF($E259="","",IF($AR259=1,0,IF($AQ259=1,Settings!$C$6,Settings!$C$7))*100)</f>
        <v/>
      </c>
      <c r="AJ259" s="7" t="n"/>
      <c r="AM259" s="11" t="n"/>
      <c r="AO259">
        <f>IF($E259="","",IF(COUNTIF($E$2:$E259,$E259)=1,1,0))</f>
        <v/>
      </c>
      <c r="AP259">
        <f>IF($AO259=1,SUMPRODUCT(--($AS$2:$AS$1001&lt;$AS259))+1,"")</f>
        <v/>
      </c>
      <c r="AQ259">
        <f>IF($E259="","",IF(OR($V259=TRUE(),$V259="TRUE"),1,0))</f>
        <v/>
      </c>
      <c r="AR259">
        <f>IF($E259="","",IF($AE259="Yes",1,0))</f>
        <v/>
      </c>
      <c r="AS259">
        <f>IF($AO259=1,IFERROR(IF(VALUE($E259)&lt;100000000,VALUE($E259),1000000000),IFERROR(IF(VALUE(MID($E259,2,20))&lt;100000000,VALUE(MID($E259,2,20)),1000000000),1000000000))+ROW()/100000,"")</f>
        <v/>
      </c>
    </row>
    <row r="260">
      <c r="D260">
        <f>IF($E260="","",IFERROR(IF(INDEX('Per Invoice'!$A$2:$A$301,MATCH($E260,'Per Invoice'!$B$2:$B$301,0))=0,"",INDEX('Per Invoice'!$A$2:$A$301,MATCH($E260,'Per Invoice'!$B$2:$B$301,0))),""))</f>
        <v/>
      </c>
      <c r="H260" s="11" t="n"/>
      <c r="R260" s="7">
        <f>IF($E260="","",Q260*Z260/100)</f>
        <v/>
      </c>
      <c r="S260" s="7" t="n"/>
      <c r="Y260" s="7" t="n"/>
      <c r="Z260" s="7" t="n"/>
      <c r="AA260" s="7">
        <f>IF($E260="","",Z260*AF260/100)</f>
        <v/>
      </c>
      <c r="AB260" s="7">
        <f>IF($E260="","",Z260-AA260)</f>
        <v/>
      </c>
      <c r="AC260" s="7">
        <f>IF($E260="","",AB260-R260)</f>
        <v/>
      </c>
      <c r="AF260">
        <f>IF($E260="","",IF($AR260=1,0,IF($AQ260=1,Settings!$C$6,Settings!$C$7))*100)</f>
        <v/>
      </c>
      <c r="AJ260" s="7" t="n"/>
      <c r="AM260" s="11" t="n"/>
      <c r="AO260">
        <f>IF($E260="","",IF(COUNTIF($E$2:$E260,$E260)=1,1,0))</f>
        <v/>
      </c>
      <c r="AP260">
        <f>IF($AO260=1,SUMPRODUCT(--($AS$2:$AS$1001&lt;$AS260))+1,"")</f>
        <v/>
      </c>
      <c r="AQ260">
        <f>IF($E260="","",IF(OR($V260=TRUE(),$V260="TRUE"),1,0))</f>
        <v/>
      </c>
      <c r="AR260">
        <f>IF($E260="","",IF($AE260="Yes",1,0))</f>
        <v/>
      </c>
      <c r="AS260">
        <f>IF($AO260=1,IFERROR(IF(VALUE($E260)&lt;100000000,VALUE($E260),1000000000),IFERROR(IF(VALUE(MID($E260,2,20))&lt;100000000,VALUE(MID($E260,2,20)),1000000000),1000000000))+ROW()/100000,"")</f>
        <v/>
      </c>
    </row>
    <row r="261">
      <c r="D261">
        <f>IF($E261="","",IFERROR(IF(INDEX('Per Invoice'!$A$2:$A$301,MATCH($E261,'Per Invoice'!$B$2:$B$301,0))=0,"",INDEX('Per Invoice'!$A$2:$A$301,MATCH($E261,'Per Invoice'!$B$2:$B$301,0))),""))</f>
        <v/>
      </c>
      <c r="H261" s="11" t="n"/>
      <c r="R261" s="7">
        <f>IF($E261="","",Q261*Z261/100)</f>
        <v/>
      </c>
      <c r="S261" s="7" t="n"/>
      <c r="Y261" s="7" t="n"/>
      <c r="Z261" s="7" t="n"/>
      <c r="AA261" s="7">
        <f>IF($E261="","",Z261*AF261/100)</f>
        <v/>
      </c>
      <c r="AB261" s="7">
        <f>IF($E261="","",Z261-AA261)</f>
        <v/>
      </c>
      <c r="AC261" s="7">
        <f>IF($E261="","",AB261-R261)</f>
        <v/>
      </c>
      <c r="AF261">
        <f>IF($E261="","",IF($AR261=1,0,IF($AQ261=1,Settings!$C$6,Settings!$C$7))*100)</f>
        <v/>
      </c>
      <c r="AJ261" s="7" t="n"/>
      <c r="AM261" s="11" t="n"/>
      <c r="AO261">
        <f>IF($E261="","",IF(COUNTIF($E$2:$E261,$E261)=1,1,0))</f>
        <v/>
      </c>
      <c r="AP261">
        <f>IF($AO261=1,SUMPRODUCT(--($AS$2:$AS$1001&lt;$AS261))+1,"")</f>
        <v/>
      </c>
      <c r="AQ261">
        <f>IF($E261="","",IF(OR($V261=TRUE(),$V261="TRUE"),1,0))</f>
        <v/>
      </c>
      <c r="AR261">
        <f>IF($E261="","",IF($AE261="Yes",1,0))</f>
        <v/>
      </c>
      <c r="AS261">
        <f>IF($AO261=1,IFERROR(IF(VALUE($E261)&lt;100000000,VALUE($E261),1000000000),IFERROR(IF(VALUE(MID($E261,2,20))&lt;100000000,VALUE(MID($E261,2,20)),1000000000),1000000000))+ROW()/100000,"")</f>
        <v/>
      </c>
    </row>
    <row r="262">
      <c r="D262">
        <f>IF($E262="","",IFERROR(IF(INDEX('Per Invoice'!$A$2:$A$301,MATCH($E262,'Per Invoice'!$B$2:$B$301,0))=0,"",INDEX('Per Invoice'!$A$2:$A$301,MATCH($E262,'Per Invoice'!$B$2:$B$301,0))),""))</f>
        <v/>
      </c>
      <c r="H262" s="11" t="n"/>
      <c r="R262" s="7">
        <f>IF($E262="","",Q262*Z262/100)</f>
        <v/>
      </c>
      <c r="S262" s="7" t="n"/>
      <c r="Y262" s="7" t="n"/>
      <c r="Z262" s="7" t="n"/>
      <c r="AA262" s="7">
        <f>IF($E262="","",Z262*AF262/100)</f>
        <v/>
      </c>
      <c r="AB262" s="7">
        <f>IF($E262="","",Z262-AA262)</f>
        <v/>
      </c>
      <c r="AC262" s="7">
        <f>IF($E262="","",AB262-R262)</f>
        <v/>
      </c>
      <c r="AF262">
        <f>IF($E262="","",IF($AR262=1,0,IF($AQ262=1,Settings!$C$6,Settings!$C$7))*100)</f>
        <v/>
      </c>
      <c r="AJ262" s="7" t="n"/>
      <c r="AM262" s="11" t="n"/>
      <c r="AO262">
        <f>IF($E262="","",IF(COUNTIF($E$2:$E262,$E262)=1,1,0))</f>
        <v/>
      </c>
      <c r="AP262">
        <f>IF($AO262=1,SUMPRODUCT(--($AS$2:$AS$1001&lt;$AS262))+1,"")</f>
        <v/>
      </c>
      <c r="AQ262">
        <f>IF($E262="","",IF(OR($V262=TRUE(),$V262="TRUE"),1,0))</f>
        <v/>
      </c>
      <c r="AR262">
        <f>IF($E262="","",IF($AE262="Yes",1,0))</f>
        <v/>
      </c>
      <c r="AS262">
        <f>IF($AO262=1,IFERROR(IF(VALUE($E262)&lt;100000000,VALUE($E262),1000000000),IFERROR(IF(VALUE(MID($E262,2,20))&lt;100000000,VALUE(MID($E262,2,20)),1000000000),1000000000))+ROW()/100000,"")</f>
        <v/>
      </c>
    </row>
    <row r="263">
      <c r="D263">
        <f>IF($E263="","",IFERROR(IF(INDEX('Per Invoice'!$A$2:$A$301,MATCH($E263,'Per Invoice'!$B$2:$B$301,0))=0,"",INDEX('Per Invoice'!$A$2:$A$301,MATCH($E263,'Per Invoice'!$B$2:$B$301,0))),""))</f>
        <v/>
      </c>
      <c r="H263" s="11" t="n"/>
      <c r="R263" s="7">
        <f>IF($E263="","",Q263*Z263/100)</f>
        <v/>
      </c>
      <c r="S263" s="7" t="n"/>
      <c r="Y263" s="7" t="n"/>
      <c r="Z263" s="7" t="n"/>
      <c r="AA263" s="7">
        <f>IF($E263="","",Z263*AF263/100)</f>
        <v/>
      </c>
      <c r="AB263" s="7">
        <f>IF($E263="","",Z263-AA263)</f>
        <v/>
      </c>
      <c r="AC263" s="7">
        <f>IF($E263="","",AB263-R263)</f>
        <v/>
      </c>
      <c r="AF263">
        <f>IF($E263="","",IF($AR263=1,0,IF($AQ263=1,Settings!$C$6,Settings!$C$7))*100)</f>
        <v/>
      </c>
      <c r="AJ263" s="7" t="n"/>
      <c r="AM263" s="11" t="n"/>
      <c r="AO263">
        <f>IF($E263="","",IF(COUNTIF($E$2:$E263,$E263)=1,1,0))</f>
        <v/>
      </c>
      <c r="AP263">
        <f>IF($AO263=1,SUMPRODUCT(--($AS$2:$AS$1001&lt;$AS263))+1,"")</f>
        <v/>
      </c>
      <c r="AQ263">
        <f>IF($E263="","",IF(OR($V263=TRUE(),$V263="TRUE"),1,0))</f>
        <v/>
      </c>
      <c r="AR263">
        <f>IF($E263="","",IF($AE263="Yes",1,0))</f>
        <v/>
      </c>
      <c r="AS263">
        <f>IF($AO263=1,IFERROR(IF(VALUE($E263)&lt;100000000,VALUE($E263),1000000000),IFERROR(IF(VALUE(MID($E263,2,20))&lt;100000000,VALUE(MID($E263,2,20)),1000000000),1000000000))+ROW()/100000,"")</f>
        <v/>
      </c>
    </row>
    <row r="264">
      <c r="D264">
        <f>IF($E264="","",IFERROR(IF(INDEX('Per Invoice'!$A$2:$A$301,MATCH($E264,'Per Invoice'!$B$2:$B$301,0))=0,"",INDEX('Per Invoice'!$A$2:$A$301,MATCH($E264,'Per Invoice'!$B$2:$B$301,0))),""))</f>
        <v/>
      </c>
      <c r="H264" s="11" t="n"/>
      <c r="R264" s="7">
        <f>IF($E264="","",Q264*Z264/100)</f>
        <v/>
      </c>
      <c r="S264" s="7" t="n"/>
      <c r="Y264" s="7" t="n"/>
      <c r="Z264" s="7" t="n"/>
      <c r="AA264" s="7">
        <f>IF($E264="","",Z264*AF264/100)</f>
        <v/>
      </c>
      <c r="AB264" s="7">
        <f>IF($E264="","",Z264-AA264)</f>
        <v/>
      </c>
      <c r="AC264" s="7">
        <f>IF($E264="","",AB264-R264)</f>
        <v/>
      </c>
      <c r="AF264">
        <f>IF($E264="","",IF($AR264=1,0,IF($AQ264=1,Settings!$C$6,Settings!$C$7))*100)</f>
        <v/>
      </c>
      <c r="AJ264" s="7" t="n"/>
      <c r="AM264" s="11" t="n"/>
      <c r="AO264">
        <f>IF($E264="","",IF(COUNTIF($E$2:$E264,$E264)=1,1,0))</f>
        <v/>
      </c>
      <c r="AP264">
        <f>IF($AO264=1,SUMPRODUCT(--($AS$2:$AS$1001&lt;$AS264))+1,"")</f>
        <v/>
      </c>
      <c r="AQ264">
        <f>IF($E264="","",IF(OR($V264=TRUE(),$V264="TRUE"),1,0))</f>
        <v/>
      </c>
      <c r="AR264">
        <f>IF($E264="","",IF($AE264="Yes",1,0))</f>
        <v/>
      </c>
      <c r="AS264">
        <f>IF($AO264=1,IFERROR(IF(VALUE($E264)&lt;100000000,VALUE($E264),1000000000),IFERROR(IF(VALUE(MID($E264,2,20))&lt;100000000,VALUE(MID($E264,2,20)),1000000000),1000000000))+ROW()/100000,"")</f>
        <v/>
      </c>
    </row>
    <row r="265">
      <c r="D265">
        <f>IF($E265="","",IFERROR(IF(INDEX('Per Invoice'!$A$2:$A$301,MATCH($E265,'Per Invoice'!$B$2:$B$301,0))=0,"",INDEX('Per Invoice'!$A$2:$A$301,MATCH($E265,'Per Invoice'!$B$2:$B$301,0))),""))</f>
        <v/>
      </c>
      <c r="H265" s="11" t="n"/>
      <c r="R265" s="7">
        <f>IF($E265="","",Q265*Z265/100)</f>
        <v/>
      </c>
      <c r="S265" s="7" t="n"/>
      <c r="Y265" s="7" t="n"/>
      <c r="Z265" s="7" t="n"/>
      <c r="AA265" s="7">
        <f>IF($E265="","",Z265*AF265/100)</f>
        <v/>
      </c>
      <c r="AB265" s="7">
        <f>IF($E265="","",Z265-AA265)</f>
        <v/>
      </c>
      <c r="AC265" s="7">
        <f>IF($E265="","",AB265-R265)</f>
        <v/>
      </c>
      <c r="AF265">
        <f>IF($E265="","",IF($AR265=1,0,IF($AQ265=1,Settings!$C$6,Settings!$C$7))*100)</f>
        <v/>
      </c>
      <c r="AJ265" s="7" t="n"/>
      <c r="AM265" s="11" t="n"/>
      <c r="AO265">
        <f>IF($E265="","",IF(COUNTIF($E$2:$E265,$E265)=1,1,0))</f>
        <v/>
      </c>
      <c r="AP265">
        <f>IF($AO265=1,SUMPRODUCT(--($AS$2:$AS$1001&lt;$AS265))+1,"")</f>
        <v/>
      </c>
      <c r="AQ265">
        <f>IF($E265="","",IF(OR($V265=TRUE(),$V265="TRUE"),1,0))</f>
        <v/>
      </c>
      <c r="AR265">
        <f>IF($E265="","",IF($AE265="Yes",1,0))</f>
        <v/>
      </c>
      <c r="AS265">
        <f>IF($AO265=1,IFERROR(IF(VALUE($E265)&lt;100000000,VALUE($E265),1000000000),IFERROR(IF(VALUE(MID($E265,2,20))&lt;100000000,VALUE(MID($E265,2,20)),1000000000),1000000000))+ROW()/100000,"")</f>
        <v/>
      </c>
    </row>
    <row r="266">
      <c r="D266">
        <f>IF($E266="","",IFERROR(IF(INDEX('Per Invoice'!$A$2:$A$301,MATCH($E266,'Per Invoice'!$B$2:$B$301,0))=0,"",INDEX('Per Invoice'!$A$2:$A$301,MATCH($E266,'Per Invoice'!$B$2:$B$301,0))),""))</f>
        <v/>
      </c>
      <c r="H266" s="11" t="n"/>
      <c r="R266" s="7">
        <f>IF($E266="","",Q266*Z266/100)</f>
        <v/>
      </c>
      <c r="S266" s="7" t="n"/>
      <c r="Y266" s="7" t="n"/>
      <c r="Z266" s="7" t="n"/>
      <c r="AA266" s="7">
        <f>IF($E266="","",Z266*AF266/100)</f>
        <v/>
      </c>
      <c r="AB266" s="7">
        <f>IF($E266="","",Z266-AA266)</f>
        <v/>
      </c>
      <c r="AC266" s="7">
        <f>IF($E266="","",AB266-R266)</f>
        <v/>
      </c>
      <c r="AF266">
        <f>IF($E266="","",IF($AR266=1,0,IF($AQ266=1,Settings!$C$6,Settings!$C$7))*100)</f>
        <v/>
      </c>
      <c r="AJ266" s="7" t="n"/>
      <c r="AM266" s="11" t="n"/>
      <c r="AO266">
        <f>IF($E266="","",IF(COUNTIF($E$2:$E266,$E266)=1,1,0))</f>
        <v/>
      </c>
      <c r="AP266">
        <f>IF($AO266=1,SUMPRODUCT(--($AS$2:$AS$1001&lt;$AS266))+1,"")</f>
        <v/>
      </c>
      <c r="AQ266">
        <f>IF($E266="","",IF(OR($V266=TRUE(),$V266="TRUE"),1,0))</f>
        <v/>
      </c>
      <c r="AR266">
        <f>IF($E266="","",IF($AE266="Yes",1,0))</f>
        <v/>
      </c>
      <c r="AS266">
        <f>IF($AO266=1,IFERROR(IF(VALUE($E266)&lt;100000000,VALUE($E266),1000000000),IFERROR(IF(VALUE(MID($E266,2,20))&lt;100000000,VALUE(MID($E266,2,20)),1000000000),1000000000))+ROW()/100000,"")</f>
        <v/>
      </c>
    </row>
    <row r="267">
      <c r="D267">
        <f>IF($E267="","",IFERROR(IF(INDEX('Per Invoice'!$A$2:$A$301,MATCH($E267,'Per Invoice'!$B$2:$B$301,0))=0,"",INDEX('Per Invoice'!$A$2:$A$301,MATCH($E267,'Per Invoice'!$B$2:$B$301,0))),""))</f>
        <v/>
      </c>
      <c r="H267" s="11" t="n"/>
      <c r="R267" s="7">
        <f>IF($E267="","",Q267*Z267/100)</f>
        <v/>
      </c>
      <c r="S267" s="7" t="n"/>
      <c r="Y267" s="7" t="n"/>
      <c r="Z267" s="7" t="n"/>
      <c r="AA267" s="7">
        <f>IF($E267="","",Z267*AF267/100)</f>
        <v/>
      </c>
      <c r="AB267" s="7">
        <f>IF($E267="","",Z267-AA267)</f>
        <v/>
      </c>
      <c r="AC267" s="7">
        <f>IF($E267="","",AB267-R267)</f>
        <v/>
      </c>
      <c r="AF267">
        <f>IF($E267="","",IF($AR267=1,0,IF($AQ267=1,Settings!$C$6,Settings!$C$7))*100)</f>
        <v/>
      </c>
      <c r="AJ267" s="7" t="n"/>
      <c r="AM267" s="11" t="n"/>
      <c r="AO267">
        <f>IF($E267="","",IF(COUNTIF($E$2:$E267,$E267)=1,1,0))</f>
        <v/>
      </c>
      <c r="AP267">
        <f>IF($AO267=1,SUMPRODUCT(--($AS$2:$AS$1001&lt;$AS267))+1,"")</f>
        <v/>
      </c>
      <c r="AQ267">
        <f>IF($E267="","",IF(OR($V267=TRUE(),$V267="TRUE"),1,0))</f>
        <v/>
      </c>
      <c r="AR267">
        <f>IF($E267="","",IF($AE267="Yes",1,0))</f>
        <v/>
      </c>
      <c r="AS267">
        <f>IF($AO267=1,IFERROR(IF(VALUE($E267)&lt;100000000,VALUE($E267),1000000000),IFERROR(IF(VALUE(MID($E267,2,20))&lt;100000000,VALUE(MID($E267,2,20)),1000000000),1000000000))+ROW()/100000,"")</f>
        <v/>
      </c>
    </row>
    <row r="268">
      <c r="D268">
        <f>IF($E268="","",IFERROR(IF(INDEX('Per Invoice'!$A$2:$A$301,MATCH($E268,'Per Invoice'!$B$2:$B$301,0))=0,"",INDEX('Per Invoice'!$A$2:$A$301,MATCH($E268,'Per Invoice'!$B$2:$B$301,0))),""))</f>
        <v/>
      </c>
      <c r="H268" s="11" t="n"/>
      <c r="R268" s="7">
        <f>IF($E268="","",Q268*Z268/100)</f>
        <v/>
      </c>
      <c r="S268" s="7" t="n"/>
      <c r="Y268" s="7" t="n"/>
      <c r="Z268" s="7" t="n"/>
      <c r="AA268" s="7">
        <f>IF($E268="","",Z268*AF268/100)</f>
        <v/>
      </c>
      <c r="AB268" s="7">
        <f>IF($E268="","",Z268-AA268)</f>
        <v/>
      </c>
      <c r="AC268" s="7">
        <f>IF($E268="","",AB268-R268)</f>
        <v/>
      </c>
      <c r="AF268">
        <f>IF($E268="","",IF($AR268=1,0,IF($AQ268=1,Settings!$C$6,Settings!$C$7))*100)</f>
        <v/>
      </c>
      <c r="AJ268" s="7" t="n"/>
      <c r="AM268" s="11" t="n"/>
      <c r="AO268">
        <f>IF($E268="","",IF(COUNTIF($E$2:$E268,$E268)=1,1,0))</f>
        <v/>
      </c>
      <c r="AP268">
        <f>IF($AO268=1,SUMPRODUCT(--($AS$2:$AS$1001&lt;$AS268))+1,"")</f>
        <v/>
      </c>
      <c r="AQ268">
        <f>IF($E268="","",IF(OR($V268=TRUE(),$V268="TRUE"),1,0))</f>
        <v/>
      </c>
      <c r="AR268">
        <f>IF($E268="","",IF($AE268="Yes",1,0))</f>
        <v/>
      </c>
      <c r="AS268">
        <f>IF($AO268=1,IFERROR(IF(VALUE($E268)&lt;100000000,VALUE($E268),1000000000),IFERROR(IF(VALUE(MID($E268,2,20))&lt;100000000,VALUE(MID($E268,2,20)),1000000000),1000000000))+ROW()/100000,"")</f>
        <v/>
      </c>
    </row>
    <row r="269">
      <c r="D269">
        <f>IF($E269="","",IFERROR(IF(INDEX('Per Invoice'!$A$2:$A$301,MATCH($E269,'Per Invoice'!$B$2:$B$301,0))=0,"",INDEX('Per Invoice'!$A$2:$A$301,MATCH($E269,'Per Invoice'!$B$2:$B$301,0))),""))</f>
        <v/>
      </c>
      <c r="H269" s="11" t="n"/>
      <c r="R269" s="7">
        <f>IF($E269="","",Q269*Z269/100)</f>
        <v/>
      </c>
      <c r="S269" s="7" t="n"/>
      <c r="Y269" s="7" t="n"/>
      <c r="Z269" s="7" t="n"/>
      <c r="AA269" s="7">
        <f>IF($E269="","",Z269*AF269/100)</f>
        <v/>
      </c>
      <c r="AB269" s="7">
        <f>IF($E269="","",Z269-AA269)</f>
        <v/>
      </c>
      <c r="AC269" s="7">
        <f>IF($E269="","",AB269-R269)</f>
        <v/>
      </c>
      <c r="AF269">
        <f>IF($E269="","",IF($AR269=1,0,IF($AQ269=1,Settings!$C$6,Settings!$C$7))*100)</f>
        <v/>
      </c>
      <c r="AJ269" s="7" t="n"/>
      <c r="AM269" s="11" t="n"/>
      <c r="AO269">
        <f>IF($E269="","",IF(COUNTIF($E$2:$E269,$E269)=1,1,0))</f>
        <v/>
      </c>
      <c r="AP269">
        <f>IF($AO269=1,SUMPRODUCT(--($AS$2:$AS$1001&lt;$AS269))+1,"")</f>
        <v/>
      </c>
      <c r="AQ269">
        <f>IF($E269="","",IF(OR($V269=TRUE(),$V269="TRUE"),1,0))</f>
        <v/>
      </c>
      <c r="AR269">
        <f>IF($E269="","",IF($AE269="Yes",1,0))</f>
        <v/>
      </c>
      <c r="AS269">
        <f>IF($AO269=1,IFERROR(IF(VALUE($E269)&lt;100000000,VALUE($E269),1000000000),IFERROR(IF(VALUE(MID($E269,2,20))&lt;100000000,VALUE(MID($E269,2,20)),1000000000),1000000000))+ROW()/100000,"")</f>
        <v/>
      </c>
    </row>
    <row r="270">
      <c r="D270">
        <f>IF($E270="","",IFERROR(IF(INDEX('Per Invoice'!$A$2:$A$301,MATCH($E270,'Per Invoice'!$B$2:$B$301,0))=0,"",INDEX('Per Invoice'!$A$2:$A$301,MATCH($E270,'Per Invoice'!$B$2:$B$301,0))),""))</f>
        <v/>
      </c>
      <c r="H270" s="11" t="n"/>
      <c r="R270" s="7">
        <f>IF($E270="","",Q270*Z270/100)</f>
        <v/>
      </c>
      <c r="S270" s="7" t="n"/>
      <c r="Y270" s="7" t="n"/>
      <c r="Z270" s="7" t="n"/>
      <c r="AA270" s="7">
        <f>IF($E270="","",Z270*AF270/100)</f>
        <v/>
      </c>
      <c r="AB270" s="7">
        <f>IF($E270="","",Z270-AA270)</f>
        <v/>
      </c>
      <c r="AC270" s="7">
        <f>IF($E270="","",AB270-R270)</f>
        <v/>
      </c>
      <c r="AF270">
        <f>IF($E270="","",IF($AR270=1,0,IF($AQ270=1,Settings!$C$6,Settings!$C$7))*100)</f>
        <v/>
      </c>
      <c r="AJ270" s="7" t="n"/>
      <c r="AM270" s="11" t="n"/>
      <c r="AO270">
        <f>IF($E270="","",IF(COUNTIF($E$2:$E270,$E270)=1,1,0))</f>
        <v/>
      </c>
      <c r="AP270">
        <f>IF($AO270=1,SUMPRODUCT(--($AS$2:$AS$1001&lt;$AS270))+1,"")</f>
        <v/>
      </c>
      <c r="AQ270">
        <f>IF($E270="","",IF(OR($V270=TRUE(),$V270="TRUE"),1,0))</f>
        <v/>
      </c>
      <c r="AR270">
        <f>IF($E270="","",IF($AE270="Yes",1,0))</f>
        <v/>
      </c>
      <c r="AS270">
        <f>IF($AO270=1,IFERROR(IF(VALUE($E270)&lt;100000000,VALUE($E270),1000000000),IFERROR(IF(VALUE(MID($E270,2,20))&lt;100000000,VALUE(MID($E270,2,20)),1000000000),1000000000))+ROW()/100000,"")</f>
        <v/>
      </c>
    </row>
    <row r="271">
      <c r="D271">
        <f>IF($E271="","",IFERROR(IF(INDEX('Per Invoice'!$A$2:$A$301,MATCH($E271,'Per Invoice'!$B$2:$B$301,0))=0,"",INDEX('Per Invoice'!$A$2:$A$301,MATCH($E271,'Per Invoice'!$B$2:$B$301,0))),""))</f>
        <v/>
      </c>
      <c r="H271" s="11" t="n"/>
      <c r="R271" s="7">
        <f>IF($E271="","",Q271*Z271/100)</f>
        <v/>
      </c>
      <c r="S271" s="7" t="n"/>
      <c r="Y271" s="7" t="n"/>
      <c r="Z271" s="7" t="n"/>
      <c r="AA271" s="7">
        <f>IF($E271="","",Z271*AF271/100)</f>
        <v/>
      </c>
      <c r="AB271" s="7">
        <f>IF($E271="","",Z271-AA271)</f>
        <v/>
      </c>
      <c r="AC271" s="7">
        <f>IF($E271="","",AB271-R271)</f>
        <v/>
      </c>
      <c r="AF271">
        <f>IF($E271="","",IF($AR271=1,0,IF($AQ271=1,Settings!$C$6,Settings!$C$7))*100)</f>
        <v/>
      </c>
      <c r="AJ271" s="7" t="n"/>
      <c r="AM271" s="11" t="n"/>
      <c r="AO271">
        <f>IF($E271="","",IF(COUNTIF($E$2:$E271,$E271)=1,1,0))</f>
        <v/>
      </c>
      <c r="AP271">
        <f>IF($AO271=1,SUMPRODUCT(--($AS$2:$AS$1001&lt;$AS271))+1,"")</f>
        <v/>
      </c>
      <c r="AQ271">
        <f>IF($E271="","",IF(OR($V271=TRUE(),$V271="TRUE"),1,0))</f>
        <v/>
      </c>
      <c r="AR271">
        <f>IF($E271="","",IF($AE271="Yes",1,0))</f>
        <v/>
      </c>
      <c r="AS271">
        <f>IF($AO271=1,IFERROR(IF(VALUE($E271)&lt;100000000,VALUE($E271),1000000000),IFERROR(IF(VALUE(MID($E271,2,20))&lt;100000000,VALUE(MID($E271,2,20)),1000000000),1000000000))+ROW()/100000,"")</f>
        <v/>
      </c>
    </row>
    <row r="272">
      <c r="D272">
        <f>IF($E272="","",IFERROR(IF(INDEX('Per Invoice'!$A$2:$A$301,MATCH($E272,'Per Invoice'!$B$2:$B$301,0))=0,"",INDEX('Per Invoice'!$A$2:$A$301,MATCH($E272,'Per Invoice'!$B$2:$B$301,0))),""))</f>
        <v/>
      </c>
      <c r="H272" s="11" t="n"/>
      <c r="R272" s="7">
        <f>IF($E272="","",Q272*Z272/100)</f>
        <v/>
      </c>
      <c r="S272" s="7" t="n"/>
      <c r="Y272" s="7" t="n"/>
      <c r="Z272" s="7" t="n"/>
      <c r="AA272" s="7">
        <f>IF($E272="","",Z272*AF272/100)</f>
        <v/>
      </c>
      <c r="AB272" s="7">
        <f>IF($E272="","",Z272-AA272)</f>
        <v/>
      </c>
      <c r="AC272" s="7">
        <f>IF($E272="","",AB272-R272)</f>
        <v/>
      </c>
      <c r="AF272">
        <f>IF($E272="","",IF($AR272=1,0,IF($AQ272=1,Settings!$C$6,Settings!$C$7))*100)</f>
        <v/>
      </c>
      <c r="AJ272" s="7" t="n"/>
      <c r="AM272" s="11" t="n"/>
      <c r="AO272">
        <f>IF($E272="","",IF(COUNTIF($E$2:$E272,$E272)=1,1,0))</f>
        <v/>
      </c>
      <c r="AP272">
        <f>IF($AO272=1,SUMPRODUCT(--($AS$2:$AS$1001&lt;$AS272))+1,"")</f>
        <v/>
      </c>
      <c r="AQ272">
        <f>IF($E272="","",IF(OR($V272=TRUE(),$V272="TRUE"),1,0))</f>
        <v/>
      </c>
      <c r="AR272">
        <f>IF($E272="","",IF($AE272="Yes",1,0))</f>
        <v/>
      </c>
      <c r="AS272">
        <f>IF($AO272=1,IFERROR(IF(VALUE($E272)&lt;100000000,VALUE($E272),1000000000),IFERROR(IF(VALUE(MID($E272,2,20))&lt;100000000,VALUE(MID($E272,2,20)),1000000000),1000000000))+ROW()/100000,"")</f>
        <v/>
      </c>
    </row>
    <row r="273">
      <c r="D273">
        <f>IF($E273="","",IFERROR(IF(INDEX('Per Invoice'!$A$2:$A$301,MATCH($E273,'Per Invoice'!$B$2:$B$301,0))=0,"",INDEX('Per Invoice'!$A$2:$A$301,MATCH($E273,'Per Invoice'!$B$2:$B$301,0))),""))</f>
        <v/>
      </c>
      <c r="H273" s="11" t="n"/>
      <c r="R273" s="7">
        <f>IF($E273="","",Q273*Z273/100)</f>
        <v/>
      </c>
      <c r="S273" s="7" t="n"/>
      <c r="Y273" s="7" t="n"/>
      <c r="Z273" s="7" t="n"/>
      <c r="AA273" s="7">
        <f>IF($E273="","",Z273*AF273/100)</f>
        <v/>
      </c>
      <c r="AB273" s="7">
        <f>IF($E273="","",Z273-AA273)</f>
        <v/>
      </c>
      <c r="AC273" s="7">
        <f>IF($E273="","",AB273-R273)</f>
        <v/>
      </c>
      <c r="AF273">
        <f>IF($E273="","",IF($AR273=1,0,IF($AQ273=1,Settings!$C$6,Settings!$C$7))*100)</f>
        <v/>
      </c>
      <c r="AJ273" s="7" t="n"/>
      <c r="AM273" s="11" t="n"/>
      <c r="AO273">
        <f>IF($E273="","",IF(COUNTIF($E$2:$E273,$E273)=1,1,0))</f>
        <v/>
      </c>
      <c r="AP273">
        <f>IF($AO273=1,SUMPRODUCT(--($AS$2:$AS$1001&lt;$AS273))+1,"")</f>
        <v/>
      </c>
      <c r="AQ273">
        <f>IF($E273="","",IF(OR($V273=TRUE(),$V273="TRUE"),1,0))</f>
        <v/>
      </c>
      <c r="AR273">
        <f>IF($E273="","",IF($AE273="Yes",1,0))</f>
        <v/>
      </c>
      <c r="AS273">
        <f>IF($AO273=1,IFERROR(IF(VALUE($E273)&lt;100000000,VALUE($E273),1000000000),IFERROR(IF(VALUE(MID($E273,2,20))&lt;100000000,VALUE(MID($E273,2,20)),1000000000),1000000000))+ROW()/100000,"")</f>
        <v/>
      </c>
    </row>
    <row r="274">
      <c r="D274">
        <f>IF($E274="","",IFERROR(IF(INDEX('Per Invoice'!$A$2:$A$301,MATCH($E274,'Per Invoice'!$B$2:$B$301,0))=0,"",INDEX('Per Invoice'!$A$2:$A$301,MATCH($E274,'Per Invoice'!$B$2:$B$301,0))),""))</f>
        <v/>
      </c>
      <c r="H274" s="11" t="n"/>
      <c r="R274" s="7">
        <f>IF($E274="","",Q274*Z274/100)</f>
        <v/>
      </c>
      <c r="S274" s="7" t="n"/>
      <c r="Y274" s="7" t="n"/>
      <c r="Z274" s="7" t="n"/>
      <c r="AA274" s="7">
        <f>IF($E274="","",Z274*AF274/100)</f>
        <v/>
      </c>
      <c r="AB274" s="7">
        <f>IF($E274="","",Z274-AA274)</f>
        <v/>
      </c>
      <c r="AC274" s="7">
        <f>IF($E274="","",AB274-R274)</f>
        <v/>
      </c>
      <c r="AF274">
        <f>IF($E274="","",IF($AR274=1,0,IF($AQ274=1,Settings!$C$6,Settings!$C$7))*100)</f>
        <v/>
      </c>
      <c r="AJ274" s="7" t="n"/>
      <c r="AM274" s="11" t="n"/>
      <c r="AO274">
        <f>IF($E274="","",IF(COUNTIF($E$2:$E274,$E274)=1,1,0))</f>
        <v/>
      </c>
      <c r="AP274">
        <f>IF($AO274=1,SUMPRODUCT(--($AS$2:$AS$1001&lt;$AS274))+1,"")</f>
        <v/>
      </c>
      <c r="AQ274">
        <f>IF($E274="","",IF(OR($V274=TRUE(),$V274="TRUE"),1,0))</f>
        <v/>
      </c>
      <c r="AR274">
        <f>IF($E274="","",IF($AE274="Yes",1,0))</f>
        <v/>
      </c>
      <c r="AS274">
        <f>IF($AO274=1,IFERROR(IF(VALUE($E274)&lt;100000000,VALUE($E274),1000000000),IFERROR(IF(VALUE(MID($E274,2,20))&lt;100000000,VALUE(MID($E274,2,20)),1000000000),1000000000))+ROW()/100000,"")</f>
        <v/>
      </c>
    </row>
    <row r="275">
      <c r="D275">
        <f>IF($E275="","",IFERROR(IF(INDEX('Per Invoice'!$A$2:$A$301,MATCH($E275,'Per Invoice'!$B$2:$B$301,0))=0,"",INDEX('Per Invoice'!$A$2:$A$301,MATCH($E275,'Per Invoice'!$B$2:$B$301,0))),""))</f>
        <v/>
      </c>
      <c r="H275" s="11" t="n"/>
      <c r="R275" s="7">
        <f>IF($E275="","",Q275*Z275/100)</f>
        <v/>
      </c>
      <c r="S275" s="7" t="n"/>
      <c r="Y275" s="7" t="n"/>
      <c r="Z275" s="7" t="n"/>
      <c r="AA275" s="7">
        <f>IF($E275="","",Z275*AF275/100)</f>
        <v/>
      </c>
      <c r="AB275" s="7">
        <f>IF($E275="","",Z275-AA275)</f>
        <v/>
      </c>
      <c r="AC275" s="7">
        <f>IF($E275="","",AB275-R275)</f>
        <v/>
      </c>
      <c r="AF275">
        <f>IF($E275="","",IF($AR275=1,0,IF($AQ275=1,Settings!$C$6,Settings!$C$7))*100)</f>
        <v/>
      </c>
      <c r="AJ275" s="7" t="n"/>
      <c r="AM275" s="11" t="n"/>
      <c r="AO275">
        <f>IF($E275="","",IF(COUNTIF($E$2:$E275,$E275)=1,1,0))</f>
        <v/>
      </c>
      <c r="AP275">
        <f>IF($AO275=1,SUMPRODUCT(--($AS$2:$AS$1001&lt;$AS275))+1,"")</f>
        <v/>
      </c>
      <c r="AQ275">
        <f>IF($E275="","",IF(OR($V275=TRUE(),$V275="TRUE"),1,0))</f>
        <v/>
      </c>
      <c r="AR275">
        <f>IF($E275="","",IF($AE275="Yes",1,0))</f>
        <v/>
      </c>
      <c r="AS275">
        <f>IF($AO275=1,IFERROR(IF(VALUE($E275)&lt;100000000,VALUE($E275),1000000000),IFERROR(IF(VALUE(MID($E275,2,20))&lt;100000000,VALUE(MID($E275,2,20)),1000000000),1000000000))+ROW()/100000,"")</f>
        <v/>
      </c>
    </row>
    <row r="276">
      <c r="D276">
        <f>IF($E276="","",IFERROR(IF(INDEX('Per Invoice'!$A$2:$A$301,MATCH($E276,'Per Invoice'!$B$2:$B$301,0))=0,"",INDEX('Per Invoice'!$A$2:$A$301,MATCH($E276,'Per Invoice'!$B$2:$B$301,0))),""))</f>
        <v/>
      </c>
      <c r="H276" s="11" t="n"/>
      <c r="R276" s="7">
        <f>IF($E276="","",Q276*Z276/100)</f>
        <v/>
      </c>
      <c r="S276" s="7" t="n"/>
      <c r="Y276" s="7" t="n"/>
      <c r="Z276" s="7" t="n"/>
      <c r="AA276" s="7">
        <f>IF($E276="","",Z276*AF276/100)</f>
        <v/>
      </c>
      <c r="AB276" s="7">
        <f>IF($E276="","",Z276-AA276)</f>
        <v/>
      </c>
      <c r="AC276" s="7">
        <f>IF($E276="","",AB276-R276)</f>
        <v/>
      </c>
      <c r="AF276">
        <f>IF($E276="","",IF($AR276=1,0,IF($AQ276=1,Settings!$C$6,Settings!$C$7))*100)</f>
        <v/>
      </c>
      <c r="AJ276" s="7" t="n"/>
      <c r="AM276" s="11" t="n"/>
      <c r="AO276">
        <f>IF($E276="","",IF(COUNTIF($E$2:$E276,$E276)=1,1,0))</f>
        <v/>
      </c>
      <c r="AP276">
        <f>IF($AO276=1,SUMPRODUCT(--($AS$2:$AS$1001&lt;$AS276))+1,"")</f>
        <v/>
      </c>
      <c r="AQ276">
        <f>IF($E276="","",IF(OR($V276=TRUE(),$V276="TRUE"),1,0))</f>
        <v/>
      </c>
      <c r="AR276">
        <f>IF($E276="","",IF($AE276="Yes",1,0))</f>
        <v/>
      </c>
      <c r="AS276">
        <f>IF($AO276=1,IFERROR(IF(VALUE($E276)&lt;100000000,VALUE($E276),1000000000),IFERROR(IF(VALUE(MID($E276,2,20))&lt;100000000,VALUE(MID($E276,2,20)),1000000000),1000000000))+ROW()/100000,"")</f>
        <v/>
      </c>
    </row>
    <row r="277">
      <c r="D277">
        <f>IF($E277="","",IFERROR(IF(INDEX('Per Invoice'!$A$2:$A$301,MATCH($E277,'Per Invoice'!$B$2:$B$301,0))=0,"",INDEX('Per Invoice'!$A$2:$A$301,MATCH($E277,'Per Invoice'!$B$2:$B$301,0))),""))</f>
        <v/>
      </c>
      <c r="H277" s="11" t="n"/>
      <c r="R277" s="7">
        <f>IF($E277="","",Q277*Z277/100)</f>
        <v/>
      </c>
      <c r="S277" s="7" t="n"/>
      <c r="Y277" s="7" t="n"/>
      <c r="Z277" s="7" t="n"/>
      <c r="AA277" s="7">
        <f>IF($E277="","",Z277*AF277/100)</f>
        <v/>
      </c>
      <c r="AB277" s="7">
        <f>IF($E277="","",Z277-AA277)</f>
        <v/>
      </c>
      <c r="AC277" s="7">
        <f>IF($E277="","",AB277-R277)</f>
        <v/>
      </c>
      <c r="AF277">
        <f>IF($E277="","",IF($AR277=1,0,IF($AQ277=1,Settings!$C$6,Settings!$C$7))*100)</f>
        <v/>
      </c>
      <c r="AJ277" s="7" t="n"/>
      <c r="AM277" s="11" t="n"/>
      <c r="AO277">
        <f>IF($E277="","",IF(COUNTIF($E$2:$E277,$E277)=1,1,0))</f>
        <v/>
      </c>
      <c r="AP277">
        <f>IF($AO277=1,SUMPRODUCT(--($AS$2:$AS$1001&lt;$AS277))+1,"")</f>
        <v/>
      </c>
      <c r="AQ277">
        <f>IF($E277="","",IF(OR($V277=TRUE(),$V277="TRUE"),1,0))</f>
        <v/>
      </c>
      <c r="AR277">
        <f>IF($E277="","",IF($AE277="Yes",1,0))</f>
        <v/>
      </c>
      <c r="AS277">
        <f>IF($AO277=1,IFERROR(IF(VALUE($E277)&lt;100000000,VALUE($E277),1000000000),IFERROR(IF(VALUE(MID($E277,2,20))&lt;100000000,VALUE(MID($E277,2,20)),1000000000),1000000000))+ROW()/100000,"")</f>
        <v/>
      </c>
    </row>
    <row r="278">
      <c r="D278">
        <f>IF($E278="","",IFERROR(IF(INDEX('Per Invoice'!$A$2:$A$301,MATCH($E278,'Per Invoice'!$B$2:$B$301,0))=0,"",INDEX('Per Invoice'!$A$2:$A$301,MATCH($E278,'Per Invoice'!$B$2:$B$301,0))),""))</f>
        <v/>
      </c>
      <c r="H278" s="11" t="n"/>
      <c r="R278" s="7">
        <f>IF($E278="","",Q278*Z278/100)</f>
        <v/>
      </c>
      <c r="S278" s="7" t="n"/>
      <c r="Y278" s="7" t="n"/>
      <c r="Z278" s="7" t="n"/>
      <c r="AA278" s="7">
        <f>IF($E278="","",Z278*AF278/100)</f>
        <v/>
      </c>
      <c r="AB278" s="7">
        <f>IF($E278="","",Z278-AA278)</f>
        <v/>
      </c>
      <c r="AC278" s="7">
        <f>IF($E278="","",AB278-R278)</f>
        <v/>
      </c>
      <c r="AF278">
        <f>IF($E278="","",IF($AR278=1,0,IF($AQ278=1,Settings!$C$6,Settings!$C$7))*100)</f>
        <v/>
      </c>
      <c r="AJ278" s="7" t="n"/>
      <c r="AM278" s="11" t="n"/>
      <c r="AO278">
        <f>IF($E278="","",IF(COUNTIF($E$2:$E278,$E278)=1,1,0))</f>
        <v/>
      </c>
      <c r="AP278">
        <f>IF($AO278=1,SUMPRODUCT(--($AS$2:$AS$1001&lt;$AS278))+1,"")</f>
        <v/>
      </c>
      <c r="AQ278">
        <f>IF($E278="","",IF(OR($V278=TRUE(),$V278="TRUE"),1,0))</f>
        <v/>
      </c>
      <c r="AR278">
        <f>IF($E278="","",IF($AE278="Yes",1,0))</f>
        <v/>
      </c>
      <c r="AS278">
        <f>IF($AO278=1,IFERROR(IF(VALUE($E278)&lt;100000000,VALUE($E278),1000000000),IFERROR(IF(VALUE(MID($E278,2,20))&lt;100000000,VALUE(MID($E278,2,20)),1000000000),1000000000))+ROW()/100000,"")</f>
        <v/>
      </c>
    </row>
    <row r="279">
      <c r="D279">
        <f>IF($E279="","",IFERROR(IF(INDEX('Per Invoice'!$A$2:$A$301,MATCH($E279,'Per Invoice'!$B$2:$B$301,0))=0,"",INDEX('Per Invoice'!$A$2:$A$301,MATCH($E279,'Per Invoice'!$B$2:$B$301,0))),""))</f>
        <v/>
      </c>
      <c r="H279" s="11" t="n"/>
      <c r="R279" s="7">
        <f>IF($E279="","",Q279*Z279/100)</f>
        <v/>
      </c>
      <c r="S279" s="7" t="n"/>
      <c r="Y279" s="7" t="n"/>
      <c r="Z279" s="7" t="n"/>
      <c r="AA279" s="7">
        <f>IF($E279="","",Z279*AF279/100)</f>
        <v/>
      </c>
      <c r="AB279" s="7">
        <f>IF($E279="","",Z279-AA279)</f>
        <v/>
      </c>
      <c r="AC279" s="7">
        <f>IF($E279="","",AB279-R279)</f>
        <v/>
      </c>
      <c r="AF279">
        <f>IF($E279="","",IF($AR279=1,0,IF($AQ279=1,Settings!$C$6,Settings!$C$7))*100)</f>
        <v/>
      </c>
      <c r="AJ279" s="7" t="n"/>
      <c r="AM279" s="11" t="n"/>
      <c r="AO279">
        <f>IF($E279="","",IF(COUNTIF($E$2:$E279,$E279)=1,1,0))</f>
        <v/>
      </c>
      <c r="AP279">
        <f>IF($AO279=1,SUMPRODUCT(--($AS$2:$AS$1001&lt;$AS279))+1,"")</f>
        <v/>
      </c>
      <c r="AQ279">
        <f>IF($E279="","",IF(OR($V279=TRUE(),$V279="TRUE"),1,0))</f>
        <v/>
      </c>
      <c r="AR279">
        <f>IF($E279="","",IF($AE279="Yes",1,0))</f>
        <v/>
      </c>
      <c r="AS279">
        <f>IF($AO279=1,IFERROR(IF(VALUE($E279)&lt;100000000,VALUE($E279),1000000000),IFERROR(IF(VALUE(MID($E279,2,20))&lt;100000000,VALUE(MID($E279,2,20)),1000000000),1000000000))+ROW()/100000,"")</f>
        <v/>
      </c>
    </row>
    <row r="280">
      <c r="D280">
        <f>IF($E280="","",IFERROR(IF(INDEX('Per Invoice'!$A$2:$A$301,MATCH($E280,'Per Invoice'!$B$2:$B$301,0))=0,"",INDEX('Per Invoice'!$A$2:$A$301,MATCH($E280,'Per Invoice'!$B$2:$B$301,0))),""))</f>
        <v/>
      </c>
      <c r="H280" s="11" t="n"/>
      <c r="R280" s="7">
        <f>IF($E280="","",Q280*Z280/100)</f>
        <v/>
      </c>
      <c r="S280" s="7" t="n"/>
      <c r="Y280" s="7" t="n"/>
      <c r="Z280" s="7" t="n"/>
      <c r="AA280" s="7">
        <f>IF($E280="","",Z280*AF280/100)</f>
        <v/>
      </c>
      <c r="AB280" s="7">
        <f>IF($E280="","",Z280-AA280)</f>
        <v/>
      </c>
      <c r="AC280" s="7">
        <f>IF($E280="","",AB280-R280)</f>
        <v/>
      </c>
      <c r="AF280">
        <f>IF($E280="","",IF($AR280=1,0,IF($AQ280=1,Settings!$C$6,Settings!$C$7))*100)</f>
        <v/>
      </c>
      <c r="AJ280" s="7" t="n"/>
      <c r="AM280" s="11" t="n"/>
      <c r="AO280">
        <f>IF($E280="","",IF(COUNTIF($E$2:$E280,$E280)=1,1,0))</f>
        <v/>
      </c>
      <c r="AP280">
        <f>IF($AO280=1,SUMPRODUCT(--($AS$2:$AS$1001&lt;$AS280))+1,"")</f>
        <v/>
      </c>
      <c r="AQ280">
        <f>IF($E280="","",IF(OR($V280=TRUE(),$V280="TRUE"),1,0))</f>
        <v/>
      </c>
      <c r="AR280">
        <f>IF($E280="","",IF($AE280="Yes",1,0))</f>
        <v/>
      </c>
      <c r="AS280">
        <f>IF($AO280=1,IFERROR(IF(VALUE($E280)&lt;100000000,VALUE($E280),1000000000),IFERROR(IF(VALUE(MID($E280,2,20))&lt;100000000,VALUE(MID($E280,2,20)),1000000000),1000000000))+ROW()/100000,"")</f>
        <v/>
      </c>
    </row>
    <row r="281">
      <c r="D281">
        <f>IF($E281="","",IFERROR(IF(INDEX('Per Invoice'!$A$2:$A$301,MATCH($E281,'Per Invoice'!$B$2:$B$301,0))=0,"",INDEX('Per Invoice'!$A$2:$A$301,MATCH($E281,'Per Invoice'!$B$2:$B$301,0))),""))</f>
        <v/>
      </c>
      <c r="H281" s="11" t="n"/>
      <c r="R281" s="7">
        <f>IF($E281="","",Q281*Z281/100)</f>
        <v/>
      </c>
      <c r="S281" s="7" t="n"/>
      <c r="Y281" s="7" t="n"/>
      <c r="Z281" s="7" t="n"/>
      <c r="AA281" s="7">
        <f>IF($E281="","",Z281*AF281/100)</f>
        <v/>
      </c>
      <c r="AB281" s="7">
        <f>IF($E281="","",Z281-AA281)</f>
        <v/>
      </c>
      <c r="AC281" s="7">
        <f>IF($E281="","",AB281-R281)</f>
        <v/>
      </c>
      <c r="AF281">
        <f>IF($E281="","",IF($AR281=1,0,IF($AQ281=1,Settings!$C$6,Settings!$C$7))*100)</f>
        <v/>
      </c>
      <c r="AJ281" s="7" t="n"/>
      <c r="AM281" s="11" t="n"/>
      <c r="AO281">
        <f>IF($E281="","",IF(COUNTIF($E$2:$E281,$E281)=1,1,0))</f>
        <v/>
      </c>
      <c r="AP281">
        <f>IF($AO281=1,SUMPRODUCT(--($AS$2:$AS$1001&lt;$AS281))+1,"")</f>
        <v/>
      </c>
      <c r="AQ281">
        <f>IF($E281="","",IF(OR($V281=TRUE(),$V281="TRUE"),1,0))</f>
        <v/>
      </c>
      <c r="AR281">
        <f>IF($E281="","",IF($AE281="Yes",1,0))</f>
        <v/>
      </c>
      <c r="AS281">
        <f>IF($AO281=1,IFERROR(IF(VALUE($E281)&lt;100000000,VALUE($E281),1000000000),IFERROR(IF(VALUE(MID($E281,2,20))&lt;100000000,VALUE(MID($E281,2,20)),1000000000),1000000000))+ROW()/100000,"")</f>
        <v/>
      </c>
    </row>
    <row r="282">
      <c r="D282">
        <f>IF($E282="","",IFERROR(IF(INDEX('Per Invoice'!$A$2:$A$301,MATCH($E282,'Per Invoice'!$B$2:$B$301,0))=0,"",INDEX('Per Invoice'!$A$2:$A$301,MATCH($E282,'Per Invoice'!$B$2:$B$301,0))),""))</f>
        <v/>
      </c>
      <c r="H282" s="11" t="n"/>
      <c r="R282" s="7">
        <f>IF($E282="","",Q282*Z282/100)</f>
        <v/>
      </c>
      <c r="S282" s="7" t="n"/>
      <c r="Y282" s="7" t="n"/>
      <c r="Z282" s="7" t="n"/>
      <c r="AA282" s="7">
        <f>IF($E282="","",Z282*AF282/100)</f>
        <v/>
      </c>
      <c r="AB282" s="7">
        <f>IF($E282="","",Z282-AA282)</f>
        <v/>
      </c>
      <c r="AC282" s="7">
        <f>IF($E282="","",AB282-R282)</f>
        <v/>
      </c>
      <c r="AF282">
        <f>IF($E282="","",IF($AR282=1,0,IF($AQ282=1,Settings!$C$6,Settings!$C$7))*100)</f>
        <v/>
      </c>
      <c r="AJ282" s="7" t="n"/>
      <c r="AM282" s="11" t="n"/>
      <c r="AO282">
        <f>IF($E282="","",IF(COUNTIF($E$2:$E282,$E282)=1,1,0))</f>
        <v/>
      </c>
      <c r="AP282">
        <f>IF($AO282=1,SUMPRODUCT(--($AS$2:$AS$1001&lt;$AS282))+1,"")</f>
        <v/>
      </c>
      <c r="AQ282">
        <f>IF($E282="","",IF(OR($V282=TRUE(),$V282="TRUE"),1,0))</f>
        <v/>
      </c>
      <c r="AR282">
        <f>IF($E282="","",IF($AE282="Yes",1,0))</f>
        <v/>
      </c>
      <c r="AS282">
        <f>IF($AO282=1,IFERROR(IF(VALUE($E282)&lt;100000000,VALUE($E282),1000000000),IFERROR(IF(VALUE(MID($E282,2,20))&lt;100000000,VALUE(MID($E282,2,20)),1000000000),1000000000))+ROW()/100000,"")</f>
        <v/>
      </c>
    </row>
    <row r="283">
      <c r="D283">
        <f>IF($E283="","",IFERROR(IF(INDEX('Per Invoice'!$A$2:$A$301,MATCH($E283,'Per Invoice'!$B$2:$B$301,0))=0,"",INDEX('Per Invoice'!$A$2:$A$301,MATCH($E283,'Per Invoice'!$B$2:$B$301,0))),""))</f>
        <v/>
      </c>
      <c r="H283" s="11" t="n"/>
      <c r="R283" s="7">
        <f>IF($E283="","",Q283*Z283/100)</f>
        <v/>
      </c>
      <c r="S283" s="7" t="n"/>
      <c r="Y283" s="7" t="n"/>
      <c r="Z283" s="7" t="n"/>
      <c r="AA283" s="7">
        <f>IF($E283="","",Z283*AF283/100)</f>
        <v/>
      </c>
      <c r="AB283" s="7">
        <f>IF($E283="","",Z283-AA283)</f>
        <v/>
      </c>
      <c r="AC283" s="7">
        <f>IF($E283="","",AB283-R283)</f>
        <v/>
      </c>
      <c r="AF283">
        <f>IF($E283="","",IF($AR283=1,0,IF($AQ283=1,Settings!$C$6,Settings!$C$7))*100)</f>
        <v/>
      </c>
      <c r="AJ283" s="7" t="n"/>
      <c r="AM283" s="11" t="n"/>
      <c r="AO283">
        <f>IF($E283="","",IF(COUNTIF($E$2:$E283,$E283)=1,1,0))</f>
        <v/>
      </c>
      <c r="AP283">
        <f>IF($AO283=1,SUMPRODUCT(--($AS$2:$AS$1001&lt;$AS283))+1,"")</f>
        <v/>
      </c>
      <c r="AQ283">
        <f>IF($E283="","",IF(OR($V283=TRUE(),$V283="TRUE"),1,0))</f>
        <v/>
      </c>
      <c r="AR283">
        <f>IF($E283="","",IF($AE283="Yes",1,0))</f>
        <v/>
      </c>
      <c r="AS283">
        <f>IF($AO283=1,IFERROR(IF(VALUE($E283)&lt;100000000,VALUE($E283),1000000000),IFERROR(IF(VALUE(MID($E283,2,20))&lt;100000000,VALUE(MID($E283,2,20)),1000000000),1000000000))+ROW()/100000,"")</f>
        <v/>
      </c>
    </row>
    <row r="284">
      <c r="D284">
        <f>IF($E284="","",IFERROR(IF(INDEX('Per Invoice'!$A$2:$A$301,MATCH($E284,'Per Invoice'!$B$2:$B$301,0))=0,"",INDEX('Per Invoice'!$A$2:$A$301,MATCH($E284,'Per Invoice'!$B$2:$B$301,0))),""))</f>
        <v/>
      </c>
      <c r="H284" s="11" t="n"/>
      <c r="R284" s="7">
        <f>IF($E284="","",Q284*Z284/100)</f>
        <v/>
      </c>
      <c r="S284" s="7" t="n"/>
      <c r="Y284" s="7" t="n"/>
      <c r="Z284" s="7" t="n"/>
      <c r="AA284" s="7">
        <f>IF($E284="","",Z284*AF284/100)</f>
        <v/>
      </c>
      <c r="AB284" s="7">
        <f>IF($E284="","",Z284-AA284)</f>
        <v/>
      </c>
      <c r="AC284" s="7">
        <f>IF($E284="","",AB284-R284)</f>
        <v/>
      </c>
      <c r="AF284">
        <f>IF($E284="","",IF($AR284=1,0,IF($AQ284=1,Settings!$C$6,Settings!$C$7))*100)</f>
        <v/>
      </c>
      <c r="AJ284" s="7" t="n"/>
      <c r="AM284" s="11" t="n"/>
      <c r="AO284">
        <f>IF($E284="","",IF(COUNTIF($E$2:$E284,$E284)=1,1,0))</f>
        <v/>
      </c>
      <c r="AP284">
        <f>IF($AO284=1,SUMPRODUCT(--($AS$2:$AS$1001&lt;$AS284))+1,"")</f>
        <v/>
      </c>
      <c r="AQ284">
        <f>IF($E284="","",IF(OR($V284=TRUE(),$V284="TRUE"),1,0))</f>
        <v/>
      </c>
      <c r="AR284">
        <f>IF($E284="","",IF($AE284="Yes",1,0))</f>
        <v/>
      </c>
      <c r="AS284">
        <f>IF($AO284=1,IFERROR(IF(VALUE($E284)&lt;100000000,VALUE($E284),1000000000),IFERROR(IF(VALUE(MID($E284,2,20))&lt;100000000,VALUE(MID($E284,2,20)),1000000000),1000000000))+ROW()/100000,"")</f>
        <v/>
      </c>
    </row>
    <row r="285">
      <c r="D285">
        <f>IF($E285="","",IFERROR(IF(INDEX('Per Invoice'!$A$2:$A$301,MATCH($E285,'Per Invoice'!$B$2:$B$301,0))=0,"",INDEX('Per Invoice'!$A$2:$A$301,MATCH($E285,'Per Invoice'!$B$2:$B$301,0))),""))</f>
        <v/>
      </c>
      <c r="H285" s="11" t="n"/>
      <c r="R285" s="7">
        <f>IF($E285="","",Q285*Z285/100)</f>
        <v/>
      </c>
      <c r="S285" s="7" t="n"/>
      <c r="Y285" s="7" t="n"/>
      <c r="Z285" s="7" t="n"/>
      <c r="AA285" s="7">
        <f>IF($E285="","",Z285*AF285/100)</f>
        <v/>
      </c>
      <c r="AB285" s="7">
        <f>IF($E285="","",Z285-AA285)</f>
        <v/>
      </c>
      <c r="AC285" s="7">
        <f>IF($E285="","",AB285-R285)</f>
        <v/>
      </c>
      <c r="AF285">
        <f>IF($E285="","",IF($AR285=1,0,IF($AQ285=1,Settings!$C$6,Settings!$C$7))*100)</f>
        <v/>
      </c>
      <c r="AJ285" s="7" t="n"/>
      <c r="AM285" s="11" t="n"/>
      <c r="AO285">
        <f>IF($E285="","",IF(COUNTIF($E$2:$E285,$E285)=1,1,0))</f>
        <v/>
      </c>
      <c r="AP285">
        <f>IF($AO285=1,SUMPRODUCT(--($AS$2:$AS$1001&lt;$AS285))+1,"")</f>
        <v/>
      </c>
      <c r="AQ285">
        <f>IF($E285="","",IF(OR($V285=TRUE(),$V285="TRUE"),1,0))</f>
        <v/>
      </c>
      <c r="AR285">
        <f>IF($E285="","",IF($AE285="Yes",1,0))</f>
        <v/>
      </c>
      <c r="AS285">
        <f>IF($AO285=1,IFERROR(IF(VALUE($E285)&lt;100000000,VALUE($E285),1000000000),IFERROR(IF(VALUE(MID($E285,2,20))&lt;100000000,VALUE(MID($E285,2,20)),1000000000),1000000000))+ROW()/100000,"")</f>
        <v/>
      </c>
    </row>
    <row r="286">
      <c r="D286">
        <f>IF($E286="","",IFERROR(IF(INDEX('Per Invoice'!$A$2:$A$301,MATCH($E286,'Per Invoice'!$B$2:$B$301,0))=0,"",INDEX('Per Invoice'!$A$2:$A$301,MATCH($E286,'Per Invoice'!$B$2:$B$301,0))),""))</f>
        <v/>
      </c>
      <c r="H286" s="11" t="n"/>
      <c r="R286" s="7">
        <f>IF($E286="","",Q286*Z286/100)</f>
        <v/>
      </c>
      <c r="S286" s="7" t="n"/>
      <c r="Y286" s="7" t="n"/>
      <c r="Z286" s="7" t="n"/>
      <c r="AA286" s="7">
        <f>IF($E286="","",Z286*AF286/100)</f>
        <v/>
      </c>
      <c r="AB286" s="7">
        <f>IF($E286="","",Z286-AA286)</f>
        <v/>
      </c>
      <c r="AC286" s="7">
        <f>IF($E286="","",AB286-R286)</f>
        <v/>
      </c>
      <c r="AF286">
        <f>IF($E286="","",IF($AR286=1,0,IF($AQ286=1,Settings!$C$6,Settings!$C$7))*100)</f>
        <v/>
      </c>
      <c r="AJ286" s="7" t="n"/>
      <c r="AM286" s="11" t="n"/>
      <c r="AO286">
        <f>IF($E286="","",IF(COUNTIF($E$2:$E286,$E286)=1,1,0))</f>
        <v/>
      </c>
      <c r="AP286">
        <f>IF($AO286=1,SUMPRODUCT(--($AS$2:$AS$1001&lt;$AS286))+1,"")</f>
        <v/>
      </c>
      <c r="AQ286">
        <f>IF($E286="","",IF(OR($V286=TRUE(),$V286="TRUE"),1,0))</f>
        <v/>
      </c>
      <c r="AR286">
        <f>IF($E286="","",IF($AE286="Yes",1,0))</f>
        <v/>
      </c>
      <c r="AS286">
        <f>IF($AO286=1,IFERROR(IF(VALUE($E286)&lt;100000000,VALUE($E286),1000000000),IFERROR(IF(VALUE(MID($E286,2,20))&lt;100000000,VALUE(MID($E286,2,20)),1000000000),1000000000))+ROW()/100000,"")</f>
        <v/>
      </c>
    </row>
    <row r="287">
      <c r="D287">
        <f>IF($E287="","",IFERROR(IF(INDEX('Per Invoice'!$A$2:$A$301,MATCH($E287,'Per Invoice'!$B$2:$B$301,0))=0,"",INDEX('Per Invoice'!$A$2:$A$301,MATCH($E287,'Per Invoice'!$B$2:$B$301,0))),""))</f>
        <v/>
      </c>
      <c r="H287" s="11" t="n"/>
      <c r="R287" s="7">
        <f>IF($E287="","",Q287*Z287/100)</f>
        <v/>
      </c>
      <c r="S287" s="7" t="n"/>
      <c r="Y287" s="7" t="n"/>
      <c r="Z287" s="7" t="n"/>
      <c r="AA287" s="7">
        <f>IF($E287="","",Z287*AF287/100)</f>
        <v/>
      </c>
      <c r="AB287" s="7">
        <f>IF($E287="","",Z287-AA287)</f>
        <v/>
      </c>
      <c r="AC287" s="7">
        <f>IF($E287="","",AB287-R287)</f>
        <v/>
      </c>
      <c r="AF287">
        <f>IF($E287="","",IF($AR287=1,0,IF($AQ287=1,Settings!$C$6,Settings!$C$7))*100)</f>
        <v/>
      </c>
      <c r="AJ287" s="7" t="n"/>
      <c r="AM287" s="11" t="n"/>
      <c r="AO287">
        <f>IF($E287="","",IF(COUNTIF($E$2:$E287,$E287)=1,1,0))</f>
        <v/>
      </c>
      <c r="AP287">
        <f>IF($AO287=1,SUMPRODUCT(--($AS$2:$AS$1001&lt;$AS287))+1,"")</f>
        <v/>
      </c>
      <c r="AQ287">
        <f>IF($E287="","",IF(OR($V287=TRUE(),$V287="TRUE"),1,0))</f>
        <v/>
      </c>
      <c r="AR287">
        <f>IF($E287="","",IF($AE287="Yes",1,0))</f>
        <v/>
      </c>
      <c r="AS287">
        <f>IF($AO287=1,IFERROR(IF(VALUE($E287)&lt;100000000,VALUE($E287),1000000000),IFERROR(IF(VALUE(MID($E287,2,20))&lt;100000000,VALUE(MID($E287,2,20)),1000000000),1000000000))+ROW()/100000,"")</f>
        <v/>
      </c>
    </row>
    <row r="288">
      <c r="D288">
        <f>IF($E288="","",IFERROR(IF(INDEX('Per Invoice'!$A$2:$A$301,MATCH($E288,'Per Invoice'!$B$2:$B$301,0))=0,"",INDEX('Per Invoice'!$A$2:$A$301,MATCH($E288,'Per Invoice'!$B$2:$B$301,0))),""))</f>
        <v/>
      </c>
      <c r="H288" s="11" t="n"/>
      <c r="R288" s="7">
        <f>IF($E288="","",Q288*Z288/100)</f>
        <v/>
      </c>
      <c r="S288" s="7" t="n"/>
      <c r="Y288" s="7" t="n"/>
      <c r="Z288" s="7" t="n"/>
      <c r="AA288" s="7">
        <f>IF($E288="","",Z288*AF288/100)</f>
        <v/>
      </c>
      <c r="AB288" s="7">
        <f>IF($E288="","",Z288-AA288)</f>
        <v/>
      </c>
      <c r="AC288" s="7">
        <f>IF($E288="","",AB288-R288)</f>
        <v/>
      </c>
      <c r="AF288">
        <f>IF($E288="","",IF($AR288=1,0,IF($AQ288=1,Settings!$C$6,Settings!$C$7))*100)</f>
        <v/>
      </c>
      <c r="AJ288" s="7" t="n"/>
      <c r="AM288" s="11" t="n"/>
      <c r="AO288">
        <f>IF($E288="","",IF(COUNTIF($E$2:$E288,$E288)=1,1,0))</f>
        <v/>
      </c>
      <c r="AP288">
        <f>IF($AO288=1,SUMPRODUCT(--($AS$2:$AS$1001&lt;$AS288))+1,"")</f>
        <v/>
      </c>
      <c r="AQ288">
        <f>IF($E288="","",IF(OR($V288=TRUE(),$V288="TRUE"),1,0))</f>
        <v/>
      </c>
      <c r="AR288">
        <f>IF($E288="","",IF($AE288="Yes",1,0))</f>
        <v/>
      </c>
      <c r="AS288">
        <f>IF($AO288=1,IFERROR(IF(VALUE($E288)&lt;100000000,VALUE($E288),1000000000),IFERROR(IF(VALUE(MID($E288,2,20))&lt;100000000,VALUE(MID($E288,2,20)),1000000000),1000000000))+ROW()/100000,"")</f>
        <v/>
      </c>
    </row>
    <row r="289">
      <c r="D289">
        <f>IF($E289="","",IFERROR(IF(INDEX('Per Invoice'!$A$2:$A$301,MATCH($E289,'Per Invoice'!$B$2:$B$301,0))=0,"",INDEX('Per Invoice'!$A$2:$A$301,MATCH($E289,'Per Invoice'!$B$2:$B$301,0))),""))</f>
        <v/>
      </c>
      <c r="H289" s="11" t="n"/>
      <c r="R289" s="7">
        <f>IF($E289="","",Q289*Z289/100)</f>
        <v/>
      </c>
      <c r="S289" s="7" t="n"/>
      <c r="Y289" s="7" t="n"/>
      <c r="Z289" s="7" t="n"/>
      <c r="AA289" s="7">
        <f>IF($E289="","",Z289*AF289/100)</f>
        <v/>
      </c>
      <c r="AB289" s="7">
        <f>IF($E289="","",Z289-AA289)</f>
        <v/>
      </c>
      <c r="AC289" s="7">
        <f>IF($E289="","",AB289-R289)</f>
        <v/>
      </c>
      <c r="AF289">
        <f>IF($E289="","",IF($AR289=1,0,IF($AQ289=1,Settings!$C$6,Settings!$C$7))*100)</f>
        <v/>
      </c>
      <c r="AJ289" s="7" t="n"/>
      <c r="AM289" s="11" t="n"/>
      <c r="AO289">
        <f>IF($E289="","",IF(COUNTIF($E$2:$E289,$E289)=1,1,0))</f>
        <v/>
      </c>
      <c r="AP289">
        <f>IF($AO289=1,SUMPRODUCT(--($AS$2:$AS$1001&lt;$AS289))+1,"")</f>
        <v/>
      </c>
      <c r="AQ289">
        <f>IF($E289="","",IF(OR($V289=TRUE(),$V289="TRUE"),1,0))</f>
        <v/>
      </c>
      <c r="AR289">
        <f>IF($E289="","",IF($AE289="Yes",1,0))</f>
        <v/>
      </c>
      <c r="AS289">
        <f>IF($AO289=1,IFERROR(IF(VALUE($E289)&lt;100000000,VALUE($E289),1000000000),IFERROR(IF(VALUE(MID($E289,2,20))&lt;100000000,VALUE(MID($E289,2,20)),1000000000),1000000000))+ROW()/100000,"")</f>
        <v/>
      </c>
    </row>
    <row r="290">
      <c r="D290">
        <f>IF($E290="","",IFERROR(IF(INDEX('Per Invoice'!$A$2:$A$301,MATCH($E290,'Per Invoice'!$B$2:$B$301,0))=0,"",INDEX('Per Invoice'!$A$2:$A$301,MATCH($E290,'Per Invoice'!$B$2:$B$301,0))),""))</f>
        <v/>
      </c>
      <c r="H290" s="11" t="n"/>
      <c r="R290" s="7">
        <f>IF($E290="","",Q290*Z290/100)</f>
        <v/>
      </c>
      <c r="S290" s="7" t="n"/>
      <c r="Y290" s="7" t="n"/>
      <c r="Z290" s="7" t="n"/>
      <c r="AA290" s="7">
        <f>IF($E290="","",Z290*AF290/100)</f>
        <v/>
      </c>
      <c r="AB290" s="7">
        <f>IF($E290="","",Z290-AA290)</f>
        <v/>
      </c>
      <c r="AC290" s="7">
        <f>IF($E290="","",AB290-R290)</f>
        <v/>
      </c>
      <c r="AF290">
        <f>IF($E290="","",IF($AR290=1,0,IF($AQ290=1,Settings!$C$6,Settings!$C$7))*100)</f>
        <v/>
      </c>
      <c r="AJ290" s="7" t="n"/>
      <c r="AM290" s="11" t="n"/>
      <c r="AO290">
        <f>IF($E290="","",IF(COUNTIF($E$2:$E290,$E290)=1,1,0))</f>
        <v/>
      </c>
      <c r="AP290">
        <f>IF($AO290=1,SUMPRODUCT(--($AS$2:$AS$1001&lt;$AS290))+1,"")</f>
        <v/>
      </c>
      <c r="AQ290">
        <f>IF($E290="","",IF(OR($V290=TRUE(),$V290="TRUE"),1,0))</f>
        <v/>
      </c>
      <c r="AR290">
        <f>IF($E290="","",IF($AE290="Yes",1,0))</f>
        <v/>
      </c>
      <c r="AS290">
        <f>IF($AO290=1,IFERROR(IF(VALUE($E290)&lt;100000000,VALUE($E290),1000000000),IFERROR(IF(VALUE(MID($E290,2,20))&lt;100000000,VALUE(MID($E290,2,20)),1000000000),1000000000))+ROW()/100000,"")</f>
        <v/>
      </c>
    </row>
    <row r="291">
      <c r="D291">
        <f>IF($E291="","",IFERROR(IF(INDEX('Per Invoice'!$A$2:$A$301,MATCH($E291,'Per Invoice'!$B$2:$B$301,0))=0,"",INDEX('Per Invoice'!$A$2:$A$301,MATCH($E291,'Per Invoice'!$B$2:$B$301,0))),""))</f>
        <v/>
      </c>
      <c r="H291" s="11" t="n"/>
      <c r="R291" s="7">
        <f>IF($E291="","",Q291*Z291/100)</f>
        <v/>
      </c>
      <c r="S291" s="7" t="n"/>
      <c r="Y291" s="7" t="n"/>
      <c r="Z291" s="7" t="n"/>
      <c r="AA291" s="7">
        <f>IF($E291="","",Z291*AF291/100)</f>
        <v/>
      </c>
      <c r="AB291" s="7">
        <f>IF($E291="","",Z291-AA291)</f>
        <v/>
      </c>
      <c r="AC291" s="7">
        <f>IF($E291="","",AB291-R291)</f>
        <v/>
      </c>
      <c r="AF291">
        <f>IF($E291="","",IF($AR291=1,0,IF($AQ291=1,Settings!$C$6,Settings!$C$7))*100)</f>
        <v/>
      </c>
      <c r="AJ291" s="7" t="n"/>
      <c r="AM291" s="11" t="n"/>
      <c r="AO291">
        <f>IF($E291="","",IF(COUNTIF($E$2:$E291,$E291)=1,1,0))</f>
        <v/>
      </c>
      <c r="AP291">
        <f>IF($AO291=1,SUMPRODUCT(--($AS$2:$AS$1001&lt;$AS291))+1,"")</f>
        <v/>
      </c>
      <c r="AQ291">
        <f>IF($E291="","",IF(OR($V291=TRUE(),$V291="TRUE"),1,0))</f>
        <v/>
      </c>
      <c r="AR291">
        <f>IF($E291="","",IF($AE291="Yes",1,0))</f>
        <v/>
      </c>
      <c r="AS291">
        <f>IF($AO291=1,IFERROR(IF(VALUE($E291)&lt;100000000,VALUE($E291),1000000000),IFERROR(IF(VALUE(MID($E291,2,20))&lt;100000000,VALUE(MID($E291,2,20)),1000000000),1000000000))+ROW()/100000,"")</f>
        <v/>
      </c>
    </row>
    <row r="292">
      <c r="D292">
        <f>IF($E292="","",IFERROR(IF(INDEX('Per Invoice'!$A$2:$A$301,MATCH($E292,'Per Invoice'!$B$2:$B$301,0))=0,"",INDEX('Per Invoice'!$A$2:$A$301,MATCH($E292,'Per Invoice'!$B$2:$B$301,0))),""))</f>
        <v/>
      </c>
      <c r="H292" s="11" t="n"/>
      <c r="R292" s="7">
        <f>IF($E292="","",Q292*Z292/100)</f>
        <v/>
      </c>
      <c r="S292" s="7" t="n"/>
      <c r="Y292" s="7" t="n"/>
      <c r="Z292" s="7" t="n"/>
      <c r="AA292" s="7">
        <f>IF($E292="","",Z292*AF292/100)</f>
        <v/>
      </c>
      <c r="AB292" s="7">
        <f>IF($E292="","",Z292-AA292)</f>
        <v/>
      </c>
      <c r="AC292" s="7">
        <f>IF($E292="","",AB292-R292)</f>
        <v/>
      </c>
      <c r="AF292">
        <f>IF($E292="","",IF($AR292=1,0,IF($AQ292=1,Settings!$C$6,Settings!$C$7))*100)</f>
        <v/>
      </c>
      <c r="AJ292" s="7" t="n"/>
      <c r="AM292" s="11" t="n"/>
      <c r="AO292">
        <f>IF($E292="","",IF(COUNTIF($E$2:$E292,$E292)=1,1,0))</f>
        <v/>
      </c>
      <c r="AP292">
        <f>IF($AO292=1,SUMPRODUCT(--($AS$2:$AS$1001&lt;$AS292))+1,"")</f>
        <v/>
      </c>
      <c r="AQ292">
        <f>IF($E292="","",IF(OR($V292=TRUE(),$V292="TRUE"),1,0))</f>
        <v/>
      </c>
      <c r="AR292">
        <f>IF($E292="","",IF($AE292="Yes",1,0))</f>
        <v/>
      </c>
      <c r="AS292">
        <f>IF($AO292=1,IFERROR(IF(VALUE($E292)&lt;100000000,VALUE($E292),1000000000),IFERROR(IF(VALUE(MID($E292,2,20))&lt;100000000,VALUE(MID($E292,2,20)),1000000000),1000000000))+ROW()/100000,"")</f>
        <v/>
      </c>
    </row>
    <row r="293">
      <c r="D293">
        <f>IF($E293="","",IFERROR(IF(INDEX('Per Invoice'!$A$2:$A$301,MATCH($E293,'Per Invoice'!$B$2:$B$301,0))=0,"",INDEX('Per Invoice'!$A$2:$A$301,MATCH($E293,'Per Invoice'!$B$2:$B$301,0))),""))</f>
        <v/>
      </c>
      <c r="H293" s="11" t="n"/>
      <c r="R293" s="7">
        <f>IF($E293="","",Q293*Z293/100)</f>
        <v/>
      </c>
      <c r="S293" s="7" t="n"/>
      <c r="Y293" s="7" t="n"/>
      <c r="Z293" s="7" t="n"/>
      <c r="AA293" s="7">
        <f>IF($E293="","",Z293*AF293/100)</f>
        <v/>
      </c>
      <c r="AB293" s="7">
        <f>IF($E293="","",Z293-AA293)</f>
        <v/>
      </c>
      <c r="AC293" s="7">
        <f>IF($E293="","",AB293-R293)</f>
        <v/>
      </c>
      <c r="AF293">
        <f>IF($E293="","",IF($AR293=1,0,IF($AQ293=1,Settings!$C$6,Settings!$C$7))*100)</f>
        <v/>
      </c>
      <c r="AJ293" s="7" t="n"/>
      <c r="AM293" s="11" t="n"/>
      <c r="AO293">
        <f>IF($E293="","",IF(COUNTIF($E$2:$E293,$E293)=1,1,0))</f>
        <v/>
      </c>
      <c r="AP293">
        <f>IF($AO293=1,SUMPRODUCT(--($AS$2:$AS$1001&lt;$AS293))+1,"")</f>
        <v/>
      </c>
      <c r="AQ293">
        <f>IF($E293="","",IF(OR($V293=TRUE(),$V293="TRUE"),1,0))</f>
        <v/>
      </c>
      <c r="AR293">
        <f>IF($E293="","",IF($AE293="Yes",1,0))</f>
        <v/>
      </c>
      <c r="AS293">
        <f>IF($AO293=1,IFERROR(IF(VALUE($E293)&lt;100000000,VALUE($E293),1000000000),IFERROR(IF(VALUE(MID($E293,2,20))&lt;100000000,VALUE(MID($E293,2,20)),1000000000),1000000000))+ROW()/100000,"")</f>
        <v/>
      </c>
    </row>
    <row r="294">
      <c r="D294">
        <f>IF($E294="","",IFERROR(IF(INDEX('Per Invoice'!$A$2:$A$301,MATCH($E294,'Per Invoice'!$B$2:$B$301,0))=0,"",INDEX('Per Invoice'!$A$2:$A$301,MATCH($E294,'Per Invoice'!$B$2:$B$301,0))),""))</f>
        <v/>
      </c>
      <c r="H294" s="11" t="n"/>
      <c r="R294" s="7">
        <f>IF($E294="","",Q294*Z294/100)</f>
        <v/>
      </c>
      <c r="S294" s="7" t="n"/>
      <c r="Y294" s="7" t="n"/>
      <c r="Z294" s="7" t="n"/>
      <c r="AA294" s="7">
        <f>IF($E294="","",Z294*AF294/100)</f>
        <v/>
      </c>
      <c r="AB294" s="7">
        <f>IF($E294="","",Z294-AA294)</f>
        <v/>
      </c>
      <c r="AC294" s="7">
        <f>IF($E294="","",AB294-R294)</f>
        <v/>
      </c>
      <c r="AF294">
        <f>IF($E294="","",IF($AR294=1,0,IF($AQ294=1,Settings!$C$6,Settings!$C$7))*100)</f>
        <v/>
      </c>
      <c r="AJ294" s="7" t="n"/>
      <c r="AM294" s="11" t="n"/>
      <c r="AO294">
        <f>IF($E294="","",IF(COUNTIF($E$2:$E294,$E294)=1,1,0))</f>
        <v/>
      </c>
      <c r="AP294">
        <f>IF($AO294=1,SUMPRODUCT(--($AS$2:$AS$1001&lt;$AS294))+1,"")</f>
        <v/>
      </c>
      <c r="AQ294">
        <f>IF($E294="","",IF(OR($V294=TRUE(),$V294="TRUE"),1,0))</f>
        <v/>
      </c>
      <c r="AR294">
        <f>IF($E294="","",IF($AE294="Yes",1,0))</f>
        <v/>
      </c>
      <c r="AS294">
        <f>IF($AO294=1,IFERROR(IF(VALUE($E294)&lt;100000000,VALUE($E294),1000000000),IFERROR(IF(VALUE(MID($E294,2,20))&lt;100000000,VALUE(MID($E294,2,20)),1000000000),1000000000))+ROW()/100000,"")</f>
        <v/>
      </c>
    </row>
    <row r="295">
      <c r="D295">
        <f>IF($E295="","",IFERROR(IF(INDEX('Per Invoice'!$A$2:$A$301,MATCH($E295,'Per Invoice'!$B$2:$B$301,0))=0,"",INDEX('Per Invoice'!$A$2:$A$301,MATCH($E295,'Per Invoice'!$B$2:$B$301,0))),""))</f>
        <v/>
      </c>
      <c r="H295" s="11" t="n"/>
      <c r="R295" s="7">
        <f>IF($E295="","",Q295*Z295/100)</f>
        <v/>
      </c>
      <c r="S295" s="7" t="n"/>
      <c r="Y295" s="7" t="n"/>
      <c r="Z295" s="7" t="n"/>
      <c r="AA295" s="7">
        <f>IF($E295="","",Z295*AF295/100)</f>
        <v/>
      </c>
      <c r="AB295" s="7">
        <f>IF($E295="","",Z295-AA295)</f>
        <v/>
      </c>
      <c r="AC295" s="7">
        <f>IF($E295="","",AB295-R295)</f>
        <v/>
      </c>
      <c r="AF295">
        <f>IF($E295="","",IF($AR295=1,0,IF($AQ295=1,Settings!$C$6,Settings!$C$7))*100)</f>
        <v/>
      </c>
      <c r="AJ295" s="7" t="n"/>
      <c r="AM295" s="11" t="n"/>
      <c r="AO295">
        <f>IF($E295="","",IF(COUNTIF($E$2:$E295,$E295)=1,1,0))</f>
        <v/>
      </c>
      <c r="AP295">
        <f>IF($AO295=1,SUMPRODUCT(--($AS$2:$AS$1001&lt;$AS295))+1,"")</f>
        <v/>
      </c>
      <c r="AQ295">
        <f>IF($E295="","",IF(OR($V295=TRUE(),$V295="TRUE"),1,0))</f>
        <v/>
      </c>
      <c r="AR295">
        <f>IF($E295="","",IF($AE295="Yes",1,0))</f>
        <v/>
      </c>
      <c r="AS295">
        <f>IF($AO295=1,IFERROR(IF(VALUE($E295)&lt;100000000,VALUE($E295),1000000000),IFERROR(IF(VALUE(MID($E295,2,20))&lt;100000000,VALUE(MID($E295,2,20)),1000000000),1000000000))+ROW()/100000,"")</f>
        <v/>
      </c>
    </row>
    <row r="296">
      <c r="D296">
        <f>IF($E296="","",IFERROR(IF(INDEX('Per Invoice'!$A$2:$A$301,MATCH($E296,'Per Invoice'!$B$2:$B$301,0))=0,"",INDEX('Per Invoice'!$A$2:$A$301,MATCH($E296,'Per Invoice'!$B$2:$B$301,0))),""))</f>
        <v/>
      </c>
      <c r="H296" s="11" t="n"/>
      <c r="R296" s="7">
        <f>IF($E296="","",Q296*Z296/100)</f>
        <v/>
      </c>
      <c r="S296" s="7" t="n"/>
      <c r="Y296" s="7" t="n"/>
      <c r="Z296" s="7" t="n"/>
      <c r="AA296" s="7">
        <f>IF($E296="","",Z296*AF296/100)</f>
        <v/>
      </c>
      <c r="AB296" s="7">
        <f>IF($E296="","",Z296-AA296)</f>
        <v/>
      </c>
      <c r="AC296" s="7">
        <f>IF($E296="","",AB296-R296)</f>
        <v/>
      </c>
      <c r="AF296">
        <f>IF($E296="","",IF($AR296=1,0,IF($AQ296=1,Settings!$C$6,Settings!$C$7))*100)</f>
        <v/>
      </c>
      <c r="AJ296" s="7" t="n"/>
      <c r="AM296" s="11" t="n"/>
      <c r="AO296">
        <f>IF($E296="","",IF(COUNTIF($E$2:$E296,$E296)=1,1,0))</f>
        <v/>
      </c>
      <c r="AP296">
        <f>IF($AO296=1,SUMPRODUCT(--($AS$2:$AS$1001&lt;$AS296))+1,"")</f>
        <v/>
      </c>
      <c r="AQ296">
        <f>IF($E296="","",IF(OR($V296=TRUE(),$V296="TRUE"),1,0))</f>
        <v/>
      </c>
      <c r="AR296">
        <f>IF($E296="","",IF($AE296="Yes",1,0))</f>
        <v/>
      </c>
      <c r="AS296">
        <f>IF($AO296=1,IFERROR(IF(VALUE($E296)&lt;100000000,VALUE($E296),1000000000),IFERROR(IF(VALUE(MID($E296,2,20))&lt;100000000,VALUE(MID($E296,2,20)),1000000000),1000000000))+ROW()/100000,"")</f>
        <v/>
      </c>
    </row>
    <row r="297">
      <c r="D297">
        <f>IF($E297="","",IFERROR(IF(INDEX('Per Invoice'!$A$2:$A$301,MATCH($E297,'Per Invoice'!$B$2:$B$301,0))=0,"",INDEX('Per Invoice'!$A$2:$A$301,MATCH($E297,'Per Invoice'!$B$2:$B$301,0))),""))</f>
        <v/>
      </c>
      <c r="H297" s="11" t="n"/>
      <c r="R297" s="7">
        <f>IF($E297="","",Q297*Z297/100)</f>
        <v/>
      </c>
      <c r="S297" s="7" t="n"/>
      <c r="Y297" s="7" t="n"/>
      <c r="Z297" s="7" t="n"/>
      <c r="AA297" s="7">
        <f>IF($E297="","",Z297*AF297/100)</f>
        <v/>
      </c>
      <c r="AB297" s="7">
        <f>IF($E297="","",Z297-AA297)</f>
        <v/>
      </c>
      <c r="AC297" s="7">
        <f>IF($E297="","",AB297-R297)</f>
        <v/>
      </c>
      <c r="AF297">
        <f>IF($E297="","",IF($AR297=1,0,IF($AQ297=1,Settings!$C$6,Settings!$C$7))*100)</f>
        <v/>
      </c>
      <c r="AJ297" s="7" t="n"/>
      <c r="AM297" s="11" t="n"/>
      <c r="AO297">
        <f>IF($E297="","",IF(COUNTIF($E$2:$E297,$E297)=1,1,0))</f>
        <v/>
      </c>
      <c r="AP297">
        <f>IF($AO297=1,SUMPRODUCT(--($AS$2:$AS$1001&lt;$AS297))+1,"")</f>
        <v/>
      </c>
      <c r="AQ297">
        <f>IF($E297="","",IF(OR($V297=TRUE(),$V297="TRUE"),1,0))</f>
        <v/>
      </c>
      <c r="AR297">
        <f>IF($E297="","",IF($AE297="Yes",1,0))</f>
        <v/>
      </c>
      <c r="AS297">
        <f>IF($AO297=1,IFERROR(IF(VALUE($E297)&lt;100000000,VALUE($E297),1000000000),IFERROR(IF(VALUE(MID($E297,2,20))&lt;100000000,VALUE(MID($E297,2,20)),1000000000),1000000000))+ROW()/100000,"")</f>
        <v/>
      </c>
    </row>
    <row r="298">
      <c r="D298">
        <f>IF($E298="","",IFERROR(IF(INDEX('Per Invoice'!$A$2:$A$301,MATCH($E298,'Per Invoice'!$B$2:$B$301,0))=0,"",INDEX('Per Invoice'!$A$2:$A$301,MATCH($E298,'Per Invoice'!$B$2:$B$301,0))),""))</f>
        <v/>
      </c>
      <c r="H298" s="11" t="n"/>
      <c r="R298" s="7">
        <f>IF($E298="","",Q298*Z298/100)</f>
        <v/>
      </c>
      <c r="S298" s="7" t="n"/>
      <c r="Y298" s="7" t="n"/>
      <c r="Z298" s="7" t="n"/>
      <c r="AA298" s="7">
        <f>IF($E298="","",Z298*AF298/100)</f>
        <v/>
      </c>
      <c r="AB298" s="7">
        <f>IF($E298="","",Z298-AA298)</f>
        <v/>
      </c>
      <c r="AC298" s="7">
        <f>IF($E298="","",AB298-R298)</f>
        <v/>
      </c>
      <c r="AF298">
        <f>IF($E298="","",IF($AR298=1,0,IF($AQ298=1,Settings!$C$6,Settings!$C$7))*100)</f>
        <v/>
      </c>
      <c r="AJ298" s="7" t="n"/>
      <c r="AM298" s="11" t="n"/>
      <c r="AO298">
        <f>IF($E298="","",IF(COUNTIF($E$2:$E298,$E298)=1,1,0))</f>
        <v/>
      </c>
      <c r="AP298">
        <f>IF($AO298=1,SUMPRODUCT(--($AS$2:$AS$1001&lt;$AS298))+1,"")</f>
        <v/>
      </c>
      <c r="AQ298">
        <f>IF($E298="","",IF(OR($V298=TRUE(),$V298="TRUE"),1,0))</f>
        <v/>
      </c>
      <c r="AR298">
        <f>IF($E298="","",IF($AE298="Yes",1,0))</f>
        <v/>
      </c>
      <c r="AS298">
        <f>IF($AO298=1,IFERROR(IF(VALUE($E298)&lt;100000000,VALUE($E298),1000000000),IFERROR(IF(VALUE(MID($E298,2,20))&lt;100000000,VALUE(MID($E298,2,20)),1000000000),1000000000))+ROW()/100000,"")</f>
        <v/>
      </c>
    </row>
    <row r="299">
      <c r="D299">
        <f>IF($E299="","",IFERROR(IF(INDEX('Per Invoice'!$A$2:$A$301,MATCH($E299,'Per Invoice'!$B$2:$B$301,0))=0,"",INDEX('Per Invoice'!$A$2:$A$301,MATCH($E299,'Per Invoice'!$B$2:$B$301,0))),""))</f>
        <v/>
      </c>
      <c r="H299" s="11" t="n"/>
      <c r="R299" s="7">
        <f>IF($E299="","",Q299*Z299/100)</f>
        <v/>
      </c>
      <c r="S299" s="7" t="n"/>
      <c r="Y299" s="7" t="n"/>
      <c r="Z299" s="7" t="n"/>
      <c r="AA299" s="7">
        <f>IF($E299="","",Z299*AF299/100)</f>
        <v/>
      </c>
      <c r="AB299" s="7">
        <f>IF($E299="","",Z299-AA299)</f>
        <v/>
      </c>
      <c r="AC299" s="7">
        <f>IF($E299="","",AB299-R299)</f>
        <v/>
      </c>
      <c r="AF299">
        <f>IF($E299="","",IF($AR299=1,0,IF($AQ299=1,Settings!$C$6,Settings!$C$7))*100)</f>
        <v/>
      </c>
      <c r="AJ299" s="7" t="n"/>
      <c r="AM299" s="11" t="n"/>
      <c r="AO299">
        <f>IF($E299="","",IF(COUNTIF($E$2:$E299,$E299)=1,1,0))</f>
        <v/>
      </c>
      <c r="AP299">
        <f>IF($AO299=1,SUMPRODUCT(--($AS$2:$AS$1001&lt;$AS299))+1,"")</f>
        <v/>
      </c>
      <c r="AQ299">
        <f>IF($E299="","",IF(OR($V299=TRUE(),$V299="TRUE"),1,0))</f>
        <v/>
      </c>
      <c r="AR299">
        <f>IF($E299="","",IF($AE299="Yes",1,0))</f>
        <v/>
      </c>
      <c r="AS299">
        <f>IF($AO299=1,IFERROR(IF(VALUE($E299)&lt;100000000,VALUE($E299),1000000000),IFERROR(IF(VALUE(MID($E299,2,20))&lt;100000000,VALUE(MID($E299,2,20)),1000000000),1000000000))+ROW()/100000,"")</f>
        <v/>
      </c>
    </row>
    <row r="300">
      <c r="D300">
        <f>IF($E300="","",IFERROR(IF(INDEX('Per Invoice'!$A$2:$A$301,MATCH($E300,'Per Invoice'!$B$2:$B$301,0))=0,"",INDEX('Per Invoice'!$A$2:$A$301,MATCH($E300,'Per Invoice'!$B$2:$B$301,0))),""))</f>
        <v/>
      </c>
      <c r="H300" s="11" t="n"/>
      <c r="R300" s="7">
        <f>IF($E300="","",Q300*Z300/100)</f>
        <v/>
      </c>
      <c r="S300" s="7" t="n"/>
      <c r="Y300" s="7" t="n"/>
      <c r="Z300" s="7" t="n"/>
      <c r="AA300" s="7">
        <f>IF($E300="","",Z300*AF300/100)</f>
        <v/>
      </c>
      <c r="AB300" s="7">
        <f>IF($E300="","",Z300-AA300)</f>
        <v/>
      </c>
      <c r="AC300" s="7">
        <f>IF($E300="","",AB300-R300)</f>
        <v/>
      </c>
      <c r="AF300">
        <f>IF($E300="","",IF($AR300=1,0,IF($AQ300=1,Settings!$C$6,Settings!$C$7))*100)</f>
        <v/>
      </c>
      <c r="AJ300" s="7" t="n"/>
      <c r="AM300" s="11" t="n"/>
      <c r="AO300">
        <f>IF($E300="","",IF(COUNTIF($E$2:$E300,$E300)=1,1,0))</f>
        <v/>
      </c>
      <c r="AP300">
        <f>IF($AO300=1,SUMPRODUCT(--($AS$2:$AS$1001&lt;$AS300))+1,"")</f>
        <v/>
      </c>
      <c r="AQ300">
        <f>IF($E300="","",IF(OR($V300=TRUE(),$V300="TRUE"),1,0))</f>
        <v/>
      </c>
      <c r="AR300">
        <f>IF($E300="","",IF($AE300="Yes",1,0))</f>
        <v/>
      </c>
      <c r="AS300">
        <f>IF($AO300=1,IFERROR(IF(VALUE($E300)&lt;100000000,VALUE($E300),1000000000),IFERROR(IF(VALUE(MID($E300,2,20))&lt;100000000,VALUE(MID($E300,2,20)),1000000000),1000000000))+ROW()/100000,"")</f>
        <v/>
      </c>
    </row>
    <row r="301">
      <c r="D301">
        <f>IF($E301="","",IFERROR(IF(INDEX('Per Invoice'!$A$2:$A$301,MATCH($E301,'Per Invoice'!$B$2:$B$301,0))=0,"",INDEX('Per Invoice'!$A$2:$A$301,MATCH($E301,'Per Invoice'!$B$2:$B$301,0))),""))</f>
        <v/>
      </c>
      <c r="H301" s="11" t="n"/>
      <c r="R301" s="7">
        <f>IF($E301="","",Q301*Z301/100)</f>
        <v/>
      </c>
      <c r="S301" s="7" t="n"/>
      <c r="Y301" s="7" t="n"/>
      <c r="Z301" s="7" t="n"/>
      <c r="AA301" s="7">
        <f>IF($E301="","",Z301*AF301/100)</f>
        <v/>
      </c>
      <c r="AB301" s="7">
        <f>IF($E301="","",Z301-AA301)</f>
        <v/>
      </c>
      <c r="AC301" s="7">
        <f>IF($E301="","",AB301-R301)</f>
        <v/>
      </c>
      <c r="AF301">
        <f>IF($E301="","",IF($AR301=1,0,IF($AQ301=1,Settings!$C$6,Settings!$C$7))*100)</f>
        <v/>
      </c>
      <c r="AJ301" s="7" t="n"/>
      <c r="AM301" s="11" t="n"/>
      <c r="AO301">
        <f>IF($E301="","",IF(COUNTIF($E$2:$E301,$E301)=1,1,0))</f>
        <v/>
      </c>
      <c r="AP301">
        <f>IF($AO301=1,SUMPRODUCT(--($AS$2:$AS$1001&lt;$AS301))+1,"")</f>
        <v/>
      </c>
      <c r="AQ301">
        <f>IF($E301="","",IF(OR($V301=TRUE(),$V301="TRUE"),1,0))</f>
        <v/>
      </c>
      <c r="AR301">
        <f>IF($E301="","",IF($AE301="Yes",1,0))</f>
        <v/>
      </c>
      <c r="AS301">
        <f>IF($AO301=1,IFERROR(IF(VALUE($E301)&lt;100000000,VALUE($E301),1000000000),IFERROR(IF(VALUE(MID($E301,2,20))&lt;100000000,VALUE(MID($E301,2,20)),1000000000),1000000000))+ROW()/100000,"")</f>
        <v/>
      </c>
    </row>
    <row r="302">
      <c r="D302">
        <f>IF($E302="","",IFERROR(IF(INDEX('Per Invoice'!$A$2:$A$301,MATCH($E302,'Per Invoice'!$B$2:$B$301,0))=0,"",INDEX('Per Invoice'!$A$2:$A$301,MATCH($E302,'Per Invoice'!$B$2:$B$301,0))),""))</f>
        <v/>
      </c>
      <c r="H302" s="11" t="n"/>
      <c r="R302" s="7">
        <f>IF($E302="","",Q302*Z302/100)</f>
        <v/>
      </c>
      <c r="S302" s="7" t="n"/>
      <c r="Y302" s="7" t="n"/>
      <c r="Z302" s="7" t="n"/>
      <c r="AA302" s="7">
        <f>IF($E302="","",Z302*AF302/100)</f>
        <v/>
      </c>
      <c r="AB302" s="7">
        <f>IF($E302="","",Z302-AA302)</f>
        <v/>
      </c>
      <c r="AC302" s="7">
        <f>IF($E302="","",AB302-R302)</f>
        <v/>
      </c>
      <c r="AF302">
        <f>IF($E302="","",IF($AR302=1,0,IF($AQ302=1,Settings!$C$6,Settings!$C$7))*100)</f>
        <v/>
      </c>
      <c r="AJ302" s="7" t="n"/>
      <c r="AM302" s="11" t="n"/>
      <c r="AO302">
        <f>IF($E302="","",IF(COUNTIF($E$2:$E302,$E302)=1,1,0))</f>
        <v/>
      </c>
      <c r="AP302">
        <f>IF($AO302=1,SUMPRODUCT(--($AS$2:$AS$1001&lt;$AS302))+1,"")</f>
        <v/>
      </c>
      <c r="AQ302">
        <f>IF($E302="","",IF(OR($V302=TRUE(),$V302="TRUE"),1,0))</f>
        <v/>
      </c>
      <c r="AR302">
        <f>IF($E302="","",IF($AE302="Yes",1,0))</f>
        <v/>
      </c>
      <c r="AS302">
        <f>IF($AO302=1,IFERROR(IF(VALUE($E302)&lt;100000000,VALUE($E302),1000000000),IFERROR(IF(VALUE(MID($E302,2,20))&lt;100000000,VALUE(MID($E302,2,20)),1000000000),1000000000))+ROW()/100000,"")</f>
        <v/>
      </c>
    </row>
    <row r="303">
      <c r="D303">
        <f>IF($E303="","",IFERROR(IF(INDEX('Per Invoice'!$A$2:$A$301,MATCH($E303,'Per Invoice'!$B$2:$B$301,0))=0,"",INDEX('Per Invoice'!$A$2:$A$301,MATCH($E303,'Per Invoice'!$B$2:$B$301,0))),""))</f>
        <v/>
      </c>
      <c r="H303" s="11" t="n"/>
      <c r="R303" s="7">
        <f>IF($E303="","",Q303*Z303/100)</f>
        <v/>
      </c>
      <c r="S303" s="7" t="n"/>
      <c r="Y303" s="7" t="n"/>
      <c r="Z303" s="7" t="n"/>
      <c r="AA303" s="7">
        <f>IF($E303="","",Z303*AF303/100)</f>
        <v/>
      </c>
      <c r="AB303" s="7">
        <f>IF($E303="","",Z303-AA303)</f>
        <v/>
      </c>
      <c r="AC303" s="7">
        <f>IF($E303="","",AB303-R303)</f>
        <v/>
      </c>
      <c r="AF303">
        <f>IF($E303="","",IF($AR303=1,0,IF($AQ303=1,Settings!$C$6,Settings!$C$7))*100)</f>
        <v/>
      </c>
      <c r="AJ303" s="7" t="n"/>
      <c r="AM303" s="11" t="n"/>
      <c r="AO303">
        <f>IF($E303="","",IF(COUNTIF($E$2:$E303,$E303)=1,1,0))</f>
        <v/>
      </c>
      <c r="AP303">
        <f>IF($AO303=1,SUMPRODUCT(--($AS$2:$AS$1001&lt;$AS303))+1,"")</f>
        <v/>
      </c>
      <c r="AQ303">
        <f>IF($E303="","",IF(OR($V303=TRUE(),$V303="TRUE"),1,0))</f>
        <v/>
      </c>
      <c r="AR303">
        <f>IF($E303="","",IF($AE303="Yes",1,0))</f>
        <v/>
      </c>
      <c r="AS303">
        <f>IF($AO303=1,IFERROR(IF(VALUE($E303)&lt;100000000,VALUE($E303),1000000000),IFERROR(IF(VALUE(MID($E303,2,20))&lt;100000000,VALUE(MID($E303,2,20)),1000000000),1000000000))+ROW()/100000,"")</f>
        <v/>
      </c>
    </row>
    <row r="304">
      <c r="D304">
        <f>IF($E304="","",IFERROR(IF(INDEX('Per Invoice'!$A$2:$A$301,MATCH($E304,'Per Invoice'!$B$2:$B$301,0))=0,"",INDEX('Per Invoice'!$A$2:$A$301,MATCH($E304,'Per Invoice'!$B$2:$B$301,0))),""))</f>
        <v/>
      </c>
      <c r="H304" s="11" t="n"/>
      <c r="R304" s="7">
        <f>IF($E304="","",Q304*Z304/100)</f>
        <v/>
      </c>
      <c r="S304" s="7" t="n"/>
      <c r="Y304" s="7" t="n"/>
      <c r="Z304" s="7" t="n"/>
      <c r="AA304" s="7">
        <f>IF($E304="","",Z304*AF304/100)</f>
        <v/>
      </c>
      <c r="AB304" s="7">
        <f>IF($E304="","",Z304-AA304)</f>
        <v/>
      </c>
      <c r="AC304" s="7">
        <f>IF($E304="","",AB304-R304)</f>
        <v/>
      </c>
      <c r="AF304">
        <f>IF($E304="","",IF($AR304=1,0,IF($AQ304=1,Settings!$C$6,Settings!$C$7))*100)</f>
        <v/>
      </c>
      <c r="AJ304" s="7" t="n"/>
      <c r="AM304" s="11" t="n"/>
      <c r="AO304">
        <f>IF($E304="","",IF(COUNTIF($E$2:$E304,$E304)=1,1,0))</f>
        <v/>
      </c>
      <c r="AP304">
        <f>IF($AO304=1,SUMPRODUCT(--($AS$2:$AS$1001&lt;$AS304))+1,"")</f>
        <v/>
      </c>
      <c r="AQ304">
        <f>IF($E304="","",IF(OR($V304=TRUE(),$V304="TRUE"),1,0))</f>
        <v/>
      </c>
      <c r="AR304">
        <f>IF($E304="","",IF($AE304="Yes",1,0))</f>
        <v/>
      </c>
      <c r="AS304">
        <f>IF($AO304=1,IFERROR(IF(VALUE($E304)&lt;100000000,VALUE($E304),1000000000),IFERROR(IF(VALUE(MID($E304,2,20))&lt;100000000,VALUE(MID($E304,2,20)),1000000000),1000000000))+ROW()/100000,"")</f>
        <v/>
      </c>
    </row>
    <row r="305">
      <c r="D305">
        <f>IF($E305="","",IFERROR(IF(INDEX('Per Invoice'!$A$2:$A$301,MATCH($E305,'Per Invoice'!$B$2:$B$301,0))=0,"",INDEX('Per Invoice'!$A$2:$A$301,MATCH($E305,'Per Invoice'!$B$2:$B$301,0))),""))</f>
        <v/>
      </c>
      <c r="H305" s="11" t="n"/>
      <c r="R305" s="7">
        <f>IF($E305="","",Q305*Z305/100)</f>
        <v/>
      </c>
      <c r="S305" s="7" t="n"/>
      <c r="Y305" s="7" t="n"/>
      <c r="Z305" s="7" t="n"/>
      <c r="AA305" s="7">
        <f>IF($E305="","",Z305*AF305/100)</f>
        <v/>
      </c>
      <c r="AB305" s="7">
        <f>IF($E305="","",Z305-AA305)</f>
        <v/>
      </c>
      <c r="AC305" s="7">
        <f>IF($E305="","",AB305-R305)</f>
        <v/>
      </c>
      <c r="AF305">
        <f>IF($E305="","",IF($AR305=1,0,IF($AQ305=1,Settings!$C$6,Settings!$C$7))*100)</f>
        <v/>
      </c>
      <c r="AJ305" s="7" t="n"/>
      <c r="AM305" s="11" t="n"/>
      <c r="AO305">
        <f>IF($E305="","",IF(COUNTIF($E$2:$E305,$E305)=1,1,0))</f>
        <v/>
      </c>
      <c r="AP305">
        <f>IF($AO305=1,SUMPRODUCT(--($AS$2:$AS$1001&lt;$AS305))+1,"")</f>
        <v/>
      </c>
      <c r="AQ305">
        <f>IF($E305="","",IF(OR($V305=TRUE(),$V305="TRUE"),1,0))</f>
        <v/>
      </c>
      <c r="AR305">
        <f>IF($E305="","",IF($AE305="Yes",1,0))</f>
        <v/>
      </c>
      <c r="AS305">
        <f>IF($AO305=1,IFERROR(IF(VALUE($E305)&lt;100000000,VALUE($E305),1000000000),IFERROR(IF(VALUE(MID($E305,2,20))&lt;100000000,VALUE(MID($E305,2,20)),1000000000),1000000000))+ROW()/100000,"")</f>
        <v/>
      </c>
    </row>
    <row r="306">
      <c r="D306">
        <f>IF($E306="","",IFERROR(IF(INDEX('Per Invoice'!$A$2:$A$301,MATCH($E306,'Per Invoice'!$B$2:$B$301,0))=0,"",INDEX('Per Invoice'!$A$2:$A$301,MATCH($E306,'Per Invoice'!$B$2:$B$301,0))),""))</f>
        <v/>
      </c>
      <c r="H306" s="11" t="n"/>
      <c r="R306" s="7">
        <f>IF($E306="","",Q306*Z306/100)</f>
        <v/>
      </c>
      <c r="S306" s="7" t="n"/>
      <c r="Y306" s="7" t="n"/>
      <c r="Z306" s="7" t="n"/>
      <c r="AA306" s="7">
        <f>IF($E306="","",Z306*AF306/100)</f>
        <v/>
      </c>
      <c r="AB306" s="7">
        <f>IF($E306="","",Z306-AA306)</f>
        <v/>
      </c>
      <c r="AC306" s="7">
        <f>IF($E306="","",AB306-R306)</f>
        <v/>
      </c>
      <c r="AF306">
        <f>IF($E306="","",IF($AR306=1,0,IF($AQ306=1,Settings!$C$6,Settings!$C$7))*100)</f>
        <v/>
      </c>
      <c r="AJ306" s="7" t="n"/>
      <c r="AM306" s="11" t="n"/>
      <c r="AO306">
        <f>IF($E306="","",IF(COUNTIF($E$2:$E306,$E306)=1,1,0))</f>
        <v/>
      </c>
      <c r="AP306">
        <f>IF($AO306=1,SUMPRODUCT(--($AS$2:$AS$1001&lt;$AS306))+1,"")</f>
        <v/>
      </c>
      <c r="AQ306">
        <f>IF($E306="","",IF(OR($V306=TRUE(),$V306="TRUE"),1,0))</f>
        <v/>
      </c>
      <c r="AR306">
        <f>IF($E306="","",IF($AE306="Yes",1,0))</f>
        <v/>
      </c>
      <c r="AS306">
        <f>IF($AO306=1,IFERROR(IF(VALUE($E306)&lt;100000000,VALUE($E306),1000000000),IFERROR(IF(VALUE(MID($E306,2,20))&lt;100000000,VALUE(MID($E306,2,20)),1000000000),1000000000))+ROW()/100000,"")</f>
        <v/>
      </c>
    </row>
    <row r="307">
      <c r="D307">
        <f>IF($E307="","",IFERROR(IF(INDEX('Per Invoice'!$A$2:$A$301,MATCH($E307,'Per Invoice'!$B$2:$B$301,0))=0,"",INDEX('Per Invoice'!$A$2:$A$301,MATCH($E307,'Per Invoice'!$B$2:$B$301,0))),""))</f>
        <v/>
      </c>
      <c r="H307" s="11" t="n"/>
      <c r="R307" s="7">
        <f>IF($E307="","",Q307*Z307/100)</f>
        <v/>
      </c>
      <c r="S307" s="7" t="n"/>
      <c r="Y307" s="7" t="n"/>
      <c r="Z307" s="7" t="n"/>
      <c r="AA307" s="7">
        <f>IF($E307="","",Z307*AF307/100)</f>
        <v/>
      </c>
      <c r="AB307" s="7">
        <f>IF($E307="","",Z307-AA307)</f>
        <v/>
      </c>
      <c r="AC307" s="7">
        <f>IF($E307="","",AB307-R307)</f>
        <v/>
      </c>
      <c r="AF307">
        <f>IF($E307="","",IF($AR307=1,0,IF($AQ307=1,Settings!$C$6,Settings!$C$7))*100)</f>
        <v/>
      </c>
      <c r="AJ307" s="7" t="n"/>
      <c r="AM307" s="11" t="n"/>
      <c r="AO307">
        <f>IF($E307="","",IF(COUNTIF($E$2:$E307,$E307)=1,1,0))</f>
        <v/>
      </c>
      <c r="AP307">
        <f>IF($AO307=1,SUMPRODUCT(--($AS$2:$AS$1001&lt;$AS307))+1,"")</f>
        <v/>
      </c>
      <c r="AQ307">
        <f>IF($E307="","",IF(OR($V307=TRUE(),$V307="TRUE"),1,0))</f>
        <v/>
      </c>
      <c r="AR307">
        <f>IF($E307="","",IF($AE307="Yes",1,0))</f>
        <v/>
      </c>
      <c r="AS307">
        <f>IF($AO307=1,IFERROR(IF(VALUE($E307)&lt;100000000,VALUE($E307),1000000000),IFERROR(IF(VALUE(MID($E307,2,20))&lt;100000000,VALUE(MID($E307,2,20)),1000000000),1000000000))+ROW()/100000,"")</f>
        <v/>
      </c>
    </row>
    <row r="308">
      <c r="D308">
        <f>IF($E308="","",IFERROR(IF(INDEX('Per Invoice'!$A$2:$A$301,MATCH($E308,'Per Invoice'!$B$2:$B$301,0))=0,"",INDEX('Per Invoice'!$A$2:$A$301,MATCH($E308,'Per Invoice'!$B$2:$B$301,0))),""))</f>
        <v/>
      </c>
      <c r="H308" s="11" t="n"/>
      <c r="R308" s="7">
        <f>IF($E308="","",Q308*Z308/100)</f>
        <v/>
      </c>
      <c r="S308" s="7" t="n"/>
      <c r="Y308" s="7" t="n"/>
      <c r="Z308" s="7" t="n"/>
      <c r="AA308" s="7">
        <f>IF($E308="","",Z308*AF308/100)</f>
        <v/>
      </c>
      <c r="AB308" s="7">
        <f>IF($E308="","",Z308-AA308)</f>
        <v/>
      </c>
      <c r="AC308" s="7">
        <f>IF($E308="","",AB308-R308)</f>
        <v/>
      </c>
      <c r="AF308">
        <f>IF($E308="","",IF($AR308=1,0,IF($AQ308=1,Settings!$C$6,Settings!$C$7))*100)</f>
        <v/>
      </c>
      <c r="AJ308" s="7" t="n"/>
      <c r="AM308" s="11" t="n"/>
      <c r="AO308">
        <f>IF($E308="","",IF(COUNTIF($E$2:$E308,$E308)=1,1,0))</f>
        <v/>
      </c>
      <c r="AP308">
        <f>IF($AO308=1,SUMPRODUCT(--($AS$2:$AS$1001&lt;$AS308))+1,"")</f>
        <v/>
      </c>
      <c r="AQ308">
        <f>IF($E308="","",IF(OR($V308=TRUE(),$V308="TRUE"),1,0))</f>
        <v/>
      </c>
      <c r="AR308">
        <f>IF($E308="","",IF($AE308="Yes",1,0))</f>
        <v/>
      </c>
      <c r="AS308">
        <f>IF($AO308=1,IFERROR(IF(VALUE($E308)&lt;100000000,VALUE($E308),1000000000),IFERROR(IF(VALUE(MID($E308,2,20))&lt;100000000,VALUE(MID($E308,2,20)),1000000000),1000000000))+ROW()/100000,"")</f>
        <v/>
      </c>
    </row>
    <row r="309">
      <c r="D309">
        <f>IF($E309="","",IFERROR(IF(INDEX('Per Invoice'!$A$2:$A$301,MATCH($E309,'Per Invoice'!$B$2:$B$301,0))=0,"",INDEX('Per Invoice'!$A$2:$A$301,MATCH($E309,'Per Invoice'!$B$2:$B$301,0))),""))</f>
        <v/>
      </c>
      <c r="H309" s="11" t="n"/>
      <c r="R309" s="7">
        <f>IF($E309="","",Q309*Z309/100)</f>
        <v/>
      </c>
      <c r="S309" s="7" t="n"/>
      <c r="Y309" s="7" t="n"/>
      <c r="Z309" s="7" t="n"/>
      <c r="AA309" s="7">
        <f>IF($E309="","",Z309*AF309/100)</f>
        <v/>
      </c>
      <c r="AB309" s="7">
        <f>IF($E309="","",Z309-AA309)</f>
        <v/>
      </c>
      <c r="AC309" s="7">
        <f>IF($E309="","",AB309-R309)</f>
        <v/>
      </c>
      <c r="AF309">
        <f>IF($E309="","",IF($AR309=1,0,IF($AQ309=1,Settings!$C$6,Settings!$C$7))*100)</f>
        <v/>
      </c>
      <c r="AJ309" s="7" t="n"/>
      <c r="AM309" s="11" t="n"/>
      <c r="AO309">
        <f>IF($E309="","",IF(COUNTIF($E$2:$E309,$E309)=1,1,0))</f>
        <v/>
      </c>
      <c r="AP309">
        <f>IF($AO309=1,SUMPRODUCT(--($AS$2:$AS$1001&lt;$AS309))+1,"")</f>
        <v/>
      </c>
      <c r="AQ309">
        <f>IF($E309="","",IF(OR($V309=TRUE(),$V309="TRUE"),1,0))</f>
        <v/>
      </c>
      <c r="AR309">
        <f>IF($E309="","",IF($AE309="Yes",1,0))</f>
        <v/>
      </c>
      <c r="AS309">
        <f>IF($AO309=1,IFERROR(IF(VALUE($E309)&lt;100000000,VALUE($E309),1000000000),IFERROR(IF(VALUE(MID($E309,2,20))&lt;100000000,VALUE(MID($E309,2,20)),1000000000),1000000000))+ROW()/100000,"")</f>
        <v/>
      </c>
    </row>
    <row r="310">
      <c r="D310">
        <f>IF($E310="","",IFERROR(IF(INDEX('Per Invoice'!$A$2:$A$301,MATCH($E310,'Per Invoice'!$B$2:$B$301,0))=0,"",INDEX('Per Invoice'!$A$2:$A$301,MATCH($E310,'Per Invoice'!$B$2:$B$301,0))),""))</f>
        <v/>
      </c>
      <c r="H310" s="11" t="n"/>
      <c r="R310" s="7">
        <f>IF($E310="","",Q310*Z310/100)</f>
        <v/>
      </c>
      <c r="S310" s="7" t="n"/>
      <c r="Y310" s="7" t="n"/>
      <c r="Z310" s="7" t="n"/>
      <c r="AA310" s="7">
        <f>IF($E310="","",Z310*AF310/100)</f>
        <v/>
      </c>
      <c r="AB310" s="7">
        <f>IF($E310="","",Z310-AA310)</f>
        <v/>
      </c>
      <c r="AC310" s="7">
        <f>IF($E310="","",AB310-R310)</f>
        <v/>
      </c>
      <c r="AF310">
        <f>IF($E310="","",IF($AR310=1,0,IF($AQ310=1,Settings!$C$6,Settings!$C$7))*100)</f>
        <v/>
      </c>
      <c r="AJ310" s="7" t="n"/>
      <c r="AM310" s="11" t="n"/>
      <c r="AO310">
        <f>IF($E310="","",IF(COUNTIF($E$2:$E310,$E310)=1,1,0))</f>
        <v/>
      </c>
      <c r="AP310">
        <f>IF($AO310=1,SUMPRODUCT(--($AS$2:$AS$1001&lt;$AS310))+1,"")</f>
        <v/>
      </c>
      <c r="AQ310">
        <f>IF($E310="","",IF(OR($V310=TRUE(),$V310="TRUE"),1,0))</f>
        <v/>
      </c>
      <c r="AR310">
        <f>IF($E310="","",IF($AE310="Yes",1,0))</f>
        <v/>
      </c>
      <c r="AS310">
        <f>IF($AO310=1,IFERROR(IF(VALUE($E310)&lt;100000000,VALUE($E310),1000000000),IFERROR(IF(VALUE(MID($E310,2,20))&lt;100000000,VALUE(MID($E310,2,20)),1000000000),1000000000))+ROW()/100000,"")</f>
        <v/>
      </c>
    </row>
    <row r="311">
      <c r="D311">
        <f>IF($E311="","",IFERROR(IF(INDEX('Per Invoice'!$A$2:$A$301,MATCH($E311,'Per Invoice'!$B$2:$B$301,0))=0,"",INDEX('Per Invoice'!$A$2:$A$301,MATCH($E311,'Per Invoice'!$B$2:$B$301,0))),""))</f>
        <v/>
      </c>
      <c r="H311" s="11" t="n"/>
      <c r="R311" s="7">
        <f>IF($E311="","",Q311*Z311/100)</f>
        <v/>
      </c>
      <c r="S311" s="7" t="n"/>
      <c r="Y311" s="7" t="n"/>
      <c r="Z311" s="7" t="n"/>
      <c r="AA311" s="7">
        <f>IF($E311="","",Z311*AF311/100)</f>
        <v/>
      </c>
      <c r="AB311" s="7">
        <f>IF($E311="","",Z311-AA311)</f>
        <v/>
      </c>
      <c r="AC311" s="7">
        <f>IF($E311="","",AB311-R311)</f>
        <v/>
      </c>
      <c r="AF311">
        <f>IF($E311="","",IF($AR311=1,0,IF($AQ311=1,Settings!$C$6,Settings!$C$7))*100)</f>
        <v/>
      </c>
      <c r="AJ311" s="7" t="n"/>
      <c r="AM311" s="11" t="n"/>
      <c r="AO311">
        <f>IF($E311="","",IF(COUNTIF($E$2:$E311,$E311)=1,1,0))</f>
        <v/>
      </c>
      <c r="AP311">
        <f>IF($AO311=1,SUMPRODUCT(--($AS$2:$AS$1001&lt;$AS311))+1,"")</f>
        <v/>
      </c>
      <c r="AQ311">
        <f>IF($E311="","",IF(OR($V311=TRUE(),$V311="TRUE"),1,0))</f>
        <v/>
      </c>
      <c r="AR311">
        <f>IF($E311="","",IF($AE311="Yes",1,0))</f>
        <v/>
      </c>
      <c r="AS311">
        <f>IF($AO311=1,IFERROR(IF(VALUE($E311)&lt;100000000,VALUE($E311),1000000000),IFERROR(IF(VALUE(MID($E311,2,20))&lt;100000000,VALUE(MID($E311,2,20)),1000000000),1000000000))+ROW()/100000,"")</f>
        <v/>
      </c>
    </row>
    <row r="312">
      <c r="D312">
        <f>IF($E312="","",IFERROR(IF(INDEX('Per Invoice'!$A$2:$A$301,MATCH($E312,'Per Invoice'!$B$2:$B$301,0))=0,"",INDEX('Per Invoice'!$A$2:$A$301,MATCH($E312,'Per Invoice'!$B$2:$B$301,0))),""))</f>
        <v/>
      </c>
      <c r="H312" s="11" t="n"/>
      <c r="R312" s="7">
        <f>IF($E312="","",Q312*Z312/100)</f>
        <v/>
      </c>
      <c r="S312" s="7" t="n"/>
      <c r="Y312" s="7" t="n"/>
      <c r="Z312" s="7" t="n"/>
      <c r="AA312" s="7">
        <f>IF($E312="","",Z312*AF312/100)</f>
        <v/>
      </c>
      <c r="AB312" s="7">
        <f>IF($E312="","",Z312-AA312)</f>
        <v/>
      </c>
      <c r="AC312" s="7">
        <f>IF($E312="","",AB312-R312)</f>
        <v/>
      </c>
      <c r="AF312">
        <f>IF($E312="","",IF($AR312=1,0,IF($AQ312=1,Settings!$C$6,Settings!$C$7))*100)</f>
        <v/>
      </c>
      <c r="AJ312" s="7" t="n"/>
      <c r="AM312" s="11" t="n"/>
      <c r="AO312">
        <f>IF($E312="","",IF(COUNTIF($E$2:$E312,$E312)=1,1,0))</f>
        <v/>
      </c>
      <c r="AP312">
        <f>IF($AO312=1,SUMPRODUCT(--($AS$2:$AS$1001&lt;$AS312))+1,"")</f>
        <v/>
      </c>
      <c r="AQ312">
        <f>IF($E312="","",IF(OR($V312=TRUE(),$V312="TRUE"),1,0))</f>
        <v/>
      </c>
      <c r="AR312">
        <f>IF($E312="","",IF($AE312="Yes",1,0))</f>
        <v/>
      </c>
      <c r="AS312">
        <f>IF($AO312=1,IFERROR(IF(VALUE($E312)&lt;100000000,VALUE($E312),1000000000),IFERROR(IF(VALUE(MID($E312,2,20))&lt;100000000,VALUE(MID($E312,2,20)),1000000000),1000000000))+ROW()/100000,"")</f>
        <v/>
      </c>
    </row>
    <row r="313">
      <c r="D313">
        <f>IF($E313="","",IFERROR(IF(INDEX('Per Invoice'!$A$2:$A$301,MATCH($E313,'Per Invoice'!$B$2:$B$301,0))=0,"",INDEX('Per Invoice'!$A$2:$A$301,MATCH($E313,'Per Invoice'!$B$2:$B$301,0))),""))</f>
        <v/>
      </c>
      <c r="H313" s="11" t="n"/>
      <c r="R313" s="7">
        <f>IF($E313="","",Q313*Z313/100)</f>
        <v/>
      </c>
      <c r="S313" s="7" t="n"/>
      <c r="Y313" s="7" t="n"/>
      <c r="Z313" s="7" t="n"/>
      <c r="AA313" s="7">
        <f>IF($E313="","",Z313*AF313/100)</f>
        <v/>
      </c>
      <c r="AB313" s="7">
        <f>IF($E313="","",Z313-AA313)</f>
        <v/>
      </c>
      <c r="AC313" s="7">
        <f>IF($E313="","",AB313-R313)</f>
        <v/>
      </c>
      <c r="AF313">
        <f>IF($E313="","",IF($AR313=1,0,IF($AQ313=1,Settings!$C$6,Settings!$C$7))*100)</f>
        <v/>
      </c>
      <c r="AJ313" s="7" t="n"/>
      <c r="AM313" s="11" t="n"/>
      <c r="AO313">
        <f>IF($E313="","",IF(COUNTIF($E$2:$E313,$E313)=1,1,0))</f>
        <v/>
      </c>
      <c r="AP313">
        <f>IF($AO313=1,SUMPRODUCT(--($AS$2:$AS$1001&lt;$AS313))+1,"")</f>
        <v/>
      </c>
      <c r="AQ313">
        <f>IF($E313="","",IF(OR($V313=TRUE(),$V313="TRUE"),1,0))</f>
        <v/>
      </c>
      <c r="AR313">
        <f>IF($E313="","",IF($AE313="Yes",1,0))</f>
        <v/>
      </c>
      <c r="AS313">
        <f>IF($AO313=1,IFERROR(IF(VALUE($E313)&lt;100000000,VALUE($E313),1000000000),IFERROR(IF(VALUE(MID($E313,2,20))&lt;100000000,VALUE(MID($E313,2,20)),1000000000),1000000000))+ROW()/100000,"")</f>
        <v/>
      </c>
    </row>
    <row r="314">
      <c r="D314">
        <f>IF($E314="","",IFERROR(IF(INDEX('Per Invoice'!$A$2:$A$301,MATCH($E314,'Per Invoice'!$B$2:$B$301,0))=0,"",INDEX('Per Invoice'!$A$2:$A$301,MATCH($E314,'Per Invoice'!$B$2:$B$301,0))),""))</f>
        <v/>
      </c>
      <c r="H314" s="11" t="n"/>
      <c r="R314" s="7">
        <f>IF($E314="","",Q314*Z314/100)</f>
        <v/>
      </c>
      <c r="S314" s="7" t="n"/>
      <c r="Y314" s="7" t="n"/>
      <c r="Z314" s="7" t="n"/>
      <c r="AA314" s="7">
        <f>IF($E314="","",Z314*AF314/100)</f>
        <v/>
      </c>
      <c r="AB314" s="7">
        <f>IF($E314="","",Z314-AA314)</f>
        <v/>
      </c>
      <c r="AC314" s="7">
        <f>IF($E314="","",AB314-R314)</f>
        <v/>
      </c>
      <c r="AF314">
        <f>IF($E314="","",IF($AR314=1,0,IF($AQ314=1,Settings!$C$6,Settings!$C$7))*100)</f>
        <v/>
      </c>
      <c r="AJ314" s="7" t="n"/>
      <c r="AM314" s="11" t="n"/>
      <c r="AO314">
        <f>IF($E314="","",IF(COUNTIF($E$2:$E314,$E314)=1,1,0))</f>
        <v/>
      </c>
      <c r="AP314">
        <f>IF($AO314=1,SUMPRODUCT(--($AS$2:$AS$1001&lt;$AS314))+1,"")</f>
        <v/>
      </c>
      <c r="AQ314">
        <f>IF($E314="","",IF(OR($V314=TRUE(),$V314="TRUE"),1,0))</f>
        <v/>
      </c>
      <c r="AR314">
        <f>IF($E314="","",IF($AE314="Yes",1,0))</f>
        <v/>
      </c>
      <c r="AS314">
        <f>IF($AO314=1,IFERROR(IF(VALUE($E314)&lt;100000000,VALUE($E314),1000000000),IFERROR(IF(VALUE(MID($E314,2,20))&lt;100000000,VALUE(MID($E314,2,20)),1000000000),1000000000))+ROW()/100000,"")</f>
        <v/>
      </c>
    </row>
    <row r="315">
      <c r="D315">
        <f>IF($E315="","",IFERROR(IF(INDEX('Per Invoice'!$A$2:$A$301,MATCH($E315,'Per Invoice'!$B$2:$B$301,0))=0,"",INDEX('Per Invoice'!$A$2:$A$301,MATCH($E315,'Per Invoice'!$B$2:$B$301,0))),""))</f>
        <v/>
      </c>
      <c r="H315" s="11" t="n"/>
      <c r="R315" s="7">
        <f>IF($E315="","",Q315*Z315/100)</f>
        <v/>
      </c>
      <c r="S315" s="7" t="n"/>
      <c r="Y315" s="7" t="n"/>
      <c r="Z315" s="7" t="n"/>
      <c r="AA315" s="7">
        <f>IF($E315="","",Z315*AF315/100)</f>
        <v/>
      </c>
      <c r="AB315" s="7">
        <f>IF($E315="","",Z315-AA315)</f>
        <v/>
      </c>
      <c r="AC315" s="7">
        <f>IF($E315="","",AB315-R315)</f>
        <v/>
      </c>
      <c r="AF315">
        <f>IF($E315="","",IF($AR315=1,0,IF($AQ315=1,Settings!$C$6,Settings!$C$7))*100)</f>
        <v/>
      </c>
      <c r="AJ315" s="7" t="n"/>
      <c r="AM315" s="11" t="n"/>
      <c r="AO315">
        <f>IF($E315="","",IF(COUNTIF($E$2:$E315,$E315)=1,1,0))</f>
        <v/>
      </c>
      <c r="AP315">
        <f>IF($AO315=1,SUMPRODUCT(--($AS$2:$AS$1001&lt;$AS315))+1,"")</f>
        <v/>
      </c>
      <c r="AQ315">
        <f>IF($E315="","",IF(OR($V315=TRUE(),$V315="TRUE"),1,0))</f>
        <v/>
      </c>
      <c r="AR315">
        <f>IF($E315="","",IF($AE315="Yes",1,0))</f>
        <v/>
      </c>
      <c r="AS315">
        <f>IF($AO315=1,IFERROR(IF(VALUE($E315)&lt;100000000,VALUE($E315),1000000000),IFERROR(IF(VALUE(MID($E315,2,20))&lt;100000000,VALUE(MID($E315,2,20)),1000000000),1000000000))+ROW()/100000,"")</f>
        <v/>
      </c>
    </row>
    <row r="316">
      <c r="D316">
        <f>IF($E316="","",IFERROR(IF(INDEX('Per Invoice'!$A$2:$A$301,MATCH($E316,'Per Invoice'!$B$2:$B$301,0))=0,"",INDEX('Per Invoice'!$A$2:$A$301,MATCH($E316,'Per Invoice'!$B$2:$B$301,0))),""))</f>
        <v/>
      </c>
      <c r="H316" s="11" t="n"/>
      <c r="R316" s="7">
        <f>IF($E316="","",Q316*Z316/100)</f>
        <v/>
      </c>
      <c r="S316" s="7" t="n"/>
      <c r="Y316" s="7" t="n"/>
      <c r="Z316" s="7" t="n"/>
      <c r="AA316" s="7">
        <f>IF($E316="","",Z316*AF316/100)</f>
        <v/>
      </c>
      <c r="AB316" s="7">
        <f>IF($E316="","",Z316-AA316)</f>
        <v/>
      </c>
      <c r="AC316" s="7">
        <f>IF($E316="","",AB316-R316)</f>
        <v/>
      </c>
      <c r="AF316">
        <f>IF($E316="","",IF($AR316=1,0,IF($AQ316=1,Settings!$C$6,Settings!$C$7))*100)</f>
        <v/>
      </c>
      <c r="AJ316" s="7" t="n"/>
      <c r="AM316" s="11" t="n"/>
      <c r="AO316">
        <f>IF($E316="","",IF(COUNTIF($E$2:$E316,$E316)=1,1,0))</f>
        <v/>
      </c>
      <c r="AP316">
        <f>IF($AO316=1,SUMPRODUCT(--($AS$2:$AS$1001&lt;$AS316))+1,"")</f>
        <v/>
      </c>
      <c r="AQ316">
        <f>IF($E316="","",IF(OR($V316=TRUE(),$V316="TRUE"),1,0))</f>
        <v/>
      </c>
      <c r="AR316">
        <f>IF($E316="","",IF($AE316="Yes",1,0))</f>
        <v/>
      </c>
      <c r="AS316">
        <f>IF($AO316=1,IFERROR(IF(VALUE($E316)&lt;100000000,VALUE($E316),1000000000),IFERROR(IF(VALUE(MID($E316,2,20))&lt;100000000,VALUE(MID($E316,2,20)),1000000000),1000000000))+ROW()/100000,"")</f>
        <v/>
      </c>
    </row>
    <row r="317">
      <c r="D317">
        <f>IF($E317="","",IFERROR(IF(INDEX('Per Invoice'!$A$2:$A$301,MATCH($E317,'Per Invoice'!$B$2:$B$301,0))=0,"",INDEX('Per Invoice'!$A$2:$A$301,MATCH($E317,'Per Invoice'!$B$2:$B$301,0))),""))</f>
        <v/>
      </c>
      <c r="H317" s="11" t="n"/>
      <c r="R317" s="7">
        <f>IF($E317="","",Q317*Z317/100)</f>
        <v/>
      </c>
      <c r="S317" s="7" t="n"/>
      <c r="Y317" s="7" t="n"/>
      <c r="Z317" s="7" t="n"/>
      <c r="AA317" s="7">
        <f>IF($E317="","",Z317*AF317/100)</f>
        <v/>
      </c>
      <c r="AB317" s="7">
        <f>IF($E317="","",Z317-AA317)</f>
        <v/>
      </c>
      <c r="AC317" s="7">
        <f>IF($E317="","",AB317-R317)</f>
        <v/>
      </c>
      <c r="AF317">
        <f>IF($E317="","",IF($AR317=1,0,IF($AQ317=1,Settings!$C$6,Settings!$C$7))*100)</f>
        <v/>
      </c>
      <c r="AJ317" s="7" t="n"/>
      <c r="AM317" s="11" t="n"/>
      <c r="AO317">
        <f>IF($E317="","",IF(COUNTIF($E$2:$E317,$E317)=1,1,0))</f>
        <v/>
      </c>
      <c r="AP317">
        <f>IF($AO317=1,SUMPRODUCT(--($AS$2:$AS$1001&lt;$AS317))+1,"")</f>
        <v/>
      </c>
      <c r="AQ317">
        <f>IF($E317="","",IF(OR($V317=TRUE(),$V317="TRUE"),1,0))</f>
        <v/>
      </c>
      <c r="AR317">
        <f>IF($E317="","",IF($AE317="Yes",1,0))</f>
        <v/>
      </c>
      <c r="AS317">
        <f>IF($AO317=1,IFERROR(IF(VALUE($E317)&lt;100000000,VALUE($E317),1000000000),IFERROR(IF(VALUE(MID($E317,2,20))&lt;100000000,VALUE(MID($E317,2,20)),1000000000),1000000000))+ROW()/100000,"")</f>
        <v/>
      </c>
    </row>
    <row r="318">
      <c r="D318">
        <f>IF($E318="","",IFERROR(IF(INDEX('Per Invoice'!$A$2:$A$301,MATCH($E318,'Per Invoice'!$B$2:$B$301,0))=0,"",INDEX('Per Invoice'!$A$2:$A$301,MATCH($E318,'Per Invoice'!$B$2:$B$301,0))),""))</f>
        <v/>
      </c>
      <c r="H318" s="11" t="n"/>
      <c r="R318" s="7">
        <f>IF($E318="","",Q318*Z318/100)</f>
        <v/>
      </c>
      <c r="S318" s="7" t="n"/>
      <c r="Y318" s="7" t="n"/>
      <c r="Z318" s="7" t="n"/>
      <c r="AA318" s="7">
        <f>IF($E318="","",Z318*AF318/100)</f>
        <v/>
      </c>
      <c r="AB318" s="7">
        <f>IF($E318="","",Z318-AA318)</f>
        <v/>
      </c>
      <c r="AC318" s="7">
        <f>IF($E318="","",AB318-R318)</f>
        <v/>
      </c>
      <c r="AF318">
        <f>IF($E318="","",IF($AR318=1,0,IF($AQ318=1,Settings!$C$6,Settings!$C$7))*100)</f>
        <v/>
      </c>
      <c r="AJ318" s="7" t="n"/>
      <c r="AM318" s="11" t="n"/>
      <c r="AO318">
        <f>IF($E318="","",IF(COUNTIF($E$2:$E318,$E318)=1,1,0))</f>
        <v/>
      </c>
      <c r="AP318">
        <f>IF($AO318=1,SUMPRODUCT(--($AS$2:$AS$1001&lt;$AS318))+1,"")</f>
        <v/>
      </c>
      <c r="AQ318">
        <f>IF($E318="","",IF(OR($V318=TRUE(),$V318="TRUE"),1,0))</f>
        <v/>
      </c>
      <c r="AR318">
        <f>IF($E318="","",IF($AE318="Yes",1,0))</f>
        <v/>
      </c>
      <c r="AS318">
        <f>IF($AO318=1,IFERROR(IF(VALUE($E318)&lt;100000000,VALUE($E318),1000000000),IFERROR(IF(VALUE(MID($E318,2,20))&lt;100000000,VALUE(MID($E318,2,20)),1000000000),1000000000))+ROW()/100000,"")</f>
        <v/>
      </c>
    </row>
    <row r="319">
      <c r="D319">
        <f>IF($E319="","",IFERROR(IF(INDEX('Per Invoice'!$A$2:$A$301,MATCH($E319,'Per Invoice'!$B$2:$B$301,0))=0,"",INDEX('Per Invoice'!$A$2:$A$301,MATCH($E319,'Per Invoice'!$B$2:$B$301,0))),""))</f>
        <v/>
      </c>
      <c r="H319" s="11" t="n"/>
      <c r="R319" s="7">
        <f>IF($E319="","",Q319*Z319/100)</f>
        <v/>
      </c>
      <c r="S319" s="7" t="n"/>
      <c r="Y319" s="7" t="n"/>
      <c r="Z319" s="7" t="n"/>
      <c r="AA319" s="7">
        <f>IF($E319="","",Z319*AF319/100)</f>
        <v/>
      </c>
      <c r="AB319" s="7">
        <f>IF($E319="","",Z319-AA319)</f>
        <v/>
      </c>
      <c r="AC319" s="7">
        <f>IF($E319="","",AB319-R319)</f>
        <v/>
      </c>
      <c r="AF319">
        <f>IF($E319="","",IF($AR319=1,0,IF($AQ319=1,Settings!$C$6,Settings!$C$7))*100)</f>
        <v/>
      </c>
      <c r="AJ319" s="7" t="n"/>
      <c r="AM319" s="11" t="n"/>
      <c r="AO319">
        <f>IF($E319="","",IF(COUNTIF($E$2:$E319,$E319)=1,1,0))</f>
        <v/>
      </c>
      <c r="AP319">
        <f>IF($AO319=1,SUMPRODUCT(--($AS$2:$AS$1001&lt;$AS319))+1,"")</f>
        <v/>
      </c>
      <c r="AQ319">
        <f>IF($E319="","",IF(OR($V319=TRUE(),$V319="TRUE"),1,0))</f>
        <v/>
      </c>
      <c r="AR319">
        <f>IF($E319="","",IF($AE319="Yes",1,0))</f>
        <v/>
      </c>
      <c r="AS319">
        <f>IF($AO319=1,IFERROR(IF(VALUE($E319)&lt;100000000,VALUE($E319),1000000000),IFERROR(IF(VALUE(MID($E319,2,20))&lt;100000000,VALUE(MID($E319,2,20)),1000000000),1000000000))+ROW()/100000,"")</f>
        <v/>
      </c>
    </row>
    <row r="320">
      <c r="D320">
        <f>IF($E320="","",IFERROR(IF(INDEX('Per Invoice'!$A$2:$A$301,MATCH($E320,'Per Invoice'!$B$2:$B$301,0))=0,"",INDEX('Per Invoice'!$A$2:$A$301,MATCH($E320,'Per Invoice'!$B$2:$B$301,0))),""))</f>
        <v/>
      </c>
      <c r="H320" s="11" t="n"/>
      <c r="R320" s="7">
        <f>IF($E320="","",Q320*Z320/100)</f>
        <v/>
      </c>
      <c r="S320" s="7" t="n"/>
      <c r="Y320" s="7" t="n"/>
      <c r="Z320" s="7" t="n"/>
      <c r="AA320" s="7">
        <f>IF($E320="","",Z320*AF320/100)</f>
        <v/>
      </c>
      <c r="AB320" s="7">
        <f>IF($E320="","",Z320-AA320)</f>
        <v/>
      </c>
      <c r="AC320" s="7">
        <f>IF($E320="","",AB320-R320)</f>
        <v/>
      </c>
      <c r="AF320">
        <f>IF($E320="","",IF($AR320=1,0,IF($AQ320=1,Settings!$C$6,Settings!$C$7))*100)</f>
        <v/>
      </c>
      <c r="AJ320" s="7" t="n"/>
      <c r="AM320" s="11" t="n"/>
      <c r="AO320">
        <f>IF($E320="","",IF(COUNTIF($E$2:$E320,$E320)=1,1,0))</f>
        <v/>
      </c>
      <c r="AP320">
        <f>IF($AO320=1,SUMPRODUCT(--($AS$2:$AS$1001&lt;$AS320))+1,"")</f>
        <v/>
      </c>
      <c r="AQ320">
        <f>IF($E320="","",IF(OR($V320=TRUE(),$V320="TRUE"),1,0))</f>
        <v/>
      </c>
      <c r="AR320">
        <f>IF($E320="","",IF($AE320="Yes",1,0))</f>
        <v/>
      </c>
      <c r="AS320">
        <f>IF($AO320=1,IFERROR(IF(VALUE($E320)&lt;100000000,VALUE($E320),1000000000),IFERROR(IF(VALUE(MID($E320,2,20))&lt;100000000,VALUE(MID($E320,2,20)),1000000000),1000000000))+ROW()/100000,"")</f>
        <v/>
      </c>
    </row>
    <row r="321">
      <c r="D321">
        <f>IF($E321="","",IFERROR(IF(INDEX('Per Invoice'!$A$2:$A$301,MATCH($E321,'Per Invoice'!$B$2:$B$301,0))=0,"",INDEX('Per Invoice'!$A$2:$A$301,MATCH($E321,'Per Invoice'!$B$2:$B$301,0))),""))</f>
        <v/>
      </c>
      <c r="H321" s="11" t="n"/>
      <c r="R321" s="7">
        <f>IF($E321="","",Q321*Z321/100)</f>
        <v/>
      </c>
      <c r="S321" s="7" t="n"/>
      <c r="Y321" s="7" t="n"/>
      <c r="Z321" s="7" t="n"/>
      <c r="AA321" s="7">
        <f>IF($E321="","",Z321*AF321/100)</f>
        <v/>
      </c>
      <c r="AB321" s="7">
        <f>IF($E321="","",Z321-AA321)</f>
        <v/>
      </c>
      <c r="AC321" s="7">
        <f>IF($E321="","",AB321-R321)</f>
        <v/>
      </c>
      <c r="AF321">
        <f>IF($E321="","",IF($AR321=1,0,IF($AQ321=1,Settings!$C$6,Settings!$C$7))*100)</f>
        <v/>
      </c>
      <c r="AJ321" s="7" t="n"/>
      <c r="AM321" s="11" t="n"/>
      <c r="AO321">
        <f>IF($E321="","",IF(COUNTIF($E$2:$E321,$E321)=1,1,0))</f>
        <v/>
      </c>
      <c r="AP321">
        <f>IF($AO321=1,SUMPRODUCT(--($AS$2:$AS$1001&lt;$AS321))+1,"")</f>
        <v/>
      </c>
      <c r="AQ321">
        <f>IF($E321="","",IF(OR($V321=TRUE(),$V321="TRUE"),1,0))</f>
        <v/>
      </c>
      <c r="AR321">
        <f>IF($E321="","",IF($AE321="Yes",1,0))</f>
        <v/>
      </c>
      <c r="AS321">
        <f>IF($AO321=1,IFERROR(IF(VALUE($E321)&lt;100000000,VALUE($E321),1000000000),IFERROR(IF(VALUE(MID($E321,2,20))&lt;100000000,VALUE(MID($E321,2,20)),1000000000),1000000000))+ROW()/100000,"")</f>
        <v/>
      </c>
    </row>
    <row r="322">
      <c r="D322">
        <f>IF($E322="","",IFERROR(IF(INDEX('Per Invoice'!$A$2:$A$301,MATCH($E322,'Per Invoice'!$B$2:$B$301,0))=0,"",INDEX('Per Invoice'!$A$2:$A$301,MATCH($E322,'Per Invoice'!$B$2:$B$301,0))),""))</f>
        <v/>
      </c>
      <c r="H322" s="11" t="n"/>
      <c r="R322" s="7">
        <f>IF($E322="","",Q322*Z322/100)</f>
        <v/>
      </c>
      <c r="S322" s="7" t="n"/>
      <c r="Y322" s="7" t="n"/>
      <c r="Z322" s="7" t="n"/>
      <c r="AA322" s="7">
        <f>IF($E322="","",Z322*AF322/100)</f>
        <v/>
      </c>
      <c r="AB322" s="7">
        <f>IF($E322="","",Z322-AA322)</f>
        <v/>
      </c>
      <c r="AC322" s="7">
        <f>IF($E322="","",AB322-R322)</f>
        <v/>
      </c>
      <c r="AF322">
        <f>IF($E322="","",IF($AR322=1,0,IF($AQ322=1,Settings!$C$6,Settings!$C$7))*100)</f>
        <v/>
      </c>
      <c r="AJ322" s="7" t="n"/>
      <c r="AM322" s="11" t="n"/>
      <c r="AO322">
        <f>IF($E322="","",IF(COUNTIF($E$2:$E322,$E322)=1,1,0))</f>
        <v/>
      </c>
      <c r="AP322">
        <f>IF($AO322=1,SUMPRODUCT(--($AS$2:$AS$1001&lt;$AS322))+1,"")</f>
        <v/>
      </c>
      <c r="AQ322">
        <f>IF($E322="","",IF(OR($V322=TRUE(),$V322="TRUE"),1,0))</f>
        <v/>
      </c>
      <c r="AR322">
        <f>IF($E322="","",IF($AE322="Yes",1,0))</f>
        <v/>
      </c>
      <c r="AS322">
        <f>IF($AO322=1,IFERROR(IF(VALUE($E322)&lt;100000000,VALUE($E322),1000000000),IFERROR(IF(VALUE(MID($E322,2,20))&lt;100000000,VALUE(MID($E322,2,20)),1000000000),1000000000))+ROW()/100000,"")</f>
        <v/>
      </c>
    </row>
    <row r="323">
      <c r="D323">
        <f>IF($E323="","",IFERROR(IF(INDEX('Per Invoice'!$A$2:$A$301,MATCH($E323,'Per Invoice'!$B$2:$B$301,0))=0,"",INDEX('Per Invoice'!$A$2:$A$301,MATCH($E323,'Per Invoice'!$B$2:$B$301,0))),""))</f>
        <v/>
      </c>
      <c r="H323" s="11" t="n"/>
      <c r="R323" s="7">
        <f>IF($E323="","",Q323*Z323/100)</f>
        <v/>
      </c>
      <c r="S323" s="7" t="n"/>
      <c r="Y323" s="7" t="n"/>
      <c r="Z323" s="7" t="n"/>
      <c r="AA323" s="7">
        <f>IF($E323="","",Z323*AF323/100)</f>
        <v/>
      </c>
      <c r="AB323" s="7">
        <f>IF($E323="","",Z323-AA323)</f>
        <v/>
      </c>
      <c r="AC323" s="7">
        <f>IF($E323="","",AB323-R323)</f>
        <v/>
      </c>
      <c r="AF323">
        <f>IF($E323="","",IF($AR323=1,0,IF($AQ323=1,Settings!$C$6,Settings!$C$7))*100)</f>
        <v/>
      </c>
      <c r="AJ323" s="7" t="n"/>
      <c r="AM323" s="11" t="n"/>
      <c r="AO323">
        <f>IF($E323="","",IF(COUNTIF($E$2:$E323,$E323)=1,1,0))</f>
        <v/>
      </c>
      <c r="AP323">
        <f>IF($AO323=1,SUMPRODUCT(--($AS$2:$AS$1001&lt;$AS323))+1,"")</f>
        <v/>
      </c>
      <c r="AQ323">
        <f>IF($E323="","",IF(OR($V323=TRUE(),$V323="TRUE"),1,0))</f>
        <v/>
      </c>
      <c r="AR323">
        <f>IF($E323="","",IF($AE323="Yes",1,0))</f>
        <v/>
      </c>
      <c r="AS323">
        <f>IF($AO323=1,IFERROR(IF(VALUE($E323)&lt;100000000,VALUE($E323),1000000000),IFERROR(IF(VALUE(MID($E323,2,20))&lt;100000000,VALUE(MID($E323,2,20)),1000000000),1000000000))+ROW()/100000,"")</f>
        <v/>
      </c>
    </row>
    <row r="324">
      <c r="D324">
        <f>IF($E324="","",IFERROR(IF(INDEX('Per Invoice'!$A$2:$A$301,MATCH($E324,'Per Invoice'!$B$2:$B$301,0))=0,"",INDEX('Per Invoice'!$A$2:$A$301,MATCH($E324,'Per Invoice'!$B$2:$B$301,0))),""))</f>
        <v/>
      </c>
      <c r="H324" s="11" t="n"/>
      <c r="R324" s="7">
        <f>IF($E324="","",Q324*Z324/100)</f>
        <v/>
      </c>
      <c r="S324" s="7" t="n"/>
      <c r="Y324" s="7" t="n"/>
      <c r="Z324" s="7" t="n"/>
      <c r="AA324" s="7">
        <f>IF($E324="","",Z324*AF324/100)</f>
        <v/>
      </c>
      <c r="AB324" s="7">
        <f>IF($E324="","",Z324-AA324)</f>
        <v/>
      </c>
      <c r="AC324" s="7">
        <f>IF($E324="","",AB324-R324)</f>
        <v/>
      </c>
      <c r="AF324">
        <f>IF($E324="","",IF($AR324=1,0,IF($AQ324=1,Settings!$C$6,Settings!$C$7))*100)</f>
        <v/>
      </c>
      <c r="AJ324" s="7" t="n"/>
      <c r="AM324" s="11" t="n"/>
      <c r="AO324">
        <f>IF($E324="","",IF(COUNTIF($E$2:$E324,$E324)=1,1,0))</f>
        <v/>
      </c>
      <c r="AP324">
        <f>IF($AO324=1,SUMPRODUCT(--($AS$2:$AS$1001&lt;$AS324))+1,"")</f>
        <v/>
      </c>
      <c r="AQ324">
        <f>IF($E324="","",IF(OR($V324=TRUE(),$V324="TRUE"),1,0))</f>
        <v/>
      </c>
      <c r="AR324">
        <f>IF($E324="","",IF($AE324="Yes",1,0))</f>
        <v/>
      </c>
      <c r="AS324">
        <f>IF($AO324=1,IFERROR(IF(VALUE($E324)&lt;100000000,VALUE($E324),1000000000),IFERROR(IF(VALUE(MID($E324,2,20))&lt;100000000,VALUE(MID($E324,2,20)),1000000000),1000000000))+ROW()/100000,"")</f>
        <v/>
      </c>
    </row>
    <row r="325">
      <c r="D325">
        <f>IF($E325="","",IFERROR(IF(INDEX('Per Invoice'!$A$2:$A$301,MATCH($E325,'Per Invoice'!$B$2:$B$301,0))=0,"",INDEX('Per Invoice'!$A$2:$A$301,MATCH($E325,'Per Invoice'!$B$2:$B$301,0))),""))</f>
        <v/>
      </c>
      <c r="H325" s="11" t="n"/>
      <c r="R325" s="7">
        <f>IF($E325="","",Q325*Z325/100)</f>
        <v/>
      </c>
      <c r="S325" s="7" t="n"/>
      <c r="Y325" s="7" t="n"/>
      <c r="Z325" s="7" t="n"/>
      <c r="AA325" s="7">
        <f>IF($E325="","",Z325*AF325/100)</f>
        <v/>
      </c>
      <c r="AB325" s="7">
        <f>IF($E325="","",Z325-AA325)</f>
        <v/>
      </c>
      <c r="AC325" s="7">
        <f>IF($E325="","",AB325-R325)</f>
        <v/>
      </c>
      <c r="AF325">
        <f>IF($E325="","",IF($AR325=1,0,IF($AQ325=1,Settings!$C$6,Settings!$C$7))*100)</f>
        <v/>
      </c>
      <c r="AJ325" s="7" t="n"/>
      <c r="AM325" s="11" t="n"/>
      <c r="AO325">
        <f>IF($E325="","",IF(COUNTIF($E$2:$E325,$E325)=1,1,0))</f>
        <v/>
      </c>
      <c r="AP325">
        <f>IF($AO325=1,SUMPRODUCT(--($AS$2:$AS$1001&lt;$AS325))+1,"")</f>
        <v/>
      </c>
      <c r="AQ325">
        <f>IF($E325="","",IF(OR($V325=TRUE(),$V325="TRUE"),1,0))</f>
        <v/>
      </c>
      <c r="AR325">
        <f>IF($E325="","",IF($AE325="Yes",1,0))</f>
        <v/>
      </c>
      <c r="AS325">
        <f>IF($AO325=1,IFERROR(IF(VALUE($E325)&lt;100000000,VALUE($E325),1000000000),IFERROR(IF(VALUE(MID($E325,2,20))&lt;100000000,VALUE(MID($E325,2,20)),1000000000),1000000000))+ROW()/100000,"")</f>
        <v/>
      </c>
    </row>
    <row r="326">
      <c r="D326">
        <f>IF($E326="","",IFERROR(IF(INDEX('Per Invoice'!$A$2:$A$301,MATCH($E326,'Per Invoice'!$B$2:$B$301,0))=0,"",INDEX('Per Invoice'!$A$2:$A$301,MATCH($E326,'Per Invoice'!$B$2:$B$301,0))),""))</f>
        <v/>
      </c>
      <c r="H326" s="11" t="n"/>
      <c r="R326" s="7">
        <f>IF($E326="","",Q326*Z326/100)</f>
        <v/>
      </c>
      <c r="S326" s="7" t="n"/>
      <c r="Y326" s="7" t="n"/>
      <c r="Z326" s="7" t="n"/>
      <c r="AA326" s="7">
        <f>IF($E326="","",Z326*AF326/100)</f>
        <v/>
      </c>
      <c r="AB326" s="7">
        <f>IF($E326="","",Z326-AA326)</f>
        <v/>
      </c>
      <c r="AC326" s="7">
        <f>IF($E326="","",AB326-R326)</f>
        <v/>
      </c>
      <c r="AF326">
        <f>IF($E326="","",IF($AR326=1,0,IF($AQ326=1,Settings!$C$6,Settings!$C$7))*100)</f>
        <v/>
      </c>
      <c r="AJ326" s="7" t="n"/>
      <c r="AM326" s="11" t="n"/>
      <c r="AO326">
        <f>IF($E326="","",IF(COUNTIF($E$2:$E326,$E326)=1,1,0))</f>
        <v/>
      </c>
      <c r="AP326">
        <f>IF($AO326=1,SUMPRODUCT(--($AS$2:$AS$1001&lt;$AS326))+1,"")</f>
        <v/>
      </c>
      <c r="AQ326">
        <f>IF($E326="","",IF(OR($V326=TRUE(),$V326="TRUE"),1,0))</f>
        <v/>
      </c>
      <c r="AR326">
        <f>IF($E326="","",IF($AE326="Yes",1,0))</f>
        <v/>
      </c>
      <c r="AS326">
        <f>IF($AO326=1,IFERROR(IF(VALUE($E326)&lt;100000000,VALUE($E326),1000000000),IFERROR(IF(VALUE(MID($E326,2,20))&lt;100000000,VALUE(MID($E326,2,20)),1000000000),1000000000))+ROW()/100000,"")</f>
        <v/>
      </c>
    </row>
    <row r="327">
      <c r="D327">
        <f>IF($E327="","",IFERROR(IF(INDEX('Per Invoice'!$A$2:$A$301,MATCH($E327,'Per Invoice'!$B$2:$B$301,0))=0,"",INDEX('Per Invoice'!$A$2:$A$301,MATCH($E327,'Per Invoice'!$B$2:$B$301,0))),""))</f>
        <v/>
      </c>
      <c r="H327" s="11" t="n"/>
      <c r="R327" s="7">
        <f>IF($E327="","",Q327*Z327/100)</f>
        <v/>
      </c>
      <c r="S327" s="7" t="n"/>
      <c r="Y327" s="7" t="n"/>
      <c r="Z327" s="7" t="n"/>
      <c r="AA327" s="7">
        <f>IF($E327="","",Z327*AF327/100)</f>
        <v/>
      </c>
      <c r="AB327" s="7">
        <f>IF($E327="","",Z327-AA327)</f>
        <v/>
      </c>
      <c r="AC327" s="7">
        <f>IF($E327="","",AB327-R327)</f>
        <v/>
      </c>
      <c r="AF327">
        <f>IF($E327="","",IF($AR327=1,0,IF($AQ327=1,Settings!$C$6,Settings!$C$7))*100)</f>
        <v/>
      </c>
      <c r="AJ327" s="7" t="n"/>
      <c r="AM327" s="11" t="n"/>
      <c r="AO327">
        <f>IF($E327="","",IF(COUNTIF($E$2:$E327,$E327)=1,1,0))</f>
        <v/>
      </c>
      <c r="AP327">
        <f>IF($AO327=1,SUMPRODUCT(--($AS$2:$AS$1001&lt;$AS327))+1,"")</f>
        <v/>
      </c>
      <c r="AQ327">
        <f>IF($E327="","",IF(OR($V327=TRUE(),$V327="TRUE"),1,0))</f>
        <v/>
      </c>
      <c r="AR327">
        <f>IF($E327="","",IF($AE327="Yes",1,0))</f>
        <v/>
      </c>
      <c r="AS327">
        <f>IF($AO327=1,IFERROR(IF(VALUE($E327)&lt;100000000,VALUE($E327),1000000000),IFERROR(IF(VALUE(MID($E327,2,20))&lt;100000000,VALUE(MID($E327,2,20)),1000000000),1000000000))+ROW()/100000,"")</f>
        <v/>
      </c>
    </row>
    <row r="328">
      <c r="D328">
        <f>IF($E328="","",IFERROR(IF(INDEX('Per Invoice'!$A$2:$A$301,MATCH($E328,'Per Invoice'!$B$2:$B$301,0))=0,"",INDEX('Per Invoice'!$A$2:$A$301,MATCH($E328,'Per Invoice'!$B$2:$B$301,0))),""))</f>
        <v/>
      </c>
      <c r="H328" s="11" t="n"/>
      <c r="R328" s="7">
        <f>IF($E328="","",Q328*Z328/100)</f>
        <v/>
      </c>
      <c r="S328" s="7" t="n"/>
      <c r="Y328" s="7" t="n"/>
      <c r="Z328" s="7" t="n"/>
      <c r="AA328" s="7">
        <f>IF($E328="","",Z328*AF328/100)</f>
        <v/>
      </c>
      <c r="AB328" s="7">
        <f>IF($E328="","",Z328-AA328)</f>
        <v/>
      </c>
      <c r="AC328" s="7">
        <f>IF($E328="","",AB328-R328)</f>
        <v/>
      </c>
      <c r="AF328">
        <f>IF($E328="","",IF($AR328=1,0,IF($AQ328=1,Settings!$C$6,Settings!$C$7))*100)</f>
        <v/>
      </c>
      <c r="AJ328" s="7" t="n"/>
      <c r="AM328" s="11" t="n"/>
      <c r="AO328">
        <f>IF($E328="","",IF(COUNTIF($E$2:$E328,$E328)=1,1,0))</f>
        <v/>
      </c>
      <c r="AP328">
        <f>IF($AO328=1,SUMPRODUCT(--($AS$2:$AS$1001&lt;$AS328))+1,"")</f>
        <v/>
      </c>
      <c r="AQ328">
        <f>IF($E328="","",IF(OR($V328=TRUE(),$V328="TRUE"),1,0))</f>
        <v/>
      </c>
      <c r="AR328">
        <f>IF($E328="","",IF($AE328="Yes",1,0))</f>
        <v/>
      </c>
      <c r="AS328">
        <f>IF($AO328=1,IFERROR(IF(VALUE($E328)&lt;100000000,VALUE($E328),1000000000),IFERROR(IF(VALUE(MID($E328,2,20))&lt;100000000,VALUE(MID($E328,2,20)),1000000000),1000000000))+ROW()/100000,"")</f>
        <v/>
      </c>
    </row>
    <row r="329">
      <c r="D329">
        <f>IF($E329="","",IFERROR(IF(INDEX('Per Invoice'!$A$2:$A$301,MATCH($E329,'Per Invoice'!$B$2:$B$301,0))=0,"",INDEX('Per Invoice'!$A$2:$A$301,MATCH($E329,'Per Invoice'!$B$2:$B$301,0))),""))</f>
        <v/>
      </c>
      <c r="H329" s="11" t="n"/>
      <c r="R329" s="7">
        <f>IF($E329="","",Q329*Z329/100)</f>
        <v/>
      </c>
      <c r="S329" s="7" t="n"/>
      <c r="Y329" s="7" t="n"/>
      <c r="Z329" s="7" t="n"/>
      <c r="AA329" s="7">
        <f>IF($E329="","",Z329*AF329/100)</f>
        <v/>
      </c>
      <c r="AB329" s="7">
        <f>IF($E329="","",Z329-AA329)</f>
        <v/>
      </c>
      <c r="AC329" s="7">
        <f>IF($E329="","",AB329-R329)</f>
        <v/>
      </c>
      <c r="AF329">
        <f>IF($E329="","",IF($AR329=1,0,IF($AQ329=1,Settings!$C$6,Settings!$C$7))*100)</f>
        <v/>
      </c>
      <c r="AJ329" s="7" t="n"/>
      <c r="AM329" s="11" t="n"/>
      <c r="AO329">
        <f>IF($E329="","",IF(COUNTIF($E$2:$E329,$E329)=1,1,0))</f>
        <v/>
      </c>
      <c r="AP329">
        <f>IF($AO329=1,SUMPRODUCT(--($AS$2:$AS$1001&lt;$AS329))+1,"")</f>
        <v/>
      </c>
      <c r="AQ329">
        <f>IF($E329="","",IF(OR($V329=TRUE(),$V329="TRUE"),1,0))</f>
        <v/>
      </c>
      <c r="AR329">
        <f>IF($E329="","",IF($AE329="Yes",1,0))</f>
        <v/>
      </c>
      <c r="AS329">
        <f>IF($AO329=1,IFERROR(IF(VALUE($E329)&lt;100000000,VALUE($E329),1000000000),IFERROR(IF(VALUE(MID($E329,2,20))&lt;100000000,VALUE(MID($E329,2,20)),1000000000),1000000000))+ROW()/100000,"")</f>
        <v/>
      </c>
    </row>
    <row r="330">
      <c r="D330">
        <f>IF($E330="","",IFERROR(IF(INDEX('Per Invoice'!$A$2:$A$301,MATCH($E330,'Per Invoice'!$B$2:$B$301,0))=0,"",INDEX('Per Invoice'!$A$2:$A$301,MATCH($E330,'Per Invoice'!$B$2:$B$301,0))),""))</f>
        <v/>
      </c>
      <c r="H330" s="11" t="n"/>
      <c r="R330" s="7">
        <f>IF($E330="","",Q330*Z330/100)</f>
        <v/>
      </c>
      <c r="S330" s="7" t="n"/>
      <c r="Y330" s="7" t="n"/>
      <c r="Z330" s="7" t="n"/>
      <c r="AA330" s="7">
        <f>IF($E330="","",Z330*AF330/100)</f>
        <v/>
      </c>
      <c r="AB330" s="7">
        <f>IF($E330="","",Z330-AA330)</f>
        <v/>
      </c>
      <c r="AC330" s="7">
        <f>IF($E330="","",AB330-R330)</f>
        <v/>
      </c>
      <c r="AF330">
        <f>IF($E330="","",IF($AR330=1,0,IF($AQ330=1,Settings!$C$6,Settings!$C$7))*100)</f>
        <v/>
      </c>
      <c r="AJ330" s="7" t="n"/>
      <c r="AM330" s="11" t="n"/>
      <c r="AO330">
        <f>IF($E330="","",IF(COUNTIF($E$2:$E330,$E330)=1,1,0))</f>
        <v/>
      </c>
      <c r="AP330">
        <f>IF($AO330=1,SUMPRODUCT(--($AS$2:$AS$1001&lt;$AS330))+1,"")</f>
        <v/>
      </c>
      <c r="AQ330">
        <f>IF($E330="","",IF(OR($V330=TRUE(),$V330="TRUE"),1,0))</f>
        <v/>
      </c>
      <c r="AR330">
        <f>IF($E330="","",IF($AE330="Yes",1,0))</f>
        <v/>
      </c>
      <c r="AS330">
        <f>IF($AO330=1,IFERROR(IF(VALUE($E330)&lt;100000000,VALUE($E330),1000000000),IFERROR(IF(VALUE(MID($E330,2,20))&lt;100000000,VALUE(MID($E330,2,20)),1000000000),1000000000))+ROW()/100000,"")</f>
        <v/>
      </c>
    </row>
    <row r="331">
      <c r="D331">
        <f>IF($E331="","",IFERROR(IF(INDEX('Per Invoice'!$A$2:$A$301,MATCH($E331,'Per Invoice'!$B$2:$B$301,0))=0,"",INDEX('Per Invoice'!$A$2:$A$301,MATCH($E331,'Per Invoice'!$B$2:$B$301,0))),""))</f>
        <v/>
      </c>
      <c r="H331" s="11" t="n"/>
      <c r="R331" s="7">
        <f>IF($E331="","",Q331*Z331/100)</f>
        <v/>
      </c>
      <c r="S331" s="7" t="n"/>
      <c r="Y331" s="7" t="n"/>
      <c r="Z331" s="7" t="n"/>
      <c r="AA331" s="7">
        <f>IF($E331="","",Z331*AF331/100)</f>
        <v/>
      </c>
      <c r="AB331" s="7">
        <f>IF($E331="","",Z331-AA331)</f>
        <v/>
      </c>
      <c r="AC331" s="7">
        <f>IF($E331="","",AB331-R331)</f>
        <v/>
      </c>
      <c r="AF331">
        <f>IF($E331="","",IF($AR331=1,0,IF($AQ331=1,Settings!$C$6,Settings!$C$7))*100)</f>
        <v/>
      </c>
      <c r="AJ331" s="7" t="n"/>
      <c r="AM331" s="11" t="n"/>
      <c r="AO331">
        <f>IF($E331="","",IF(COUNTIF($E$2:$E331,$E331)=1,1,0))</f>
        <v/>
      </c>
      <c r="AP331">
        <f>IF($AO331=1,SUMPRODUCT(--($AS$2:$AS$1001&lt;$AS331))+1,"")</f>
        <v/>
      </c>
      <c r="AQ331">
        <f>IF($E331="","",IF(OR($V331=TRUE(),$V331="TRUE"),1,0))</f>
        <v/>
      </c>
      <c r="AR331">
        <f>IF($E331="","",IF($AE331="Yes",1,0))</f>
        <v/>
      </c>
      <c r="AS331">
        <f>IF($AO331=1,IFERROR(IF(VALUE($E331)&lt;100000000,VALUE($E331),1000000000),IFERROR(IF(VALUE(MID($E331,2,20))&lt;100000000,VALUE(MID($E331,2,20)),1000000000),1000000000))+ROW()/100000,"")</f>
        <v/>
      </c>
    </row>
    <row r="332">
      <c r="D332">
        <f>IF($E332="","",IFERROR(IF(INDEX('Per Invoice'!$A$2:$A$301,MATCH($E332,'Per Invoice'!$B$2:$B$301,0))=0,"",INDEX('Per Invoice'!$A$2:$A$301,MATCH($E332,'Per Invoice'!$B$2:$B$301,0))),""))</f>
        <v/>
      </c>
      <c r="H332" s="11" t="n"/>
      <c r="R332" s="7">
        <f>IF($E332="","",Q332*Z332/100)</f>
        <v/>
      </c>
      <c r="S332" s="7" t="n"/>
      <c r="Y332" s="7" t="n"/>
      <c r="Z332" s="7" t="n"/>
      <c r="AA332" s="7">
        <f>IF($E332="","",Z332*AF332/100)</f>
        <v/>
      </c>
      <c r="AB332" s="7">
        <f>IF($E332="","",Z332-AA332)</f>
        <v/>
      </c>
      <c r="AC332" s="7">
        <f>IF($E332="","",AB332-R332)</f>
        <v/>
      </c>
      <c r="AF332">
        <f>IF($E332="","",IF($AR332=1,0,IF($AQ332=1,Settings!$C$6,Settings!$C$7))*100)</f>
        <v/>
      </c>
      <c r="AJ332" s="7" t="n"/>
      <c r="AM332" s="11" t="n"/>
      <c r="AO332">
        <f>IF($E332="","",IF(COUNTIF($E$2:$E332,$E332)=1,1,0))</f>
        <v/>
      </c>
      <c r="AP332">
        <f>IF($AO332=1,SUMPRODUCT(--($AS$2:$AS$1001&lt;$AS332))+1,"")</f>
        <v/>
      </c>
      <c r="AQ332">
        <f>IF($E332="","",IF(OR($V332=TRUE(),$V332="TRUE"),1,0))</f>
        <v/>
      </c>
      <c r="AR332">
        <f>IF($E332="","",IF($AE332="Yes",1,0))</f>
        <v/>
      </c>
      <c r="AS332">
        <f>IF($AO332=1,IFERROR(IF(VALUE($E332)&lt;100000000,VALUE($E332),1000000000),IFERROR(IF(VALUE(MID($E332,2,20))&lt;100000000,VALUE(MID($E332,2,20)),1000000000),1000000000))+ROW()/100000,"")</f>
        <v/>
      </c>
    </row>
    <row r="333">
      <c r="D333">
        <f>IF($E333="","",IFERROR(IF(INDEX('Per Invoice'!$A$2:$A$301,MATCH($E333,'Per Invoice'!$B$2:$B$301,0))=0,"",INDEX('Per Invoice'!$A$2:$A$301,MATCH($E333,'Per Invoice'!$B$2:$B$301,0))),""))</f>
        <v/>
      </c>
      <c r="H333" s="11" t="n"/>
      <c r="R333" s="7">
        <f>IF($E333="","",Q333*Z333/100)</f>
        <v/>
      </c>
      <c r="S333" s="7" t="n"/>
      <c r="Y333" s="7" t="n"/>
      <c r="Z333" s="7" t="n"/>
      <c r="AA333" s="7">
        <f>IF($E333="","",Z333*AF333/100)</f>
        <v/>
      </c>
      <c r="AB333" s="7">
        <f>IF($E333="","",Z333-AA333)</f>
        <v/>
      </c>
      <c r="AC333" s="7">
        <f>IF($E333="","",AB333-R333)</f>
        <v/>
      </c>
      <c r="AF333">
        <f>IF($E333="","",IF($AR333=1,0,IF($AQ333=1,Settings!$C$6,Settings!$C$7))*100)</f>
        <v/>
      </c>
      <c r="AJ333" s="7" t="n"/>
      <c r="AM333" s="11" t="n"/>
      <c r="AO333">
        <f>IF($E333="","",IF(COUNTIF($E$2:$E333,$E333)=1,1,0))</f>
        <v/>
      </c>
      <c r="AP333">
        <f>IF($AO333=1,SUMPRODUCT(--($AS$2:$AS$1001&lt;$AS333))+1,"")</f>
        <v/>
      </c>
      <c r="AQ333">
        <f>IF($E333="","",IF(OR($V333=TRUE(),$V333="TRUE"),1,0))</f>
        <v/>
      </c>
      <c r="AR333">
        <f>IF($E333="","",IF($AE333="Yes",1,0))</f>
        <v/>
      </c>
      <c r="AS333">
        <f>IF($AO333=1,IFERROR(IF(VALUE($E333)&lt;100000000,VALUE($E333),1000000000),IFERROR(IF(VALUE(MID($E333,2,20))&lt;100000000,VALUE(MID($E333,2,20)),1000000000),1000000000))+ROW()/100000,"")</f>
        <v/>
      </c>
    </row>
    <row r="334">
      <c r="D334">
        <f>IF($E334="","",IFERROR(IF(INDEX('Per Invoice'!$A$2:$A$301,MATCH($E334,'Per Invoice'!$B$2:$B$301,0))=0,"",INDEX('Per Invoice'!$A$2:$A$301,MATCH($E334,'Per Invoice'!$B$2:$B$301,0))),""))</f>
        <v/>
      </c>
      <c r="H334" s="11" t="n"/>
      <c r="R334" s="7">
        <f>IF($E334="","",Q334*Z334/100)</f>
        <v/>
      </c>
      <c r="S334" s="7" t="n"/>
      <c r="Y334" s="7" t="n"/>
      <c r="Z334" s="7" t="n"/>
      <c r="AA334" s="7">
        <f>IF($E334="","",Z334*AF334/100)</f>
        <v/>
      </c>
      <c r="AB334" s="7">
        <f>IF($E334="","",Z334-AA334)</f>
        <v/>
      </c>
      <c r="AC334" s="7">
        <f>IF($E334="","",AB334-R334)</f>
        <v/>
      </c>
      <c r="AF334">
        <f>IF($E334="","",IF($AR334=1,0,IF($AQ334=1,Settings!$C$6,Settings!$C$7))*100)</f>
        <v/>
      </c>
      <c r="AJ334" s="7" t="n"/>
      <c r="AM334" s="11" t="n"/>
      <c r="AO334">
        <f>IF($E334="","",IF(COUNTIF($E$2:$E334,$E334)=1,1,0))</f>
        <v/>
      </c>
      <c r="AP334">
        <f>IF($AO334=1,SUMPRODUCT(--($AS$2:$AS$1001&lt;$AS334))+1,"")</f>
        <v/>
      </c>
      <c r="AQ334">
        <f>IF($E334="","",IF(OR($V334=TRUE(),$V334="TRUE"),1,0))</f>
        <v/>
      </c>
      <c r="AR334">
        <f>IF($E334="","",IF($AE334="Yes",1,0))</f>
        <v/>
      </c>
      <c r="AS334">
        <f>IF($AO334=1,IFERROR(IF(VALUE($E334)&lt;100000000,VALUE($E334),1000000000),IFERROR(IF(VALUE(MID($E334,2,20))&lt;100000000,VALUE(MID($E334,2,20)),1000000000),1000000000))+ROW()/100000,"")</f>
        <v/>
      </c>
    </row>
    <row r="335">
      <c r="D335">
        <f>IF($E335="","",IFERROR(IF(INDEX('Per Invoice'!$A$2:$A$301,MATCH($E335,'Per Invoice'!$B$2:$B$301,0))=0,"",INDEX('Per Invoice'!$A$2:$A$301,MATCH($E335,'Per Invoice'!$B$2:$B$301,0))),""))</f>
        <v/>
      </c>
      <c r="H335" s="11" t="n"/>
      <c r="R335" s="7">
        <f>IF($E335="","",Q335*Z335/100)</f>
        <v/>
      </c>
      <c r="S335" s="7" t="n"/>
      <c r="Y335" s="7" t="n"/>
      <c r="Z335" s="7" t="n"/>
      <c r="AA335" s="7">
        <f>IF($E335="","",Z335*AF335/100)</f>
        <v/>
      </c>
      <c r="AB335" s="7">
        <f>IF($E335="","",Z335-AA335)</f>
        <v/>
      </c>
      <c r="AC335" s="7">
        <f>IF($E335="","",AB335-R335)</f>
        <v/>
      </c>
      <c r="AF335">
        <f>IF($E335="","",IF($AR335=1,0,IF($AQ335=1,Settings!$C$6,Settings!$C$7))*100)</f>
        <v/>
      </c>
      <c r="AJ335" s="7" t="n"/>
      <c r="AM335" s="11" t="n"/>
      <c r="AO335">
        <f>IF($E335="","",IF(COUNTIF($E$2:$E335,$E335)=1,1,0))</f>
        <v/>
      </c>
      <c r="AP335">
        <f>IF($AO335=1,SUMPRODUCT(--($AS$2:$AS$1001&lt;$AS335))+1,"")</f>
        <v/>
      </c>
      <c r="AQ335">
        <f>IF($E335="","",IF(OR($V335=TRUE(),$V335="TRUE"),1,0))</f>
        <v/>
      </c>
      <c r="AR335">
        <f>IF($E335="","",IF($AE335="Yes",1,0))</f>
        <v/>
      </c>
      <c r="AS335">
        <f>IF($AO335=1,IFERROR(IF(VALUE($E335)&lt;100000000,VALUE($E335),1000000000),IFERROR(IF(VALUE(MID($E335,2,20))&lt;100000000,VALUE(MID($E335,2,20)),1000000000),1000000000))+ROW()/100000,"")</f>
        <v/>
      </c>
    </row>
    <row r="336">
      <c r="D336">
        <f>IF($E336="","",IFERROR(IF(INDEX('Per Invoice'!$A$2:$A$301,MATCH($E336,'Per Invoice'!$B$2:$B$301,0))=0,"",INDEX('Per Invoice'!$A$2:$A$301,MATCH($E336,'Per Invoice'!$B$2:$B$301,0))),""))</f>
        <v/>
      </c>
      <c r="H336" s="11" t="n"/>
      <c r="R336" s="7">
        <f>IF($E336="","",Q336*Z336/100)</f>
        <v/>
      </c>
      <c r="S336" s="7" t="n"/>
      <c r="Y336" s="7" t="n"/>
      <c r="Z336" s="7" t="n"/>
      <c r="AA336" s="7">
        <f>IF($E336="","",Z336*AF336/100)</f>
        <v/>
      </c>
      <c r="AB336" s="7">
        <f>IF($E336="","",Z336-AA336)</f>
        <v/>
      </c>
      <c r="AC336" s="7">
        <f>IF($E336="","",AB336-R336)</f>
        <v/>
      </c>
      <c r="AF336">
        <f>IF($E336="","",IF($AR336=1,0,IF($AQ336=1,Settings!$C$6,Settings!$C$7))*100)</f>
        <v/>
      </c>
      <c r="AJ336" s="7" t="n"/>
      <c r="AM336" s="11" t="n"/>
      <c r="AO336">
        <f>IF($E336="","",IF(COUNTIF($E$2:$E336,$E336)=1,1,0))</f>
        <v/>
      </c>
      <c r="AP336">
        <f>IF($AO336=1,SUMPRODUCT(--($AS$2:$AS$1001&lt;$AS336))+1,"")</f>
        <v/>
      </c>
      <c r="AQ336">
        <f>IF($E336="","",IF(OR($V336=TRUE(),$V336="TRUE"),1,0))</f>
        <v/>
      </c>
      <c r="AR336">
        <f>IF($E336="","",IF($AE336="Yes",1,0))</f>
        <v/>
      </c>
      <c r="AS336">
        <f>IF($AO336=1,IFERROR(IF(VALUE($E336)&lt;100000000,VALUE($E336),1000000000),IFERROR(IF(VALUE(MID($E336,2,20))&lt;100000000,VALUE(MID($E336,2,20)),1000000000),1000000000))+ROW()/100000,"")</f>
        <v/>
      </c>
    </row>
    <row r="337">
      <c r="D337">
        <f>IF($E337="","",IFERROR(IF(INDEX('Per Invoice'!$A$2:$A$301,MATCH($E337,'Per Invoice'!$B$2:$B$301,0))=0,"",INDEX('Per Invoice'!$A$2:$A$301,MATCH($E337,'Per Invoice'!$B$2:$B$301,0))),""))</f>
        <v/>
      </c>
      <c r="H337" s="11" t="n"/>
      <c r="R337" s="7">
        <f>IF($E337="","",Q337*Z337/100)</f>
        <v/>
      </c>
      <c r="S337" s="7" t="n"/>
      <c r="Y337" s="7" t="n"/>
      <c r="Z337" s="7" t="n"/>
      <c r="AA337" s="7">
        <f>IF($E337="","",Z337*AF337/100)</f>
        <v/>
      </c>
      <c r="AB337" s="7">
        <f>IF($E337="","",Z337-AA337)</f>
        <v/>
      </c>
      <c r="AC337" s="7">
        <f>IF($E337="","",AB337-R337)</f>
        <v/>
      </c>
      <c r="AF337">
        <f>IF($E337="","",IF($AR337=1,0,IF($AQ337=1,Settings!$C$6,Settings!$C$7))*100)</f>
        <v/>
      </c>
      <c r="AJ337" s="7" t="n"/>
      <c r="AM337" s="11" t="n"/>
      <c r="AO337">
        <f>IF($E337="","",IF(COUNTIF($E$2:$E337,$E337)=1,1,0))</f>
        <v/>
      </c>
      <c r="AP337">
        <f>IF($AO337=1,SUMPRODUCT(--($AS$2:$AS$1001&lt;$AS337))+1,"")</f>
        <v/>
      </c>
      <c r="AQ337">
        <f>IF($E337="","",IF(OR($V337=TRUE(),$V337="TRUE"),1,0))</f>
        <v/>
      </c>
      <c r="AR337">
        <f>IF($E337="","",IF($AE337="Yes",1,0))</f>
        <v/>
      </c>
      <c r="AS337">
        <f>IF($AO337=1,IFERROR(IF(VALUE($E337)&lt;100000000,VALUE($E337),1000000000),IFERROR(IF(VALUE(MID($E337,2,20))&lt;100000000,VALUE(MID($E337,2,20)),1000000000),1000000000))+ROW()/100000,"")</f>
        <v/>
      </c>
    </row>
    <row r="338">
      <c r="D338">
        <f>IF($E338="","",IFERROR(IF(INDEX('Per Invoice'!$A$2:$A$301,MATCH($E338,'Per Invoice'!$B$2:$B$301,0))=0,"",INDEX('Per Invoice'!$A$2:$A$301,MATCH($E338,'Per Invoice'!$B$2:$B$301,0))),""))</f>
        <v/>
      </c>
      <c r="H338" s="11" t="n"/>
      <c r="R338" s="7">
        <f>IF($E338="","",Q338*Z338/100)</f>
        <v/>
      </c>
      <c r="S338" s="7" t="n"/>
      <c r="Y338" s="7" t="n"/>
      <c r="Z338" s="7" t="n"/>
      <c r="AA338" s="7">
        <f>IF($E338="","",Z338*AF338/100)</f>
        <v/>
      </c>
      <c r="AB338" s="7">
        <f>IF($E338="","",Z338-AA338)</f>
        <v/>
      </c>
      <c r="AC338" s="7">
        <f>IF($E338="","",AB338-R338)</f>
        <v/>
      </c>
      <c r="AF338">
        <f>IF($E338="","",IF($AR338=1,0,IF($AQ338=1,Settings!$C$6,Settings!$C$7))*100)</f>
        <v/>
      </c>
      <c r="AJ338" s="7" t="n"/>
      <c r="AM338" s="11" t="n"/>
      <c r="AO338">
        <f>IF($E338="","",IF(COUNTIF($E$2:$E338,$E338)=1,1,0))</f>
        <v/>
      </c>
      <c r="AP338">
        <f>IF($AO338=1,SUMPRODUCT(--($AS$2:$AS$1001&lt;$AS338))+1,"")</f>
        <v/>
      </c>
      <c r="AQ338">
        <f>IF($E338="","",IF(OR($V338=TRUE(),$V338="TRUE"),1,0))</f>
        <v/>
      </c>
      <c r="AR338">
        <f>IF($E338="","",IF($AE338="Yes",1,0))</f>
        <v/>
      </c>
      <c r="AS338">
        <f>IF($AO338=1,IFERROR(IF(VALUE($E338)&lt;100000000,VALUE($E338),1000000000),IFERROR(IF(VALUE(MID($E338,2,20))&lt;100000000,VALUE(MID($E338,2,20)),1000000000),1000000000))+ROW()/100000,"")</f>
        <v/>
      </c>
    </row>
    <row r="339">
      <c r="D339">
        <f>IF($E339="","",IFERROR(IF(INDEX('Per Invoice'!$A$2:$A$301,MATCH($E339,'Per Invoice'!$B$2:$B$301,0))=0,"",INDEX('Per Invoice'!$A$2:$A$301,MATCH($E339,'Per Invoice'!$B$2:$B$301,0))),""))</f>
        <v/>
      </c>
      <c r="H339" s="11" t="n"/>
      <c r="R339" s="7">
        <f>IF($E339="","",Q339*Z339/100)</f>
        <v/>
      </c>
      <c r="S339" s="7" t="n"/>
      <c r="Y339" s="7" t="n"/>
      <c r="Z339" s="7" t="n"/>
      <c r="AA339" s="7">
        <f>IF($E339="","",Z339*AF339/100)</f>
        <v/>
      </c>
      <c r="AB339" s="7">
        <f>IF($E339="","",Z339-AA339)</f>
        <v/>
      </c>
      <c r="AC339" s="7">
        <f>IF($E339="","",AB339-R339)</f>
        <v/>
      </c>
      <c r="AF339">
        <f>IF($E339="","",IF($AR339=1,0,IF($AQ339=1,Settings!$C$6,Settings!$C$7))*100)</f>
        <v/>
      </c>
      <c r="AJ339" s="7" t="n"/>
      <c r="AM339" s="11" t="n"/>
      <c r="AO339">
        <f>IF($E339="","",IF(COUNTIF($E$2:$E339,$E339)=1,1,0))</f>
        <v/>
      </c>
      <c r="AP339">
        <f>IF($AO339=1,SUMPRODUCT(--($AS$2:$AS$1001&lt;$AS339))+1,"")</f>
        <v/>
      </c>
      <c r="AQ339">
        <f>IF($E339="","",IF(OR($V339=TRUE(),$V339="TRUE"),1,0))</f>
        <v/>
      </c>
      <c r="AR339">
        <f>IF($E339="","",IF($AE339="Yes",1,0))</f>
        <v/>
      </c>
      <c r="AS339">
        <f>IF($AO339=1,IFERROR(IF(VALUE($E339)&lt;100000000,VALUE($E339),1000000000),IFERROR(IF(VALUE(MID($E339,2,20))&lt;100000000,VALUE(MID($E339,2,20)),1000000000),1000000000))+ROW()/100000,"")</f>
        <v/>
      </c>
    </row>
    <row r="340">
      <c r="D340">
        <f>IF($E340="","",IFERROR(IF(INDEX('Per Invoice'!$A$2:$A$301,MATCH($E340,'Per Invoice'!$B$2:$B$301,0))=0,"",INDEX('Per Invoice'!$A$2:$A$301,MATCH($E340,'Per Invoice'!$B$2:$B$301,0))),""))</f>
        <v/>
      </c>
      <c r="H340" s="11" t="n"/>
      <c r="R340" s="7">
        <f>IF($E340="","",Q340*Z340/100)</f>
        <v/>
      </c>
      <c r="S340" s="7" t="n"/>
      <c r="Y340" s="7" t="n"/>
      <c r="Z340" s="7" t="n"/>
      <c r="AA340" s="7">
        <f>IF($E340="","",Z340*AF340/100)</f>
        <v/>
      </c>
      <c r="AB340" s="7">
        <f>IF($E340="","",Z340-AA340)</f>
        <v/>
      </c>
      <c r="AC340" s="7">
        <f>IF($E340="","",AB340-R340)</f>
        <v/>
      </c>
      <c r="AF340">
        <f>IF($E340="","",IF($AR340=1,0,IF($AQ340=1,Settings!$C$6,Settings!$C$7))*100)</f>
        <v/>
      </c>
      <c r="AJ340" s="7" t="n"/>
      <c r="AM340" s="11" t="n"/>
      <c r="AO340">
        <f>IF($E340="","",IF(COUNTIF($E$2:$E340,$E340)=1,1,0))</f>
        <v/>
      </c>
      <c r="AP340">
        <f>IF($AO340=1,SUMPRODUCT(--($AS$2:$AS$1001&lt;$AS340))+1,"")</f>
        <v/>
      </c>
      <c r="AQ340">
        <f>IF($E340="","",IF(OR($V340=TRUE(),$V340="TRUE"),1,0))</f>
        <v/>
      </c>
      <c r="AR340">
        <f>IF($E340="","",IF($AE340="Yes",1,0))</f>
        <v/>
      </c>
      <c r="AS340">
        <f>IF($AO340=1,IFERROR(IF(VALUE($E340)&lt;100000000,VALUE($E340),1000000000),IFERROR(IF(VALUE(MID($E340,2,20))&lt;100000000,VALUE(MID($E340,2,20)),1000000000),1000000000))+ROW()/100000,"")</f>
        <v/>
      </c>
    </row>
    <row r="341">
      <c r="D341">
        <f>IF($E341="","",IFERROR(IF(INDEX('Per Invoice'!$A$2:$A$301,MATCH($E341,'Per Invoice'!$B$2:$B$301,0))=0,"",INDEX('Per Invoice'!$A$2:$A$301,MATCH($E341,'Per Invoice'!$B$2:$B$301,0))),""))</f>
        <v/>
      </c>
      <c r="H341" s="11" t="n"/>
      <c r="R341" s="7">
        <f>IF($E341="","",Q341*Z341/100)</f>
        <v/>
      </c>
      <c r="S341" s="7" t="n"/>
      <c r="Y341" s="7" t="n"/>
      <c r="Z341" s="7" t="n"/>
      <c r="AA341" s="7">
        <f>IF($E341="","",Z341*AF341/100)</f>
        <v/>
      </c>
      <c r="AB341" s="7">
        <f>IF($E341="","",Z341-AA341)</f>
        <v/>
      </c>
      <c r="AC341" s="7">
        <f>IF($E341="","",AB341-R341)</f>
        <v/>
      </c>
      <c r="AF341">
        <f>IF($E341="","",IF($AR341=1,0,IF($AQ341=1,Settings!$C$6,Settings!$C$7))*100)</f>
        <v/>
      </c>
      <c r="AJ341" s="7" t="n"/>
      <c r="AM341" s="11" t="n"/>
      <c r="AO341">
        <f>IF($E341="","",IF(COUNTIF($E$2:$E341,$E341)=1,1,0))</f>
        <v/>
      </c>
      <c r="AP341">
        <f>IF($AO341=1,SUMPRODUCT(--($AS$2:$AS$1001&lt;$AS341))+1,"")</f>
        <v/>
      </c>
      <c r="AQ341">
        <f>IF($E341="","",IF(OR($V341=TRUE(),$V341="TRUE"),1,0))</f>
        <v/>
      </c>
      <c r="AR341">
        <f>IF($E341="","",IF($AE341="Yes",1,0))</f>
        <v/>
      </c>
      <c r="AS341">
        <f>IF($AO341=1,IFERROR(IF(VALUE($E341)&lt;100000000,VALUE($E341),1000000000),IFERROR(IF(VALUE(MID($E341,2,20))&lt;100000000,VALUE(MID($E341,2,20)),1000000000),1000000000))+ROW()/100000,"")</f>
        <v/>
      </c>
    </row>
    <row r="342">
      <c r="D342">
        <f>IF($E342="","",IFERROR(IF(INDEX('Per Invoice'!$A$2:$A$301,MATCH($E342,'Per Invoice'!$B$2:$B$301,0))=0,"",INDEX('Per Invoice'!$A$2:$A$301,MATCH($E342,'Per Invoice'!$B$2:$B$301,0))),""))</f>
        <v/>
      </c>
      <c r="H342" s="11" t="n"/>
      <c r="R342" s="7">
        <f>IF($E342="","",Q342*Z342/100)</f>
        <v/>
      </c>
      <c r="S342" s="7" t="n"/>
      <c r="Y342" s="7" t="n"/>
      <c r="Z342" s="7" t="n"/>
      <c r="AA342" s="7">
        <f>IF($E342="","",Z342*AF342/100)</f>
        <v/>
      </c>
      <c r="AB342" s="7">
        <f>IF($E342="","",Z342-AA342)</f>
        <v/>
      </c>
      <c r="AC342" s="7">
        <f>IF($E342="","",AB342-R342)</f>
        <v/>
      </c>
      <c r="AF342">
        <f>IF($E342="","",IF($AR342=1,0,IF($AQ342=1,Settings!$C$6,Settings!$C$7))*100)</f>
        <v/>
      </c>
      <c r="AJ342" s="7" t="n"/>
      <c r="AM342" s="11" t="n"/>
      <c r="AO342">
        <f>IF($E342="","",IF(COUNTIF($E$2:$E342,$E342)=1,1,0))</f>
        <v/>
      </c>
      <c r="AP342">
        <f>IF($AO342=1,SUMPRODUCT(--($AS$2:$AS$1001&lt;$AS342))+1,"")</f>
        <v/>
      </c>
      <c r="AQ342">
        <f>IF($E342="","",IF(OR($V342=TRUE(),$V342="TRUE"),1,0))</f>
        <v/>
      </c>
      <c r="AR342">
        <f>IF($E342="","",IF($AE342="Yes",1,0))</f>
        <v/>
      </c>
      <c r="AS342">
        <f>IF($AO342=1,IFERROR(IF(VALUE($E342)&lt;100000000,VALUE($E342),1000000000),IFERROR(IF(VALUE(MID($E342,2,20))&lt;100000000,VALUE(MID($E342,2,20)),1000000000),1000000000))+ROW()/100000,"")</f>
        <v/>
      </c>
    </row>
    <row r="343">
      <c r="D343">
        <f>IF($E343="","",IFERROR(IF(INDEX('Per Invoice'!$A$2:$A$301,MATCH($E343,'Per Invoice'!$B$2:$B$301,0))=0,"",INDEX('Per Invoice'!$A$2:$A$301,MATCH($E343,'Per Invoice'!$B$2:$B$301,0))),""))</f>
        <v/>
      </c>
      <c r="H343" s="11" t="n"/>
      <c r="R343" s="7">
        <f>IF($E343="","",Q343*Z343/100)</f>
        <v/>
      </c>
      <c r="S343" s="7" t="n"/>
      <c r="Y343" s="7" t="n"/>
      <c r="Z343" s="7" t="n"/>
      <c r="AA343" s="7">
        <f>IF($E343="","",Z343*AF343/100)</f>
        <v/>
      </c>
      <c r="AB343" s="7">
        <f>IF($E343="","",Z343-AA343)</f>
        <v/>
      </c>
      <c r="AC343" s="7">
        <f>IF($E343="","",AB343-R343)</f>
        <v/>
      </c>
      <c r="AF343">
        <f>IF($E343="","",IF($AR343=1,0,IF($AQ343=1,Settings!$C$6,Settings!$C$7))*100)</f>
        <v/>
      </c>
      <c r="AJ343" s="7" t="n"/>
      <c r="AM343" s="11" t="n"/>
      <c r="AO343">
        <f>IF($E343="","",IF(COUNTIF($E$2:$E343,$E343)=1,1,0))</f>
        <v/>
      </c>
      <c r="AP343">
        <f>IF($AO343=1,SUMPRODUCT(--($AS$2:$AS$1001&lt;$AS343))+1,"")</f>
        <v/>
      </c>
      <c r="AQ343">
        <f>IF($E343="","",IF(OR($V343=TRUE(),$V343="TRUE"),1,0))</f>
        <v/>
      </c>
      <c r="AR343">
        <f>IF($E343="","",IF($AE343="Yes",1,0))</f>
        <v/>
      </c>
      <c r="AS343">
        <f>IF($AO343=1,IFERROR(IF(VALUE($E343)&lt;100000000,VALUE($E343),1000000000),IFERROR(IF(VALUE(MID($E343,2,20))&lt;100000000,VALUE(MID($E343,2,20)),1000000000),1000000000))+ROW()/100000,"")</f>
        <v/>
      </c>
    </row>
    <row r="344">
      <c r="D344">
        <f>IF($E344="","",IFERROR(IF(INDEX('Per Invoice'!$A$2:$A$301,MATCH($E344,'Per Invoice'!$B$2:$B$301,0))=0,"",INDEX('Per Invoice'!$A$2:$A$301,MATCH($E344,'Per Invoice'!$B$2:$B$301,0))),""))</f>
        <v/>
      </c>
      <c r="H344" s="11" t="n"/>
      <c r="R344" s="7">
        <f>IF($E344="","",Q344*Z344/100)</f>
        <v/>
      </c>
      <c r="S344" s="7" t="n"/>
      <c r="Y344" s="7" t="n"/>
      <c r="Z344" s="7" t="n"/>
      <c r="AA344" s="7">
        <f>IF($E344="","",Z344*AF344/100)</f>
        <v/>
      </c>
      <c r="AB344" s="7">
        <f>IF($E344="","",Z344-AA344)</f>
        <v/>
      </c>
      <c r="AC344" s="7">
        <f>IF($E344="","",AB344-R344)</f>
        <v/>
      </c>
      <c r="AF344">
        <f>IF($E344="","",IF($AR344=1,0,IF($AQ344=1,Settings!$C$6,Settings!$C$7))*100)</f>
        <v/>
      </c>
      <c r="AJ344" s="7" t="n"/>
      <c r="AM344" s="11" t="n"/>
      <c r="AO344">
        <f>IF($E344="","",IF(COUNTIF($E$2:$E344,$E344)=1,1,0))</f>
        <v/>
      </c>
      <c r="AP344">
        <f>IF($AO344=1,SUMPRODUCT(--($AS$2:$AS$1001&lt;$AS344))+1,"")</f>
        <v/>
      </c>
      <c r="AQ344">
        <f>IF($E344="","",IF(OR($V344=TRUE(),$V344="TRUE"),1,0))</f>
        <v/>
      </c>
      <c r="AR344">
        <f>IF($E344="","",IF($AE344="Yes",1,0))</f>
        <v/>
      </c>
      <c r="AS344">
        <f>IF($AO344=1,IFERROR(IF(VALUE($E344)&lt;100000000,VALUE($E344),1000000000),IFERROR(IF(VALUE(MID($E344,2,20))&lt;100000000,VALUE(MID($E344,2,20)),1000000000),1000000000))+ROW()/100000,"")</f>
        <v/>
      </c>
    </row>
    <row r="345">
      <c r="D345">
        <f>IF($E345="","",IFERROR(IF(INDEX('Per Invoice'!$A$2:$A$301,MATCH($E345,'Per Invoice'!$B$2:$B$301,0))=0,"",INDEX('Per Invoice'!$A$2:$A$301,MATCH($E345,'Per Invoice'!$B$2:$B$301,0))),""))</f>
        <v/>
      </c>
      <c r="H345" s="11" t="n"/>
      <c r="R345" s="7">
        <f>IF($E345="","",Q345*Z345/100)</f>
        <v/>
      </c>
      <c r="S345" s="7" t="n"/>
      <c r="Y345" s="7" t="n"/>
      <c r="Z345" s="7" t="n"/>
      <c r="AA345" s="7">
        <f>IF($E345="","",Z345*AF345/100)</f>
        <v/>
      </c>
      <c r="AB345" s="7">
        <f>IF($E345="","",Z345-AA345)</f>
        <v/>
      </c>
      <c r="AC345" s="7">
        <f>IF($E345="","",AB345-R345)</f>
        <v/>
      </c>
      <c r="AF345">
        <f>IF($E345="","",IF($AR345=1,0,IF($AQ345=1,Settings!$C$6,Settings!$C$7))*100)</f>
        <v/>
      </c>
      <c r="AJ345" s="7" t="n"/>
      <c r="AM345" s="11" t="n"/>
      <c r="AO345">
        <f>IF($E345="","",IF(COUNTIF($E$2:$E345,$E345)=1,1,0))</f>
        <v/>
      </c>
      <c r="AP345">
        <f>IF($AO345=1,SUMPRODUCT(--($AS$2:$AS$1001&lt;$AS345))+1,"")</f>
        <v/>
      </c>
      <c r="AQ345">
        <f>IF($E345="","",IF(OR($V345=TRUE(),$V345="TRUE"),1,0))</f>
        <v/>
      </c>
      <c r="AR345">
        <f>IF($E345="","",IF($AE345="Yes",1,0))</f>
        <v/>
      </c>
      <c r="AS345">
        <f>IF($AO345=1,IFERROR(IF(VALUE($E345)&lt;100000000,VALUE($E345),1000000000),IFERROR(IF(VALUE(MID($E345,2,20))&lt;100000000,VALUE(MID($E345,2,20)),1000000000),1000000000))+ROW()/100000,"")</f>
        <v/>
      </c>
    </row>
    <row r="346">
      <c r="D346">
        <f>IF($E346="","",IFERROR(IF(INDEX('Per Invoice'!$A$2:$A$301,MATCH($E346,'Per Invoice'!$B$2:$B$301,0))=0,"",INDEX('Per Invoice'!$A$2:$A$301,MATCH($E346,'Per Invoice'!$B$2:$B$301,0))),""))</f>
        <v/>
      </c>
      <c r="H346" s="11" t="n"/>
      <c r="R346" s="7">
        <f>IF($E346="","",Q346*Z346/100)</f>
        <v/>
      </c>
      <c r="S346" s="7" t="n"/>
      <c r="Y346" s="7" t="n"/>
      <c r="Z346" s="7" t="n"/>
      <c r="AA346" s="7">
        <f>IF($E346="","",Z346*AF346/100)</f>
        <v/>
      </c>
      <c r="AB346" s="7">
        <f>IF($E346="","",Z346-AA346)</f>
        <v/>
      </c>
      <c r="AC346" s="7">
        <f>IF($E346="","",AB346-R346)</f>
        <v/>
      </c>
      <c r="AF346">
        <f>IF($E346="","",IF($AR346=1,0,IF($AQ346=1,Settings!$C$6,Settings!$C$7))*100)</f>
        <v/>
      </c>
      <c r="AJ346" s="7" t="n"/>
      <c r="AM346" s="11" t="n"/>
      <c r="AO346">
        <f>IF($E346="","",IF(COUNTIF($E$2:$E346,$E346)=1,1,0))</f>
        <v/>
      </c>
      <c r="AP346">
        <f>IF($AO346=1,SUMPRODUCT(--($AS$2:$AS$1001&lt;$AS346))+1,"")</f>
        <v/>
      </c>
      <c r="AQ346">
        <f>IF($E346="","",IF(OR($V346=TRUE(),$V346="TRUE"),1,0))</f>
        <v/>
      </c>
      <c r="AR346">
        <f>IF($E346="","",IF($AE346="Yes",1,0))</f>
        <v/>
      </c>
      <c r="AS346">
        <f>IF($AO346=1,IFERROR(IF(VALUE($E346)&lt;100000000,VALUE($E346),1000000000),IFERROR(IF(VALUE(MID($E346,2,20))&lt;100000000,VALUE(MID($E346,2,20)),1000000000),1000000000))+ROW()/100000,"")</f>
        <v/>
      </c>
    </row>
    <row r="347">
      <c r="D347">
        <f>IF($E347="","",IFERROR(IF(INDEX('Per Invoice'!$A$2:$A$301,MATCH($E347,'Per Invoice'!$B$2:$B$301,0))=0,"",INDEX('Per Invoice'!$A$2:$A$301,MATCH($E347,'Per Invoice'!$B$2:$B$301,0))),""))</f>
        <v/>
      </c>
      <c r="H347" s="11" t="n"/>
      <c r="R347" s="7">
        <f>IF($E347="","",Q347*Z347/100)</f>
        <v/>
      </c>
      <c r="S347" s="7" t="n"/>
      <c r="Y347" s="7" t="n"/>
      <c r="Z347" s="7" t="n"/>
      <c r="AA347" s="7">
        <f>IF($E347="","",Z347*AF347/100)</f>
        <v/>
      </c>
      <c r="AB347" s="7">
        <f>IF($E347="","",Z347-AA347)</f>
        <v/>
      </c>
      <c r="AC347" s="7">
        <f>IF($E347="","",AB347-R347)</f>
        <v/>
      </c>
      <c r="AF347">
        <f>IF($E347="","",IF($AR347=1,0,IF($AQ347=1,Settings!$C$6,Settings!$C$7))*100)</f>
        <v/>
      </c>
      <c r="AJ347" s="7" t="n"/>
      <c r="AM347" s="11" t="n"/>
      <c r="AO347">
        <f>IF($E347="","",IF(COUNTIF($E$2:$E347,$E347)=1,1,0))</f>
        <v/>
      </c>
      <c r="AP347">
        <f>IF($AO347=1,SUMPRODUCT(--($AS$2:$AS$1001&lt;$AS347))+1,"")</f>
        <v/>
      </c>
      <c r="AQ347">
        <f>IF($E347="","",IF(OR($V347=TRUE(),$V347="TRUE"),1,0))</f>
        <v/>
      </c>
      <c r="AR347">
        <f>IF($E347="","",IF($AE347="Yes",1,0))</f>
        <v/>
      </c>
      <c r="AS347">
        <f>IF($AO347=1,IFERROR(IF(VALUE($E347)&lt;100000000,VALUE($E347),1000000000),IFERROR(IF(VALUE(MID($E347,2,20))&lt;100000000,VALUE(MID($E347,2,20)),1000000000),1000000000))+ROW()/100000,"")</f>
        <v/>
      </c>
    </row>
    <row r="348">
      <c r="D348">
        <f>IF($E348="","",IFERROR(IF(INDEX('Per Invoice'!$A$2:$A$301,MATCH($E348,'Per Invoice'!$B$2:$B$301,0))=0,"",INDEX('Per Invoice'!$A$2:$A$301,MATCH($E348,'Per Invoice'!$B$2:$B$301,0))),""))</f>
        <v/>
      </c>
      <c r="H348" s="11" t="n"/>
      <c r="R348" s="7">
        <f>IF($E348="","",Q348*Z348/100)</f>
        <v/>
      </c>
      <c r="S348" s="7" t="n"/>
      <c r="Y348" s="7" t="n"/>
      <c r="Z348" s="7" t="n"/>
      <c r="AA348" s="7">
        <f>IF($E348="","",Z348*AF348/100)</f>
        <v/>
      </c>
      <c r="AB348" s="7">
        <f>IF($E348="","",Z348-AA348)</f>
        <v/>
      </c>
      <c r="AC348" s="7">
        <f>IF($E348="","",AB348-R348)</f>
        <v/>
      </c>
      <c r="AF348">
        <f>IF($E348="","",IF($AR348=1,0,IF($AQ348=1,Settings!$C$6,Settings!$C$7))*100)</f>
        <v/>
      </c>
      <c r="AJ348" s="7" t="n"/>
      <c r="AM348" s="11" t="n"/>
      <c r="AO348">
        <f>IF($E348="","",IF(COUNTIF($E$2:$E348,$E348)=1,1,0))</f>
        <v/>
      </c>
      <c r="AP348">
        <f>IF($AO348=1,SUMPRODUCT(--($AS$2:$AS$1001&lt;$AS348))+1,"")</f>
        <v/>
      </c>
      <c r="AQ348">
        <f>IF($E348="","",IF(OR($V348=TRUE(),$V348="TRUE"),1,0))</f>
        <v/>
      </c>
      <c r="AR348">
        <f>IF($E348="","",IF($AE348="Yes",1,0))</f>
        <v/>
      </c>
      <c r="AS348">
        <f>IF($AO348=1,IFERROR(IF(VALUE($E348)&lt;100000000,VALUE($E348),1000000000),IFERROR(IF(VALUE(MID($E348,2,20))&lt;100000000,VALUE(MID($E348,2,20)),1000000000),1000000000))+ROW()/100000,"")</f>
        <v/>
      </c>
    </row>
    <row r="349">
      <c r="D349">
        <f>IF($E349="","",IFERROR(IF(INDEX('Per Invoice'!$A$2:$A$301,MATCH($E349,'Per Invoice'!$B$2:$B$301,0))=0,"",INDEX('Per Invoice'!$A$2:$A$301,MATCH($E349,'Per Invoice'!$B$2:$B$301,0))),""))</f>
        <v/>
      </c>
      <c r="H349" s="11" t="n"/>
      <c r="R349" s="7">
        <f>IF($E349="","",Q349*Z349/100)</f>
        <v/>
      </c>
      <c r="S349" s="7" t="n"/>
      <c r="Y349" s="7" t="n"/>
      <c r="Z349" s="7" t="n"/>
      <c r="AA349" s="7">
        <f>IF($E349="","",Z349*AF349/100)</f>
        <v/>
      </c>
      <c r="AB349" s="7">
        <f>IF($E349="","",Z349-AA349)</f>
        <v/>
      </c>
      <c r="AC349" s="7">
        <f>IF($E349="","",AB349-R349)</f>
        <v/>
      </c>
      <c r="AF349">
        <f>IF($E349="","",IF($AR349=1,0,IF($AQ349=1,Settings!$C$6,Settings!$C$7))*100)</f>
        <v/>
      </c>
      <c r="AJ349" s="7" t="n"/>
      <c r="AM349" s="11" t="n"/>
      <c r="AO349">
        <f>IF($E349="","",IF(COUNTIF($E$2:$E349,$E349)=1,1,0))</f>
        <v/>
      </c>
      <c r="AP349">
        <f>IF($AO349=1,SUMPRODUCT(--($AS$2:$AS$1001&lt;$AS349))+1,"")</f>
        <v/>
      </c>
      <c r="AQ349">
        <f>IF($E349="","",IF(OR($V349=TRUE(),$V349="TRUE"),1,0))</f>
        <v/>
      </c>
      <c r="AR349">
        <f>IF($E349="","",IF($AE349="Yes",1,0))</f>
        <v/>
      </c>
      <c r="AS349">
        <f>IF($AO349=1,IFERROR(IF(VALUE($E349)&lt;100000000,VALUE($E349),1000000000),IFERROR(IF(VALUE(MID($E349,2,20))&lt;100000000,VALUE(MID($E349,2,20)),1000000000),1000000000))+ROW()/100000,"")</f>
        <v/>
      </c>
    </row>
    <row r="350">
      <c r="D350">
        <f>IF($E350="","",IFERROR(IF(INDEX('Per Invoice'!$A$2:$A$301,MATCH($E350,'Per Invoice'!$B$2:$B$301,0))=0,"",INDEX('Per Invoice'!$A$2:$A$301,MATCH($E350,'Per Invoice'!$B$2:$B$301,0))),""))</f>
        <v/>
      </c>
      <c r="H350" s="11" t="n"/>
      <c r="R350" s="7">
        <f>IF($E350="","",Q350*Z350/100)</f>
        <v/>
      </c>
      <c r="S350" s="7" t="n"/>
      <c r="Y350" s="7" t="n"/>
      <c r="Z350" s="7" t="n"/>
      <c r="AA350" s="7">
        <f>IF($E350="","",Z350*AF350/100)</f>
        <v/>
      </c>
      <c r="AB350" s="7">
        <f>IF($E350="","",Z350-AA350)</f>
        <v/>
      </c>
      <c r="AC350" s="7">
        <f>IF($E350="","",AB350-R350)</f>
        <v/>
      </c>
      <c r="AF350">
        <f>IF($E350="","",IF($AR350=1,0,IF($AQ350=1,Settings!$C$6,Settings!$C$7))*100)</f>
        <v/>
      </c>
      <c r="AJ350" s="7" t="n"/>
      <c r="AM350" s="11" t="n"/>
      <c r="AO350">
        <f>IF($E350="","",IF(COUNTIF($E$2:$E350,$E350)=1,1,0))</f>
        <v/>
      </c>
      <c r="AP350">
        <f>IF($AO350=1,SUMPRODUCT(--($AS$2:$AS$1001&lt;$AS350))+1,"")</f>
        <v/>
      </c>
      <c r="AQ350">
        <f>IF($E350="","",IF(OR($V350=TRUE(),$V350="TRUE"),1,0))</f>
        <v/>
      </c>
      <c r="AR350">
        <f>IF($E350="","",IF($AE350="Yes",1,0))</f>
        <v/>
      </c>
      <c r="AS350">
        <f>IF($AO350=1,IFERROR(IF(VALUE($E350)&lt;100000000,VALUE($E350),1000000000),IFERROR(IF(VALUE(MID($E350,2,20))&lt;100000000,VALUE(MID($E350,2,20)),1000000000),1000000000))+ROW()/100000,"")</f>
        <v/>
      </c>
    </row>
    <row r="351">
      <c r="D351">
        <f>IF($E351="","",IFERROR(IF(INDEX('Per Invoice'!$A$2:$A$301,MATCH($E351,'Per Invoice'!$B$2:$B$301,0))=0,"",INDEX('Per Invoice'!$A$2:$A$301,MATCH($E351,'Per Invoice'!$B$2:$B$301,0))),""))</f>
        <v/>
      </c>
      <c r="H351" s="11" t="n"/>
      <c r="R351" s="7">
        <f>IF($E351="","",Q351*Z351/100)</f>
        <v/>
      </c>
      <c r="S351" s="7" t="n"/>
      <c r="Y351" s="7" t="n"/>
      <c r="Z351" s="7" t="n"/>
      <c r="AA351" s="7">
        <f>IF($E351="","",Z351*AF351/100)</f>
        <v/>
      </c>
      <c r="AB351" s="7">
        <f>IF($E351="","",Z351-AA351)</f>
        <v/>
      </c>
      <c r="AC351" s="7">
        <f>IF($E351="","",AB351-R351)</f>
        <v/>
      </c>
      <c r="AF351">
        <f>IF($E351="","",IF($AR351=1,0,IF($AQ351=1,Settings!$C$6,Settings!$C$7))*100)</f>
        <v/>
      </c>
      <c r="AJ351" s="7" t="n"/>
      <c r="AM351" s="11" t="n"/>
      <c r="AO351">
        <f>IF($E351="","",IF(COUNTIF($E$2:$E351,$E351)=1,1,0))</f>
        <v/>
      </c>
      <c r="AP351">
        <f>IF($AO351=1,SUMPRODUCT(--($AS$2:$AS$1001&lt;$AS351))+1,"")</f>
        <v/>
      </c>
      <c r="AQ351">
        <f>IF($E351="","",IF(OR($V351=TRUE(),$V351="TRUE"),1,0))</f>
        <v/>
      </c>
      <c r="AR351">
        <f>IF($E351="","",IF($AE351="Yes",1,0))</f>
        <v/>
      </c>
      <c r="AS351">
        <f>IF($AO351=1,IFERROR(IF(VALUE($E351)&lt;100000000,VALUE($E351),1000000000),IFERROR(IF(VALUE(MID($E351,2,20))&lt;100000000,VALUE(MID($E351,2,20)),1000000000),1000000000))+ROW()/100000,"")</f>
        <v/>
      </c>
    </row>
    <row r="352">
      <c r="D352">
        <f>IF($E352="","",IFERROR(IF(INDEX('Per Invoice'!$A$2:$A$301,MATCH($E352,'Per Invoice'!$B$2:$B$301,0))=0,"",INDEX('Per Invoice'!$A$2:$A$301,MATCH($E352,'Per Invoice'!$B$2:$B$301,0))),""))</f>
        <v/>
      </c>
      <c r="H352" s="11" t="n"/>
      <c r="R352" s="7">
        <f>IF($E352="","",Q352*Z352/100)</f>
        <v/>
      </c>
      <c r="S352" s="7" t="n"/>
      <c r="Y352" s="7" t="n"/>
      <c r="Z352" s="7" t="n"/>
      <c r="AA352" s="7">
        <f>IF($E352="","",Z352*AF352/100)</f>
        <v/>
      </c>
      <c r="AB352" s="7">
        <f>IF($E352="","",Z352-AA352)</f>
        <v/>
      </c>
      <c r="AC352" s="7">
        <f>IF($E352="","",AB352-R352)</f>
        <v/>
      </c>
      <c r="AF352">
        <f>IF($E352="","",IF($AR352=1,0,IF($AQ352=1,Settings!$C$6,Settings!$C$7))*100)</f>
        <v/>
      </c>
      <c r="AJ352" s="7" t="n"/>
      <c r="AM352" s="11" t="n"/>
      <c r="AO352">
        <f>IF($E352="","",IF(COUNTIF($E$2:$E352,$E352)=1,1,0))</f>
        <v/>
      </c>
      <c r="AP352">
        <f>IF($AO352=1,SUMPRODUCT(--($AS$2:$AS$1001&lt;$AS352))+1,"")</f>
        <v/>
      </c>
      <c r="AQ352">
        <f>IF($E352="","",IF(OR($V352=TRUE(),$V352="TRUE"),1,0))</f>
        <v/>
      </c>
      <c r="AR352">
        <f>IF($E352="","",IF($AE352="Yes",1,0))</f>
        <v/>
      </c>
      <c r="AS352">
        <f>IF($AO352=1,IFERROR(IF(VALUE($E352)&lt;100000000,VALUE($E352),1000000000),IFERROR(IF(VALUE(MID($E352,2,20))&lt;100000000,VALUE(MID($E352,2,20)),1000000000),1000000000))+ROW()/100000,"")</f>
        <v/>
      </c>
    </row>
    <row r="353">
      <c r="D353">
        <f>IF($E353="","",IFERROR(IF(INDEX('Per Invoice'!$A$2:$A$301,MATCH($E353,'Per Invoice'!$B$2:$B$301,0))=0,"",INDEX('Per Invoice'!$A$2:$A$301,MATCH($E353,'Per Invoice'!$B$2:$B$301,0))),""))</f>
        <v/>
      </c>
      <c r="H353" s="11" t="n"/>
      <c r="R353" s="7">
        <f>IF($E353="","",Q353*Z353/100)</f>
        <v/>
      </c>
      <c r="S353" s="7" t="n"/>
      <c r="Y353" s="7" t="n"/>
      <c r="Z353" s="7" t="n"/>
      <c r="AA353" s="7">
        <f>IF($E353="","",Z353*AF353/100)</f>
        <v/>
      </c>
      <c r="AB353" s="7">
        <f>IF($E353="","",Z353-AA353)</f>
        <v/>
      </c>
      <c r="AC353" s="7">
        <f>IF($E353="","",AB353-R353)</f>
        <v/>
      </c>
      <c r="AF353">
        <f>IF($E353="","",IF($AR353=1,0,IF($AQ353=1,Settings!$C$6,Settings!$C$7))*100)</f>
        <v/>
      </c>
      <c r="AJ353" s="7" t="n"/>
      <c r="AM353" s="11" t="n"/>
      <c r="AO353">
        <f>IF($E353="","",IF(COUNTIF($E$2:$E353,$E353)=1,1,0))</f>
        <v/>
      </c>
      <c r="AP353">
        <f>IF($AO353=1,SUMPRODUCT(--($AS$2:$AS$1001&lt;$AS353))+1,"")</f>
        <v/>
      </c>
      <c r="AQ353">
        <f>IF($E353="","",IF(OR($V353=TRUE(),$V353="TRUE"),1,0))</f>
        <v/>
      </c>
      <c r="AR353">
        <f>IF($E353="","",IF($AE353="Yes",1,0))</f>
        <v/>
      </c>
      <c r="AS353">
        <f>IF($AO353=1,IFERROR(IF(VALUE($E353)&lt;100000000,VALUE($E353),1000000000),IFERROR(IF(VALUE(MID($E353,2,20))&lt;100000000,VALUE(MID($E353,2,20)),1000000000),1000000000))+ROW()/100000,"")</f>
        <v/>
      </c>
    </row>
    <row r="354">
      <c r="D354">
        <f>IF($E354="","",IFERROR(IF(INDEX('Per Invoice'!$A$2:$A$301,MATCH($E354,'Per Invoice'!$B$2:$B$301,0))=0,"",INDEX('Per Invoice'!$A$2:$A$301,MATCH($E354,'Per Invoice'!$B$2:$B$301,0))),""))</f>
        <v/>
      </c>
      <c r="H354" s="11" t="n"/>
      <c r="R354" s="7">
        <f>IF($E354="","",Q354*Z354/100)</f>
        <v/>
      </c>
      <c r="S354" s="7" t="n"/>
      <c r="Y354" s="7" t="n"/>
      <c r="Z354" s="7" t="n"/>
      <c r="AA354" s="7">
        <f>IF($E354="","",Z354*AF354/100)</f>
        <v/>
      </c>
      <c r="AB354" s="7">
        <f>IF($E354="","",Z354-AA354)</f>
        <v/>
      </c>
      <c r="AC354" s="7">
        <f>IF($E354="","",AB354-R354)</f>
        <v/>
      </c>
      <c r="AF354">
        <f>IF($E354="","",IF($AR354=1,0,IF($AQ354=1,Settings!$C$6,Settings!$C$7))*100)</f>
        <v/>
      </c>
      <c r="AJ354" s="7" t="n"/>
      <c r="AM354" s="11" t="n"/>
      <c r="AO354">
        <f>IF($E354="","",IF(COUNTIF($E$2:$E354,$E354)=1,1,0))</f>
        <v/>
      </c>
      <c r="AP354">
        <f>IF($AO354=1,SUMPRODUCT(--($AS$2:$AS$1001&lt;$AS354))+1,"")</f>
        <v/>
      </c>
      <c r="AQ354">
        <f>IF($E354="","",IF(OR($V354=TRUE(),$V354="TRUE"),1,0))</f>
        <v/>
      </c>
      <c r="AR354">
        <f>IF($E354="","",IF($AE354="Yes",1,0))</f>
        <v/>
      </c>
      <c r="AS354">
        <f>IF($AO354=1,IFERROR(IF(VALUE($E354)&lt;100000000,VALUE($E354),1000000000),IFERROR(IF(VALUE(MID($E354,2,20))&lt;100000000,VALUE(MID($E354,2,20)),1000000000),1000000000))+ROW()/100000,"")</f>
        <v/>
      </c>
    </row>
    <row r="355">
      <c r="D355">
        <f>IF($E355="","",IFERROR(IF(INDEX('Per Invoice'!$A$2:$A$301,MATCH($E355,'Per Invoice'!$B$2:$B$301,0))=0,"",INDEX('Per Invoice'!$A$2:$A$301,MATCH($E355,'Per Invoice'!$B$2:$B$301,0))),""))</f>
        <v/>
      </c>
      <c r="H355" s="11" t="n"/>
      <c r="R355" s="7">
        <f>IF($E355="","",Q355*Z355/100)</f>
        <v/>
      </c>
      <c r="S355" s="7" t="n"/>
      <c r="Y355" s="7" t="n"/>
      <c r="Z355" s="7" t="n"/>
      <c r="AA355" s="7">
        <f>IF($E355="","",Z355*AF355/100)</f>
        <v/>
      </c>
      <c r="AB355" s="7">
        <f>IF($E355="","",Z355-AA355)</f>
        <v/>
      </c>
      <c r="AC355" s="7">
        <f>IF($E355="","",AB355-R355)</f>
        <v/>
      </c>
      <c r="AF355">
        <f>IF($E355="","",IF($AR355=1,0,IF($AQ355=1,Settings!$C$6,Settings!$C$7))*100)</f>
        <v/>
      </c>
      <c r="AJ355" s="7" t="n"/>
      <c r="AM355" s="11" t="n"/>
      <c r="AO355">
        <f>IF($E355="","",IF(COUNTIF($E$2:$E355,$E355)=1,1,0))</f>
        <v/>
      </c>
      <c r="AP355">
        <f>IF($AO355=1,SUMPRODUCT(--($AS$2:$AS$1001&lt;$AS355))+1,"")</f>
        <v/>
      </c>
      <c r="AQ355">
        <f>IF($E355="","",IF(OR($V355=TRUE(),$V355="TRUE"),1,0))</f>
        <v/>
      </c>
      <c r="AR355">
        <f>IF($E355="","",IF($AE355="Yes",1,0))</f>
        <v/>
      </c>
      <c r="AS355">
        <f>IF($AO355=1,IFERROR(IF(VALUE($E355)&lt;100000000,VALUE($E355),1000000000),IFERROR(IF(VALUE(MID($E355,2,20))&lt;100000000,VALUE(MID($E355,2,20)),1000000000),1000000000))+ROW()/100000,"")</f>
        <v/>
      </c>
    </row>
    <row r="356">
      <c r="D356">
        <f>IF($E356="","",IFERROR(IF(INDEX('Per Invoice'!$A$2:$A$301,MATCH($E356,'Per Invoice'!$B$2:$B$301,0))=0,"",INDEX('Per Invoice'!$A$2:$A$301,MATCH($E356,'Per Invoice'!$B$2:$B$301,0))),""))</f>
        <v/>
      </c>
      <c r="H356" s="11" t="n"/>
      <c r="R356" s="7">
        <f>IF($E356="","",Q356*Z356/100)</f>
        <v/>
      </c>
      <c r="S356" s="7" t="n"/>
      <c r="Y356" s="7" t="n"/>
      <c r="Z356" s="7" t="n"/>
      <c r="AA356" s="7">
        <f>IF($E356="","",Z356*AF356/100)</f>
        <v/>
      </c>
      <c r="AB356" s="7">
        <f>IF($E356="","",Z356-AA356)</f>
        <v/>
      </c>
      <c r="AC356" s="7">
        <f>IF($E356="","",AB356-R356)</f>
        <v/>
      </c>
      <c r="AF356">
        <f>IF($E356="","",IF($AR356=1,0,IF($AQ356=1,Settings!$C$6,Settings!$C$7))*100)</f>
        <v/>
      </c>
      <c r="AJ356" s="7" t="n"/>
      <c r="AM356" s="11" t="n"/>
      <c r="AO356">
        <f>IF($E356="","",IF(COUNTIF($E$2:$E356,$E356)=1,1,0))</f>
        <v/>
      </c>
      <c r="AP356">
        <f>IF($AO356=1,SUMPRODUCT(--($AS$2:$AS$1001&lt;$AS356))+1,"")</f>
        <v/>
      </c>
      <c r="AQ356">
        <f>IF($E356="","",IF(OR($V356=TRUE(),$V356="TRUE"),1,0))</f>
        <v/>
      </c>
      <c r="AR356">
        <f>IF($E356="","",IF($AE356="Yes",1,0))</f>
        <v/>
      </c>
      <c r="AS356">
        <f>IF($AO356=1,IFERROR(IF(VALUE($E356)&lt;100000000,VALUE($E356),1000000000),IFERROR(IF(VALUE(MID($E356,2,20))&lt;100000000,VALUE(MID($E356,2,20)),1000000000),1000000000))+ROW()/100000,"")</f>
        <v/>
      </c>
    </row>
    <row r="357">
      <c r="D357">
        <f>IF($E357="","",IFERROR(IF(INDEX('Per Invoice'!$A$2:$A$301,MATCH($E357,'Per Invoice'!$B$2:$B$301,0))=0,"",INDEX('Per Invoice'!$A$2:$A$301,MATCH($E357,'Per Invoice'!$B$2:$B$301,0))),""))</f>
        <v/>
      </c>
      <c r="H357" s="11" t="n"/>
      <c r="R357" s="7">
        <f>IF($E357="","",Q357*Z357/100)</f>
        <v/>
      </c>
      <c r="S357" s="7" t="n"/>
      <c r="Y357" s="7" t="n"/>
      <c r="Z357" s="7" t="n"/>
      <c r="AA357" s="7">
        <f>IF($E357="","",Z357*AF357/100)</f>
        <v/>
      </c>
      <c r="AB357" s="7">
        <f>IF($E357="","",Z357-AA357)</f>
        <v/>
      </c>
      <c r="AC357" s="7">
        <f>IF($E357="","",AB357-R357)</f>
        <v/>
      </c>
      <c r="AF357">
        <f>IF($E357="","",IF($AR357=1,0,IF($AQ357=1,Settings!$C$6,Settings!$C$7))*100)</f>
        <v/>
      </c>
      <c r="AJ357" s="7" t="n"/>
      <c r="AM357" s="11" t="n"/>
      <c r="AO357">
        <f>IF($E357="","",IF(COUNTIF($E$2:$E357,$E357)=1,1,0))</f>
        <v/>
      </c>
      <c r="AP357">
        <f>IF($AO357=1,SUMPRODUCT(--($AS$2:$AS$1001&lt;$AS357))+1,"")</f>
        <v/>
      </c>
      <c r="AQ357">
        <f>IF($E357="","",IF(OR($V357=TRUE(),$V357="TRUE"),1,0))</f>
        <v/>
      </c>
      <c r="AR357">
        <f>IF($E357="","",IF($AE357="Yes",1,0))</f>
        <v/>
      </c>
      <c r="AS357">
        <f>IF($AO357=1,IFERROR(IF(VALUE($E357)&lt;100000000,VALUE($E357),1000000000),IFERROR(IF(VALUE(MID($E357,2,20))&lt;100000000,VALUE(MID($E357,2,20)),1000000000),1000000000))+ROW()/100000,"")</f>
        <v/>
      </c>
    </row>
    <row r="358">
      <c r="D358">
        <f>IF($E358="","",IFERROR(IF(INDEX('Per Invoice'!$A$2:$A$301,MATCH($E358,'Per Invoice'!$B$2:$B$301,0))=0,"",INDEX('Per Invoice'!$A$2:$A$301,MATCH($E358,'Per Invoice'!$B$2:$B$301,0))),""))</f>
        <v/>
      </c>
      <c r="H358" s="11" t="n"/>
      <c r="R358" s="7">
        <f>IF($E358="","",Q358*Z358/100)</f>
        <v/>
      </c>
      <c r="S358" s="7" t="n"/>
      <c r="Y358" s="7" t="n"/>
      <c r="Z358" s="7" t="n"/>
      <c r="AA358" s="7">
        <f>IF($E358="","",Z358*AF358/100)</f>
        <v/>
      </c>
      <c r="AB358" s="7">
        <f>IF($E358="","",Z358-AA358)</f>
        <v/>
      </c>
      <c r="AC358" s="7">
        <f>IF($E358="","",AB358-R358)</f>
        <v/>
      </c>
      <c r="AF358">
        <f>IF($E358="","",IF($AR358=1,0,IF($AQ358=1,Settings!$C$6,Settings!$C$7))*100)</f>
        <v/>
      </c>
      <c r="AJ358" s="7" t="n"/>
      <c r="AM358" s="11" t="n"/>
      <c r="AO358">
        <f>IF($E358="","",IF(COUNTIF($E$2:$E358,$E358)=1,1,0))</f>
        <v/>
      </c>
      <c r="AP358">
        <f>IF($AO358=1,SUMPRODUCT(--($AS$2:$AS$1001&lt;$AS358))+1,"")</f>
        <v/>
      </c>
      <c r="AQ358">
        <f>IF($E358="","",IF(OR($V358=TRUE(),$V358="TRUE"),1,0))</f>
        <v/>
      </c>
      <c r="AR358">
        <f>IF($E358="","",IF($AE358="Yes",1,0))</f>
        <v/>
      </c>
      <c r="AS358">
        <f>IF($AO358=1,IFERROR(IF(VALUE($E358)&lt;100000000,VALUE($E358),1000000000),IFERROR(IF(VALUE(MID($E358,2,20))&lt;100000000,VALUE(MID($E358,2,20)),1000000000),1000000000))+ROW()/100000,"")</f>
        <v/>
      </c>
    </row>
    <row r="359">
      <c r="D359">
        <f>IF($E359="","",IFERROR(IF(INDEX('Per Invoice'!$A$2:$A$301,MATCH($E359,'Per Invoice'!$B$2:$B$301,0))=0,"",INDEX('Per Invoice'!$A$2:$A$301,MATCH($E359,'Per Invoice'!$B$2:$B$301,0))),""))</f>
        <v/>
      </c>
      <c r="H359" s="11" t="n"/>
      <c r="R359" s="7">
        <f>IF($E359="","",Q359*Z359/100)</f>
        <v/>
      </c>
      <c r="S359" s="7" t="n"/>
      <c r="Y359" s="7" t="n"/>
      <c r="Z359" s="7" t="n"/>
      <c r="AA359" s="7">
        <f>IF($E359="","",Z359*AF359/100)</f>
        <v/>
      </c>
      <c r="AB359" s="7">
        <f>IF($E359="","",Z359-AA359)</f>
        <v/>
      </c>
      <c r="AC359" s="7">
        <f>IF($E359="","",AB359-R359)</f>
        <v/>
      </c>
      <c r="AF359">
        <f>IF($E359="","",IF($AR359=1,0,IF($AQ359=1,Settings!$C$6,Settings!$C$7))*100)</f>
        <v/>
      </c>
      <c r="AJ359" s="7" t="n"/>
      <c r="AM359" s="11" t="n"/>
      <c r="AO359">
        <f>IF($E359="","",IF(COUNTIF($E$2:$E359,$E359)=1,1,0))</f>
        <v/>
      </c>
      <c r="AP359">
        <f>IF($AO359=1,SUMPRODUCT(--($AS$2:$AS$1001&lt;$AS359))+1,"")</f>
        <v/>
      </c>
      <c r="AQ359">
        <f>IF($E359="","",IF(OR($V359=TRUE(),$V359="TRUE"),1,0))</f>
        <v/>
      </c>
      <c r="AR359">
        <f>IF($E359="","",IF($AE359="Yes",1,0))</f>
        <v/>
      </c>
      <c r="AS359">
        <f>IF($AO359=1,IFERROR(IF(VALUE($E359)&lt;100000000,VALUE($E359),1000000000),IFERROR(IF(VALUE(MID($E359,2,20))&lt;100000000,VALUE(MID($E359,2,20)),1000000000),1000000000))+ROW()/100000,"")</f>
        <v/>
      </c>
    </row>
    <row r="360">
      <c r="D360">
        <f>IF($E360="","",IFERROR(IF(INDEX('Per Invoice'!$A$2:$A$301,MATCH($E360,'Per Invoice'!$B$2:$B$301,0))=0,"",INDEX('Per Invoice'!$A$2:$A$301,MATCH($E360,'Per Invoice'!$B$2:$B$301,0))),""))</f>
        <v/>
      </c>
      <c r="H360" s="11" t="n"/>
      <c r="R360" s="7">
        <f>IF($E360="","",Q360*Z360/100)</f>
        <v/>
      </c>
      <c r="S360" s="7" t="n"/>
      <c r="Y360" s="7" t="n"/>
      <c r="Z360" s="7" t="n"/>
      <c r="AA360" s="7">
        <f>IF($E360="","",Z360*AF360/100)</f>
        <v/>
      </c>
      <c r="AB360" s="7">
        <f>IF($E360="","",Z360-AA360)</f>
        <v/>
      </c>
      <c r="AC360" s="7">
        <f>IF($E360="","",AB360-R360)</f>
        <v/>
      </c>
      <c r="AF360">
        <f>IF($E360="","",IF($AR360=1,0,IF($AQ360=1,Settings!$C$6,Settings!$C$7))*100)</f>
        <v/>
      </c>
      <c r="AJ360" s="7" t="n"/>
      <c r="AM360" s="11" t="n"/>
      <c r="AO360">
        <f>IF($E360="","",IF(COUNTIF($E$2:$E360,$E360)=1,1,0))</f>
        <v/>
      </c>
      <c r="AP360">
        <f>IF($AO360=1,SUMPRODUCT(--($AS$2:$AS$1001&lt;$AS360))+1,"")</f>
        <v/>
      </c>
      <c r="AQ360">
        <f>IF($E360="","",IF(OR($V360=TRUE(),$V360="TRUE"),1,0))</f>
        <v/>
      </c>
      <c r="AR360">
        <f>IF($E360="","",IF($AE360="Yes",1,0))</f>
        <v/>
      </c>
      <c r="AS360">
        <f>IF($AO360=1,IFERROR(IF(VALUE($E360)&lt;100000000,VALUE($E360),1000000000),IFERROR(IF(VALUE(MID($E360,2,20))&lt;100000000,VALUE(MID($E360,2,20)),1000000000),1000000000))+ROW()/100000,"")</f>
        <v/>
      </c>
    </row>
    <row r="361">
      <c r="D361">
        <f>IF($E361="","",IFERROR(IF(INDEX('Per Invoice'!$A$2:$A$301,MATCH($E361,'Per Invoice'!$B$2:$B$301,0))=0,"",INDEX('Per Invoice'!$A$2:$A$301,MATCH($E361,'Per Invoice'!$B$2:$B$301,0))),""))</f>
        <v/>
      </c>
      <c r="H361" s="11" t="n"/>
      <c r="R361" s="7">
        <f>IF($E361="","",Q361*Z361/100)</f>
        <v/>
      </c>
      <c r="S361" s="7" t="n"/>
      <c r="Y361" s="7" t="n"/>
      <c r="Z361" s="7" t="n"/>
      <c r="AA361" s="7">
        <f>IF($E361="","",Z361*AF361/100)</f>
        <v/>
      </c>
      <c r="AB361" s="7">
        <f>IF($E361="","",Z361-AA361)</f>
        <v/>
      </c>
      <c r="AC361" s="7">
        <f>IF($E361="","",AB361-R361)</f>
        <v/>
      </c>
      <c r="AF361">
        <f>IF($E361="","",IF($AR361=1,0,IF($AQ361=1,Settings!$C$6,Settings!$C$7))*100)</f>
        <v/>
      </c>
      <c r="AJ361" s="7" t="n"/>
      <c r="AM361" s="11" t="n"/>
      <c r="AO361">
        <f>IF($E361="","",IF(COUNTIF($E$2:$E361,$E361)=1,1,0))</f>
        <v/>
      </c>
      <c r="AP361">
        <f>IF($AO361=1,SUMPRODUCT(--($AS$2:$AS$1001&lt;$AS361))+1,"")</f>
        <v/>
      </c>
      <c r="AQ361">
        <f>IF($E361="","",IF(OR($V361=TRUE(),$V361="TRUE"),1,0))</f>
        <v/>
      </c>
      <c r="AR361">
        <f>IF($E361="","",IF($AE361="Yes",1,0))</f>
        <v/>
      </c>
      <c r="AS361">
        <f>IF($AO361=1,IFERROR(IF(VALUE($E361)&lt;100000000,VALUE($E361),1000000000),IFERROR(IF(VALUE(MID($E361,2,20))&lt;100000000,VALUE(MID($E361,2,20)),1000000000),1000000000))+ROW()/100000,"")</f>
        <v/>
      </c>
    </row>
    <row r="362">
      <c r="D362">
        <f>IF($E362="","",IFERROR(IF(INDEX('Per Invoice'!$A$2:$A$301,MATCH($E362,'Per Invoice'!$B$2:$B$301,0))=0,"",INDEX('Per Invoice'!$A$2:$A$301,MATCH($E362,'Per Invoice'!$B$2:$B$301,0))),""))</f>
        <v/>
      </c>
      <c r="H362" s="11" t="n"/>
      <c r="R362" s="7">
        <f>IF($E362="","",Q362*Z362/100)</f>
        <v/>
      </c>
      <c r="S362" s="7" t="n"/>
      <c r="Y362" s="7" t="n"/>
      <c r="Z362" s="7" t="n"/>
      <c r="AA362" s="7">
        <f>IF($E362="","",Z362*AF362/100)</f>
        <v/>
      </c>
      <c r="AB362" s="7">
        <f>IF($E362="","",Z362-AA362)</f>
        <v/>
      </c>
      <c r="AC362" s="7">
        <f>IF($E362="","",AB362-R362)</f>
        <v/>
      </c>
      <c r="AF362">
        <f>IF($E362="","",IF($AR362=1,0,IF($AQ362=1,Settings!$C$6,Settings!$C$7))*100)</f>
        <v/>
      </c>
      <c r="AJ362" s="7" t="n"/>
      <c r="AM362" s="11" t="n"/>
      <c r="AO362">
        <f>IF($E362="","",IF(COUNTIF($E$2:$E362,$E362)=1,1,0))</f>
        <v/>
      </c>
      <c r="AP362">
        <f>IF($AO362=1,SUMPRODUCT(--($AS$2:$AS$1001&lt;$AS362))+1,"")</f>
        <v/>
      </c>
      <c r="AQ362">
        <f>IF($E362="","",IF(OR($V362=TRUE(),$V362="TRUE"),1,0))</f>
        <v/>
      </c>
      <c r="AR362">
        <f>IF($E362="","",IF($AE362="Yes",1,0))</f>
        <v/>
      </c>
      <c r="AS362">
        <f>IF($AO362=1,IFERROR(IF(VALUE($E362)&lt;100000000,VALUE($E362),1000000000),IFERROR(IF(VALUE(MID($E362,2,20))&lt;100000000,VALUE(MID($E362,2,20)),1000000000),1000000000))+ROW()/100000,"")</f>
        <v/>
      </c>
    </row>
    <row r="363">
      <c r="D363">
        <f>IF($E363="","",IFERROR(IF(INDEX('Per Invoice'!$A$2:$A$301,MATCH($E363,'Per Invoice'!$B$2:$B$301,0))=0,"",INDEX('Per Invoice'!$A$2:$A$301,MATCH($E363,'Per Invoice'!$B$2:$B$301,0))),""))</f>
        <v/>
      </c>
      <c r="H363" s="11" t="n"/>
      <c r="R363" s="7">
        <f>IF($E363="","",Q363*Z363/100)</f>
        <v/>
      </c>
      <c r="S363" s="7" t="n"/>
      <c r="Y363" s="7" t="n"/>
      <c r="Z363" s="7" t="n"/>
      <c r="AA363" s="7">
        <f>IF($E363="","",Z363*AF363/100)</f>
        <v/>
      </c>
      <c r="AB363" s="7">
        <f>IF($E363="","",Z363-AA363)</f>
        <v/>
      </c>
      <c r="AC363" s="7">
        <f>IF($E363="","",AB363-R363)</f>
        <v/>
      </c>
      <c r="AF363">
        <f>IF($E363="","",IF($AR363=1,0,IF($AQ363=1,Settings!$C$6,Settings!$C$7))*100)</f>
        <v/>
      </c>
      <c r="AJ363" s="7" t="n"/>
      <c r="AM363" s="11" t="n"/>
      <c r="AO363">
        <f>IF($E363="","",IF(COUNTIF($E$2:$E363,$E363)=1,1,0))</f>
        <v/>
      </c>
      <c r="AP363">
        <f>IF($AO363=1,SUMPRODUCT(--($AS$2:$AS$1001&lt;$AS363))+1,"")</f>
        <v/>
      </c>
      <c r="AQ363">
        <f>IF($E363="","",IF(OR($V363=TRUE(),$V363="TRUE"),1,0))</f>
        <v/>
      </c>
      <c r="AR363">
        <f>IF($E363="","",IF($AE363="Yes",1,0))</f>
        <v/>
      </c>
      <c r="AS363">
        <f>IF($AO363=1,IFERROR(IF(VALUE($E363)&lt;100000000,VALUE($E363),1000000000),IFERROR(IF(VALUE(MID($E363,2,20))&lt;100000000,VALUE(MID($E363,2,20)),1000000000),1000000000))+ROW()/100000,"")</f>
        <v/>
      </c>
    </row>
    <row r="364">
      <c r="D364">
        <f>IF($E364="","",IFERROR(IF(INDEX('Per Invoice'!$A$2:$A$301,MATCH($E364,'Per Invoice'!$B$2:$B$301,0))=0,"",INDEX('Per Invoice'!$A$2:$A$301,MATCH($E364,'Per Invoice'!$B$2:$B$301,0))),""))</f>
        <v/>
      </c>
      <c r="H364" s="11" t="n"/>
      <c r="R364" s="7">
        <f>IF($E364="","",Q364*Z364/100)</f>
        <v/>
      </c>
      <c r="S364" s="7" t="n"/>
      <c r="Y364" s="7" t="n"/>
      <c r="Z364" s="7" t="n"/>
      <c r="AA364" s="7">
        <f>IF($E364="","",Z364*AF364/100)</f>
        <v/>
      </c>
      <c r="AB364" s="7">
        <f>IF($E364="","",Z364-AA364)</f>
        <v/>
      </c>
      <c r="AC364" s="7">
        <f>IF($E364="","",AB364-R364)</f>
        <v/>
      </c>
      <c r="AF364">
        <f>IF($E364="","",IF($AR364=1,0,IF($AQ364=1,Settings!$C$6,Settings!$C$7))*100)</f>
        <v/>
      </c>
      <c r="AJ364" s="7" t="n"/>
      <c r="AM364" s="11" t="n"/>
      <c r="AO364">
        <f>IF($E364="","",IF(COUNTIF($E$2:$E364,$E364)=1,1,0))</f>
        <v/>
      </c>
      <c r="AP364">
        <f>IF($AO364=1,SUMPRODUCT(--($AS$2:$AS$1001&lt;$AS364))+1,"")</f>
        <v/>
      </c>
      <c r="AQ364">
        <f>IF($E364="","",IF(OR($V364=TRUE(),$V364="TRUE"),1,0))</f>
        <v/>
      </c>
      <c r="AR364">
        <f>IF($E364="","",IF($AE364="Yes",1,0))</f>
        <v/>
      </c>
      <c r="AS364">
        <f>IF($AO364=1,IFERROR(IF(VALUE($E364)&lt;100000000,VALUE($E364),1000000000),IFERROR(IF(VALUE(MID($E364,2,20))&lt;100000000,VALUE(MID($E364,2,20)),1000000000),1000000000))+ROW()/100000,"")</f>
        <v/>
      </c>
    </row>
    <row r="365">
      <c r="D365">
        <f>IF($E365="","",IFERROR(IF(INDEX('Per Invoice'!$A$2:$A$301,MATCH($E365,'Per Invoice'!$B$2:$B$301,0))=0,"",INDEX('Per Invoice'!$A$2:$A$301,MATCH($E365,'Per Invoice'!$B$2:$B$301,0))),""))</f>
        <v/>
      </c>
      <c r="H365" s="11" t="n"/>
      <c r="R365" s="7">
        <f>IF($E365="","",Q365*Z365/100)</f>
        <v/>
      </c>
      <c r="S365" s="7" t="n"/>
      <c r="Y365" s="7" t="n"/>
      <c r="Z365" s="7" t="n"/>
      <c r="AA365" s="7">
        <f>IF($E365="","",Z365*AF365/100)</f>
        <v/>
      </c>
      <c r="AB365" s="7">
        <f>IF($E365="","",Z365-AA365)</f>
        <v/>
      </c>
      <c r="AC365" s="7">
        <f>IF($E365="","",AB365-R365)</f>
        <v/>
      </c>
      <c r="AF365">
        <f>IF($E365="","",IF($AR365=1,0,IF($AQ365=1,Settings!$C$6,Settings!$C$7))*100)</f>
        <v/>
      </c>
      <c r="AJ365" s="7" t="n"/>
      <c r="AM365" s="11" t="n"/>
      <c r="AO365">
        <f>IF($E365="","",IF(COUNTIF($E$2:$E365,$E365)=1,1,0))</f>
        <v/>
      </c>
      <c r="AP365">
        <f>IF($AO365=1,SUMPRODUCT(--($AS$2:$AS$1001&lt;$AS365))+1,"")</f>
        <v/>
      </c>
      <c r="AQ365">
        <f>IF($E365="","",IF(OR($V365=TRUE(),$V365="TRUE"),1,0))</f>
        <v/>
      </c>
      <c r="AR365">
        <f>IF($E365="","",IF($AE365="Yes",1,0))</f>
        <v/>
      </c>
      <c r="AS365">
        <f>IF($AO365=1,IFERROR(IF(VALUE($E365)&lt;100000000,VALUE($E365),1000000000),IFERROR(IF(VALUE(MID($E365,2,20))&lt;100000000,VALUE(MID($E365,2,20)),1000000000),1000000000))+ROW()/100000,"")</f>
        <v/>
      </c>
    </row>
    <row r="366">
      <c r="D366">
        <f>IF($E366="","",IFERROR(IF(INDEX('Per Invoice'!$A$2:$A$301,MATCH($E366,'Per Invoice'!$B$2:$B$301,0))=0,"",INDEX('Per Invoice'!$A$2:$A$301,MATCH($E366,'Per Invoice'!$B$2:$B$301,0))),""))</f>
        <v/>
      </c>
      <c r="H366" s="11" t="n"/>
      <c r="R366" s="7">
        <f>IF($E366="","",Q366*Z366/100)</f>
        <v/>
      </c>
      <c r="S366" s="7" t="n"/>
      <c r="Y366" s="7" t="n"/>
      <c r="Z366" s="7" t="n"/>
      <c r="AA366" s="7">
        <f>IF($E366="","",Z366*AF366/100)</f>
        <v/>
      </c>
      <c r="AB366" s="7">
        <f>IF($E366="","",Z366-AA366)</f>
        <v/>
      </c>
      <c r="AC366" s="7">
        <f>IF($E366="","",AB366-R366)</f>
        <v/>
      </c>
      <c r="AF366">
        <f>IF($E366="","",IF($AR366=1,0,IF($AQ366=1,Settings!$C$6,Settings!$C$7))*100)</f>
        <v/>
      </c>
      <c r="AJ366" s="7" t="n"/>
      <c r="AM366" s="11" t="n"/>
      <c r="AO366">
        <f>IF($E366="","",IF(COUNTIF($E$2:$E366,$E366)=1,1,0))</f>
        <v/>
      </c>
      <c r="AP366">
        <f>IF($AO366=1,SUMPRODUCT(--($AS$2:$AS$1001&lt;$AS366))+1,"")</f>
        <v/>
      </c>
      <c r="AQ366">
        <f>IF($E366="","",IF(OR($V366=TRUE(),$V366="TRUE"),1,0))</f>
        <v/>
      </c>
      <c r="AR366">
        <f>IF($E366="","",IF($AE366="Yes",1,0))</f>
        <v/>
      </c>
      <c r="AS366">
        <f>IF($AO366=1,IFERROR(IF(VALUE($E366)&lt;100000000,VALUE($E366),1000000000),IFERROR(IF(VALUE(MID($E366,2,20))&lt;100000000,VALUE(MID($E366,2,20)),1000000000),1000000000))+ROW()/100000,"")</f>
        <v/>
      </c>
    </row>
    <row r="367">
      <c r="D367">
        <f>IF($E367="","",IFERROR(IF(INDEX('Per Invoice'!$A$2:$A$301,MATCH($E367,'Per Invoice'!$B$2:$B$301,0))=0,"",INDEX('Per Invoice'!$A$2:$A$301,MATCH($E367,'Per Invoice'!$B$2:$B$301,0))),""))</f>
        <v/>
      </c>
      <c r="H367" s="11" t="n"/>
      <c r="R367" s="7">
        <f>IF($E367="","",Q367*Z367/100)</f>
        <v/>
      </c>
      <c r="S367" s="7" t="n"/>
      <c r="Y367" s="7" t="n"/>
      <c r="Z367" s="7" t="n"/>
      <c r="AA367" s="7">
        <f>IF($E367="","",Z367*AF367/100)</f>
        <v/>
      </c>
      <c r="AB367" s="7">
        <f>IF($E367="","",Z367-AA367)</f>
        <v/>
      </c>
      <c r="AC367" s="7">
        <f>IF($E367="","",AB367-R367)</f>
        <v/>
      </c>
      <c r="AF367">
        <f>IF($E367="","",IF($AR367=1,0,IF($AQ367=1,Settings!$C$6,Settings!$C$7))*100)</f>
        <v/>
      </c>
      <c r="AJ367" s="7" t="n"/>
      <c r="AM367" s="11" t="n"/>
      <c r="AO367">
        <f>IF($E367="","",IF(COUNTIF($E$2:$E367,$E367)=1,1,0))</f>
        <v/>
      </c>
      <c r="AP367">
        <f>IF($AO367=1,SUMPRODUCT(--($AS$2:$AS$1001&lt;$AS367))+1,"")</f>
        <v/>
      </c>
      <c r="AQ367">
        <f>IF($E367="","",IF(OR($V367=TRUE(),$V367="TRUE"),1,0))</f>
        <v/>
      </c>
      <c r="AR367">
        <f>IF($E367="","",IF($AE367="Yes",1,0))</f>
        <v/>
      </c>
      <c r="AS367">
        <f>IF($AO367=1,IFERROR(IF(VALUE($E367)&lt;100000000,VALUE($E367),1000000000),IFERROR(IF(VALUE(MID($E367,2,20))&lt;100000000,VALUE(MID($E367,2,20)),1000000000),1000000000))+ROW()/100000,"")</f>
        <v/>
      </c>
    </row>
    <row r="368">
      <c r="D368">
        <f>IF($E368="","",IFERROR(IF(INDEX('Per Invoice'!$A$2:$A$301,MATCH($E368,'Per Invoice'!$B$2:$B$301,0))=0,"",INDEX('Per Invoice'!$A$2:$A$301,MATCH($E368,'Per Invoice'!$B$2:$B$301,0))),""))</f>
        <v/>
      </c>
      <c r="H368" s="11" t="n"/>
      <c r="R368" s="7">
        <f>IF($E368="","",Q368*Z368/100)</f>
        <v/>
      </c>
      <c r="S368" s="7" t="n"/>
      <c r="Y368" s="7" t="n"/>
      <c r="Z368" s="7" t="n"/>
      <c r="AA368" s="7">
        <f>IF($E368="","",Z368*AF368/100)</f>
        <v/>
      </c>
      <c r="AB368" s="7">
        <f>IF($E368="","",Z368-AA368)</f>
        <v/>
      </c>
      <c r="AC368" s="7">
        <f>IF($E368="","",AB368-R368)</f>
        <v/>
      </c>
      <c r="AF368">
        <f>IF($E368="","",IF($AR368=1,0,IF($AQ368=1,Settings!$C$6,Settings!$C$7))*100)</f>
        <v/>
      </c>
      <c r="AJ368" s="7" t="n"/>
      <c r="AM368" s="11" t="n"/>
      <c r="AO368">
        <f>IF($E368="","",IF(COUNTIF($E$2:$E368,$E368)=1,1,0))</f>
        <v/>
      </c>
      <c r="AP368">
        <f>IF($AO368=1,SUMPRODUCT(--($AS$2:$AS$1001&lt;$AS368))+1,"")</f>
        <v/>
      </c>
      <c r="AQ368">
        <f>IF($E368="","",IF(OR($V368=TRUE(),$V368="TRUE"),1,0))</f>
        <v/>
      </c>
      <c r="AR368">
        <f>IF($E368="","",IF($AE368="Yes",1,0))</f>
        <v/>
      </c>
      <c r="AS368">
        <f>IF($AO368=1,IFERROR(IF(VALUE($E368)&lt;100000000,VALUE($E368),1000000000),IFERROR(IF(VALUE(MID($E368,2,20))&lt;100000000,VALUE(MID($E368,2,20)),1000000000),1000000000))+ROW()/100000,"")</f>
        <v/>
      </c>
    </row>
    <row r="369">
      <c r="D369">
        <f>IF($E369="","",IFERROR(IF(INDEX('Per Invoice'!$A$2:$A$301,MATCH($E369,'Per Invoice'!$B$2:$B$301,0))=0,"",INDEX('Per Invoice'!$A$2:$A$301,MATCH($E369,'Per Invoice'!$B$2:$B$301,0))),""))</f>
        <v/>
      </c>
      <c r="H369" s="11" t="n"/>
      <c r="R369" s="7">
        <f>IF($E369="","",Q369*Z369/100)</f>
        <v/>
      </c>
      <c r="S369" s="7" t="n"/>
      <c r="Y369" s="7" t="n"/>
      <c r="Z369" s="7" t="n"/>
      <c r="AA369" s="7">
        <f>IF($E369="","",Z369*AF369/100)</f>
        <v/>
      </c>
      <c r="AB369" s="7">
        <f>IF($E369="","",Z369-AA369)</f>
        <v/>
      </c>
      <c r="AC369" s="7">
        <f>IF($E369="","",AB369-R369)</f>
        <v/>
      </c>
      <c r="AF369">
        <f>IF($E369="","",IF($AR369=1,0,IF($AQ369=1,Settings!$C$6,Settings!$C$7))*100)</f>
        <v/>
      </c>
      <c r="AJ369" s="7" t="n"/>
      <c r="AM369" s="11" t="n"/>
      <c r="AO369">
        <f>IF($E369="","",IF(COUNTIF($E$2:$E369,$E369)=1,1,0))</f>
        <v/>
      </c>
      <c r="AP369">
        <f>IF($AO369=1,SUMPRODUCT(--($AS$2:$AS$1001&lt;$AS369))+1,"")</f>
        <v/>
      </c>
      <c r="AQ369">
        <f>IF($E369="","",IF(OR($V369=TRUE(),$V369="TRUE"),1,0))</f>
        <v/>
      </c>
      <c r="AR369">
        <f>IF($E369="","",IF($AE369="Yes",1,0))</f>
        <v/>
      </c>
      <c r="AS369">
        <f>IF($AO369=1,IFERROR(IF(VALUE($E369)&lt;100000000,VALUE($E369),1000000000),IFERROR(IF(VALUE(MID($E369,2,20))&lt;100000000,VALUE(MID($E369,2,20)),1000000000),1000000000))+ROW()/100000,"")</f>
        <v/>
      </c>
    </row>
    <row r="370">
      <c r="D370">
        <f>IF($E370="","",IFERROR(IF(INDEX('Per Invoice'!$A$2:$A$301,MATCH($E370,'Per Invoice'!$B$2:$B$301,0))=0,"",INDEX('Per Invoice'!$A$2:$A$301,MATCH($E370,'Per Invoice'!$B$2:$B$301,0))),""))</f>
        <v/>
      </c>
      <c r="H370" s="11" t="n"/>
      <c r="R370" s="7">
        <f>IF($E370="","",Q370*Z370/100)</f>
        <v/>
      </c>
      <c r="S370" s="7" t="n"/>
      <c r="Y370" s="7" t="n"/>
      <c r="Z370" s="7" t="n"/>
      <c r="AA370" s="7">
        <f>IF($E370="","",Z370*AF370/100)</f>
        <v/>
      </c>
      <c r="AB370" s="7">
        <f>IF($E370="","",Z370-AA370)</f>
        <v/>
      </c>
      <c r="AC370" s="7">
        <f>IF($E370="","",AB370-R370)</f>
        <v/>
      </c>
      <c r="AF370">
        <f>IF($E370="","",IF($AR370=1,0,IF($AQ370=1,Settings!$C$6,Settings!$C$7))*100)</f>
        <v/>
      </c>
      <c r="AJ370" s="7" t="n"/>
      <c r="AM370" s="11" t="n"/>
      <c r="AO370">
        <f>IF($E370="","",IF(COUNTIF($E$2:$E370,$E370)=1,1,0))</f>
        <v/>
      </c>
      <c r="AP370">
        <f>IF($AO370=1,SUMPRODUCT(--($AS$2:$AS$1001&lt;$AS370))+1,"")</f>
        <v/>
      </c>
      <c r="AQ370">
        <f>IF($E370="","",IF(OR($V370=TRUE(),$V370="TRUE"),1,0))</f>
        <v/>
      </c>
      <c r="AR370">
        <f>IF($E370="","",IF($AE370="Yes",1,0))</f>
        <v/>
      </c>
      <c r="AS370">
        <f>IF($AO370=1,IFERROR(IF(VALUE($E370)&lt;100000000,VALUE($E370),1000000000),IFERROR(IF(VALUE(MID($E370,2,20))&lt;100000000,VALUE(MID($E370,2,20)),1000000000),1000000000))+ROW()/100000,"")</f>
        <v/>
      </c>
    </row>
    <row r="371">
      <c r="D371">
        <f>IF($E371="","",IFERROR(IF(INDEX('Per Invoice'!$A$2:$A$301,MATCH($E371,'Per Invoice'!$B$2:$B$301,0))=0,"",INDEX('Per Invoice'!$A$2:$A$301,MATCH($E371,'Per Invoice'!$B$2:$B$301,0))),""))</f>
        <v/>
      </c>
      <c r="H371" s="11" t="n"/>
      <c r="R371" s="7">
        <f>IF($E371="","",Q371*Z371/100)</f>
        <v/>
      </c>
      <c r="S371" s="7" t="n"/>
      <c r="Y371" s="7" t="n"/>
      <c r="Z371" s="7" t="n"/>
      <c r="AA371" s="7">
        <f>IF($E371="","",Z371*AF371/100)</f>
        <v/>
      </c>
      <c r="AB371" s="7">
        <f>IF($E371="","",Z371-AA371)</f>
        <v/>
      </c>
      <c r="AC371" s="7">
        <f>IF($E371="","",AB371-R371)</f>
        <v/>
      </c>
      <c r="AF371">
        <f>IF($E371="","",IF($AR371=1,0,IF($AQ371=1,Settings!$C$6,Settings!$C$7))*100)</f>
        <v/>
      </c>
      <c r="AJ371" s="7" t="n"/>
      <c r="AM371" s="11" t="n"/>
      <c r="AO371">
        <f>IF($E371="","",IF(COUNTIF($E$2:$E371,$E371)=1,1,0))</f>
        <v/>
      </c>
      <c r="AP371">
        <f>IF($AO371=1,SUMPRODUCT(--($AS$2:$AS$1001&lt;$AS371))+1,"")</f>
        <v/>
      </c>
      <c r="AQ371">
        <f>IF($E371="","",IF(OR($V371=TRUE(),$V371="TRUE"),1,0))</f>
        <v/>
      </c>
      <c r="AR371">
        <f>IF($E371="","",IF($AE371="Yes",1,0))</f>
        <v/>
      </c>
      <c r="AS371">
        <f>IF($AO371=1,IFERROR(IF(VALUE($E371)&lt;100000000,VALUE($E371),1000000000),IFERROR(IF(VALUE(MID($E371,2,20))&lt;100000000,VALUE(MID($E371,2,20)),1000000000),1000000000))+ROW()/100000,"")</f>
        <v/>
      </c>
    </row>
    <row r="372">
      <c r="D372">
        <f>IF($E372="","",IFERROR(IF(INDEX('Per Invoice'!$A$2:$A$301,MATCH($E372,'Per Invoice'!$B$2:$B$301,0))=0,"",INDEX('Per Invoice'!$A$2:$A$301,MATCH($E372,'Per Invoice'!$B$2:$B$301,0))),""))</f>
        <v/>
      </c>
      <c r="H372" s="11" t="n"/>
      <c r="R372" s="7">
        <f>IF($E372="","",Q372*Z372/100)</f>
        <v/>
      </c>
      <c r="S372" s="7" t="n"/>
      <c r="Y372" s="7" t="n"/>
      <c r="Z372" s="7" t="n"/>
      <c r="AA372" s="7">
        <f>IF($E372="","",Z372*AF372/100)</f>
        <v/>
      </c>
      <c r="AB372" s="7">
        <f>IF($E372="","",Z372-AA372)</f>
        <v/>
      </c>
      <c r="AC372" s="7">
        <f>IF($E372="","",AB372-R372)</f>
        <v/>
      </c>
      <c r="AF372">
        <f>IF($E372="","",IF($AR372=1,0,IF($AQ372=1,Settings!$C$6,Settings!$C$7))*100)</f>
        <v/>
      </c>
      <c r="AJ372" s="7" t="n"/>
      <c r="AM372" s="11" t="n"/>
      <c r="AO372">
        <f>IF($E372="","",IF(COUNTIF($E$2:$E372,$E372)=1,1,0))</f>
        <v/>
      </c>
      <c r="AP372">
        <f>IF($AO372=1,SUMPRODUCT(--($AS$2:$AS$1001&lt;$AS372))+1,"")</f>
        <v/>
      </c>
      <c r="AQ372">
        <f>IF($E372="","",IF(OR($V372=TRUE(),$V372="TRUE"),1,0))</f>
        <v/>
      </c>
      <c r="AR372">
        <f>IF($E372="","",IF($AE372="Yes",1,0))</f>
        <v/>
      </c>
      <c r="AS372">
        <f>IF($AO372=1,IFERROR(IF(VALUE($E372)&lt;100000000,VALUE($E372),1000000000),IFERROR(IF(VALUE(MID($E372,2,20))&lt;100000000,VALUE(MID($E372,2,20)),1000000000),1000000000))+ROW()/100000,"")</f>
        <v/>
      </c>
    </row>
    <row r="373">
      <c r="D373">
        <f>IF($E373="","",IFERROR(IF(INDEX('Per Invoice'!$A$2:$A$301,MATCH($E373,'Per Invoice'!$B$2:$B$301,0))=0,"",INDEX('Per Invoice'!$A$2:$A$301,MATCH($E373,'Per Invoice'!$B$2:$B$301,0))),""))</f>
        <v/>
      </c>
      <c r="H373" s="11" t="n"/>
      <c r="R373" s="7">
        <f>IF($E373="","",Q373*Z373/100)</f>
        <v/>
      </c>
      <c r="S373" s="7" t="n"/>
      <c r="Y373" s="7" t="n"/>
      <c r="Z373" s="7" t="n"/>
      <c r="AA373" s="7">
        <f>IF($E373="","",Z373*AF373/100)</f>
        <v/>
      </c>
      <c r="AB373" s="7">
        <f>IF($E373="","",Z373-AA373)</f>
        <v/>
      </c>
      <c r="AC373" s="7">
        <f>IF($E373="","",AB373-R373)</f>
        <v/>
      </c>
      <c r="AF373">
        <f>IF($E373="","",IF($AR373=1,0,IF($AQ373=1,Settings!$C$6,Settings!$C$7))*100)</f>
        <v/>
      </c>
      <c r="AJ373" s="7" t="n"/>
      <c r="AM373" s="11" t="n"/>
      <c r="AO373">
        <f>IF($E373="","",IF(COUNTIF($E$2:$E373,$E373)=1,1,0))</f>
        <v/>
      </c>
      <c r="AP373">
        <f>IF($AO373=1,SUMPRODUCT(--($AS$2:$AS$1001&lt;$AS373))+1,"")</f>
        <v/>
      </c>
      <c r="AQ373">
        <f>IF($E373="","",IF(OR($V373=TRUE(),$V373="TRUE"),1,0))</f>
        <v/>
      </c>
      <c r="AR373">
        <f>IF($E373="","",IF($AE373="Yes",1,0))</f>
        <v/>
      </c>
      <c r="AS373">
        <f>IF($AO373=1,IFERROR(IF(VALUE($E373)&lt;100000000,VALUE($E373),1000000000),IFERROR(IF(VALUE(MID($E373,2,20))&lt;100000000,VALUE(MID($E373,2,20)),1000000000),1000000000))+ROW()/100000,"")</f>
        <v/>
      </c>
    </row>
    <row r="374">
      <c r="D374">
        <f>IF($E374="","",IFERROR(IF(INDEX('Per Invoice'!$A$2:$A$301,MATCH($E374,'Per Invoice'!$B$2:$B$301,0))=0,"",INDEX('Per Invoice'!$A$2:$A$301,MATCH($E374,'Per Invoice'!$B$2:$B$301,0))),""))</f>
        <v/>
      </c>
      <c r="H374" s="11" t="n"/>
      <c r="R374" s="7">
        <f>IF($E374="","",Q374*Z374/100)</f>
        <v/>
      </c>
      <c r="S374" s="7" t="n"/>
      <c r="Y374" s="7" t="n"/>
      <c r="Z374" s="7" t="n"/>
      <c r="AA374" s="7">
        <f>IF($E374="","",Z374*AF374/100)</f>
        <v/>
      </c>
      <c r="AB374" s="7">
        <f>IF($E374="","",Z374-AA374)</f>
        <v/>
      </c>
      <c r="AC374" s="7">
        <f>IF($E374="","",AB374-R374)</f>
        <v/>
      </c>
      <c r="AF374">
        <f>IF($E374="","",IF($AR374=1,0,IF($AQ374=1,Settings!$C$6,Settings!$C$7))*100)</f>
        <v/>
      </c>
      <c r="AJ374" s="7" t="n"/>
      <c r="AM374" s="11" t="n"/>
      <c r="AO374">
        <f>IF($E374="","",IF(COUNTIF($E$2:$E374,$E374)=1,1,0))</f>
        <v/>
      </c>
      <c r="AP374">
        <f>IF($AO374=1,SUMPRODUCT(--($AS$2:$AS$1001&lt;$AS374))+1,"")</f>
        <v/>
      </c>
      <c r="AQ374">
        <f>IF($E374="","",IF(OR($V374=TRUE(),$V374="TRUE"),1,0))</f>
        <v/>
      </c>
      <c r="AR374">
        <f>IF($E374="","",IF($AE374="Yes",1,0))</f>
        <v/>
      </c>
      <c r="AS374">
        <f>IF($AO374=1,IFERROR(IF(VALUE($E374)&lt;100000000,VALUE($E374),1000000000),IFERROR(IF(VALUE(MID($E374,2,20))&lt;100000000,VALUE(MID($E374,2,20)),1000000000),1000000000))+ROW()/100000,"")</f>
        <v/>
      </c>
    </row>
    <row r="375">
      <c r="D375">
        <f>IF($E375="","",IFERROR(IF(INDEX('Per Invoice'!$A$2:$A$301,MATCH($E375,'Per Invoice'!$B$2:$B$301,0))=0,"",INDEX('Per Invoice'!$A$2:$A$301,MATCH($E375,'Per Invoice'!$B$2:$B$301,0))),""))</f>
        <v/>
      </c>
      <c r="H375" s="11" t="n"/>
      <c r="R375" s="7">
        <f>IF($E375="","",Q375*Z375/100)</f>
        <v/>
      </c>
      <c r="S375" s="7" t="n"/>
      <c r="Y375" s="7" t="n"/>
      <c r="Z375" s="7" t="n"/>
      <c r="AA375" s="7">
        <f>IF($E375="","",Z375*AF375/100)</f>
        <v/>
      </c>
      <c r="AB375" s="7">
        <f>IF($E375="","",Z375-AA375)</f>
        <v/>
      </c>
      <c r="AC375" s="7">
        <f>IF($E375="","",AB375-R375)</f>
        <v/>
      </c>
      <c r="AF375">
        <f>IF($E375="","",IF($AR375=1,0,IF($AQ375=1,Settings!$C$6,Settings!$C$7))*100)</f>
        <v/>
      </c>
      <c r="AJ375" s="7" t="n"/>
      <c r="AM375" s="11" t="n"/>
      <c r="AO375">
        <f>IF($E375="","",IF(COUNTIF($E$2:$E375,$E375)=1,1,0))</f>
        <v/>
      </c>
      <c r="AP375">
        <f>IF($AO375=1,SUMPRODUCT(--($AS$2:$AS$1001&lt;$AS375))+1,"")</f>
        <v/>
      </c>
      <c r="AQ375">
        <f>IF($E375="","",IF(OR($V375=TRUE(),$V375="TRUE"),1,0))</f>
        <v/>
      </c>
      <c r="AR375">
        <f>IF($E375="","",IF($AE375="Yes",1,0))</f>
        <v/>
      </c>
      <c r="AS375">
        <f>IF($AO375=1,IFERROR(IF(VALUE($E375)&lt;100000000,VALUE($E375),1000000000),IFERROR(IF(VALUE(MID($E375,2,20))&lt;100000000,VALUE(MID($E375,2,20)),1000000000),1000000000))+ROW()/100000,"")</f>
        <v/>
      </c>
    </row>
    <row r="376">
      <c r="D376">
        <f>IF($E376="","",IFERROR(IF(INDEX('Per Invoice'!$A$2:$A$301,MATCH($E376,'Per Invoice'!$B$2:$B$301,0))=0,"",INDEX('Per Invoice'!$A$2:$A$301,MATCH($E376,'Per Invoice'!$B$2:$B$301,0))),""))</f>
        <v/>
      </c>
      <c r="H376" s="11" t="n"/>
      <c r="R376" s="7">
        <f>IF($E376="","",Q376*Z376/100)</f>
        <v/>
      </c>
      <c r="S376" s="7" t="n"/>
      <c r="Y376" s="7" t="n"/>
      <c r="Z376" s="7" t="n"/>
      <c r="AA376" s="7">
        <f>IF($E376="","",Z376*AF376/100)</f>
        <v/>
      </c>
      <c r="AB376" s="7">
        <f>IF($E376="","",Z376-AA376)</f>
        <v/>
      </c>
      <c r="AC376" s="7">
        <f>IF($E376="","",AB376-R376)</f>
        <v/>
      </c>
      <c r="AF376">
        <f>IF($E376="","",IF($AR376=1,0,IF($AQ376=1,Settings!$C$6,Settings!$C$7))*100)</f>
        <v/>
      </c>
      <c r="AJ376" s="7" t="n"/>
      <c r="AM376" s="11" t="n"/>
      <c r="AO376">
        <f>IF($E376="","",IF(COUNTIF($E$2:$E376,$E376)=1,1,0))</f>
        <v/>
      </c>
      <c r="AP376">
        <f>IF($AO376=1,SUMPRODUCT(--($AS$2:$AS$1001&lt;$AS376))+1,"")</f>
        <v/>
      </c>
      <c r="AQ376">
        <f>IF($E376="","",IF(OR($V376=TRUE(),$V376="TRUE"),1,0))</f>
        <v/>
      </c>
      <c r="AR376">
        <f>IF($E376="","",IF($AE376="Yes",1,0))</f>
        <v/>
      </c>
      <c r="AS376">
        <f>IF($AO376=1,IFERROR(IF(VALUE($E376)&lt;100000000,VALUE($E376),1000000000),IFERROR(IF(VALUE(MID($E376,2,20))&lt;100000000,VALUE(MID($E376,2,20)),1000000000),1000000000))+ROW()/100000,"")</f>
        <v/>
      </c>
    </row>
    <row r="377">
      <c r="D377">
        <f>IF($E377="","",IFERROR(IF(INDEX('Per Invoice'!$A$2:$A$301,MATCH($E377,'Per Invoice'!$B$2:$B$301,0))=0,"",INDEX('Per Invoice'!$A$2:$A$301,MATCH($E377,'Per Invoice'!$B$2:$B$301,0))),""))</f>
        <v/>
      </c>
      <c r="H377" s="11" t="n"/>
      <c r="R377" s="7">
        <f>IF($E377="","",Q377*Z377/100)</f>
        <v/>
      </c>
      <c r="S377" s="7" t="n"/>
      <c r="Y377" s="7" t="n"/>
      <c r="Z377" s="7" t="n"/>
      <c r="AA377" s="7">
        <f>IF($E377="","",Z377*AF377/100)</f>
        <v/>
      </c>
      <c r="AB377" s="7">
        <f>IF($E377="","",Z377-AA377)</f>
        <v/>
      </c>
      <c r="AC377" s="7">
        <f>IF($E377="","",AB377-R377)</f>
        <v/>
      </c>
      <c r="AF377">
        <f>IF($E377="","",IF($AR377=1,0,IF($AQ377=1,Settings!$C$6,Settings!$C$7))*100)</f>
        <v/>
      </c>
      <c r="AJ377" s="7" t="n"/>
      <c r="AM377" s="11" t="n"/>
      <c r="AO377">
        <f>IF($E377="","",IF(COUNTIF($E$2:$E377,$E377)=1,1,0))</f>
        <v/>
      </c>
      <c r="AP377">
        <f>IF($AO377=1,SUMPRODUCT(--($AS$2:$AS$1001&lt;$AS377))+1,"")</f>
        <v/>
      </c>
      <c r="AQ377">
        <f>IF($E377="","",IF(OR($V377=TRUE(),$V377="TRUE"),1,0))</f>
        <v/>
      </c>
      <c r="AR377">
        <f>IF($E377="","",IF($AE377="Yes",1,0))</f>
        <v/>
      </c>
      <c r="AS377">
        <f>IF($AO377=1,IFERROR(IF(VALUE($E377)&lt;100000000,VALUE($E377),1000000000),IFERROR(IF(VALUE(MID($E377,2,20))&lt;100000000,VALUE(MID($E377,2,20)),1000000000),1000000000))+ROW()/100000,"")</f>
        <v/>
      </c>
    </row>
    <row r="378">
      <c r="D378">
        <f>IF($E378="","",IFERROR(IF(INDEX('Per Invoice'!$A$2:$A$301,MATCH($E378,'Per Invoice'!$B$2:$B$301,0))=0,"",INDEX('Per Invoice'!$A$2:$A$301,MATCH($E378,'Per Invoice'!$B$2:$B$301,0))),""))</f>
        <v/>
      </c>
      <c r="H378" s="11" t="n"/>
      <c r="R378" s="7">
        <f>IF($E378="","",Q378*Z378/100)</f>
        <v/>
      </c>
      <c r="S378" s="7" t="n"/>
      <c r="Y378" s="7" t="n"/>
      <c r="Z378" s="7" t="n"/>
      <c r="AA378" s="7">
        <f>IF($E378="","",Z378*AF378/100)</f>
        <v/>
      </c>
      <c r="AB378" s="7">
        <f>IF($E378="","",Z378-AA378)</f>
        <v/>
      </c>
      <c r="AC378" s="7">
        <f>IF($E378="","",AB378-R378)</f>
        <v/>
      </c>
      <c r="AF378">
        <f>IF($E378="","",IF($AR378=1,0,IF($AQ378=1,Settings!$C$6,Settings!$C$7))*100)</f>
        <v/>
      </c>
      <c r="AJ378" s="7" t="n"/>
      <c r="AM378" s="11" t="n"/>
      <c r="AO378">
        <f>IF($E378="","",IF(COUNTIF($E$2:$E378,$E378)=1,1,0))</f>
        <v/>
      </c>
      <c r="AP378">
        <f>IF($AO378=1,SUMPRODUCT(--($AS$2:$AS$1001&lt;$AS378))+1,"")</f>
        <v/>
      </c>
      <c r="AQ378">
        <f>IF($E378="","",IF(OR($V378=TRUE(),$V378="TRUE"),1,0))</f>
        <v/>
      </c>
      <c r="AR378">
        <f>IF($E378="","",IF($AE378="Yes",1,0))</f>
        <v/>
      </c>
      <c r="AS378">
        <f>IF($AO378=1,IFERROR(IF(VALUE($E378)&lt;100000000,VALUE($E378),1000000000),IFERROR(IF(VALUE(MID($E378,2,20))&lt;100000000,VALUE(MID($E378,2,20)),1000000000),1000000000))+ROW()/100000,"")</f>
        <v/>
      </c>
    </row>
    <row r="379">
      <c r="D379">
        <f>IF($E379="","",IFERROR(IF(INDEX('Per Invoice'!$A$2:$A$301,MATCH($E379,'Per Invoice'!$B$2:$B$301,0))=0,"",INDEX('Per Invoice'!$A$2:$A$301,MATCH($E379,'Per Invoice'!$B$2:$B$301,0))),""))</f>
        <v/>
      </c>
      <c r="H379" s="11" t="n"/>
      <c r="R379" s="7">
        <f>IF($E379="","",Q379*Z379/100)</f>
        <v/>
      </c>
      <c r="S379" s="7" t="n"/>
      <c r="Y379" s="7" t="n"/>
      <c r="Z379" s="7" t="n"/>
      <c r="AA379" s="7">
        <f>IF($E379="","",Z379*AF379/100)</f>
        <v/>
      </c>
      <c r="AB379" s="7">
        <f>IF($E379="","",Z379-AA379)</f>
        <v/>
      </c>
      <c r="AC379" s="7">
        <f>IF($E379="","",AB379-R379)</f>
        <v/>
      </c>
      <c r="AF379">
        <f>IF($E379="","",IF($AR379=1,0,IF($AQ379=1,Settings!$C$6,Settings!$C$7))*100)</f>
        <v/>
      </c>
      <c r="AJ379" s="7" t="n"/>
      <c r="AM379" s="11" t="n"/>
      <c r="AO379">
        <f>IF($E379="","",IF(COUNTIF($E$2:$E379,$E379)=1,1,0))</f>
        <v/>
      </c>
      <c r="AP379">
        <f>IF($AO379=1,SUMPRODUCT(--($AS$2:$AS$1001&lt;$AS379))+1,"")</f>
        <v/>
      </c>
      <c r="AQ379">
        <f>IF($E379="","",IF(OR($V379=TRUE(),$V379="TRUE"),1,0))</f>
        <v/>
      </c>
      <c r="AR379">
        <f>IF($E379="","",IF($AE379="Yes",1,0))</f>
        <v/>
      </c>
      <c r="AS379">
        <f>IF($AO379=1,IFERROR(IF(VALUE($E379)&lt;100000000,VALUE($E379),1000000000),IFERROR(IF(VALUE(MID($E379,2,20))&lt;100000000,VALUE(MID($E379,2,20)),1000000000),1000000000))+ROW()/100000,"")</f>
        <v/>
      </c>
    </row>
    <row r="380">
      <c r="D380">
        <f>IF($E380="","",IFERROR(IF(INDEX('Per Invoice'!$A$2:$A$301,MATCH($E380,'Per Invoice'!$B$2:$B$301,0))=0,"",INDEX('Per Invoice'!$A$2:$A$301,MATCH($E380,'Per Invoice'!$B$2:$B$301,0))),""))</f>
        <v/>
      </c>
      <c r="H380" s="11" t="n"/>
      <c r="R380" s="7">
        <f>IF($E380="","",Q380*Z380/100)</f>
        <v/>
      </c>
      <c r="S380" s="7" t="n"/>
      <c r="Y380" s="7" t="n"/>
      <c r="Z380" s="7" t="n"/>
      <c r="AA380" s="7">
        <f>IF($E380="","",Z380*AF380/100)</f>
        <v/>
      </c>
      <c r="AB380" s="7">
        <f>IF($E380="","",Z380-AA380)</f>
        <v/>
      </c>
      <c r="AC380" s="7">
        <f>IF($E380="","",AB380-R380)</f>
        <v/>
      </c>
      <c r="AF380">
        <f>IF($E380="","",IF($AR380=1,0,IF($AQ380=1,Settings!$C$6,Settings!$C$7))*100)</f>
        <v/>
      </c>
      <c r="AJ380" s="7" t="n"/>
      <c r="AM380" s="11" t="n"/>
      <c r="AO380">
        <f>IF($E380="","",IF(COUNTIF($E$2:$E380,$E380)=1,1,0))</f>
        <v/>
      </c>
      <c r="AP380">
        <f>IF($AO380=1,SUMPRODUCT(--($AS$2:$AS$1001&lt;$AS380))+1,"")</f>
        <v/>
      </c>
      <c r="AQ380">
        <f>IF($E380="","",IF(OR($V380=TRUE(),$V380="TRUE"),1,0))</f>
        <v/>
      </c>
      <c r="AR380">
        <f>IF($E380="","",IF($AE380="Yes",1,0))</f>
        <v/>
      </c>
      <c r="AS380">
        <f>IF($AO380=1,IFERROR(IF(VALUE($E380)&lt;100000000,VALUE($E380),1000000000),IFERROR(IF(VALUE(MID($E380,2,20))&lt;100000000,VALUE(MID($E380,2,20)),1000000000),1000000000))+ROW()/100000,"")</f>
        <v/>
      </c>
    </row>
    <row r="381">
      <c r="D381">
        <f>IF($E381="","",IFERROR(IF(INDEX('Per Invoice'!$A$2:$A$301,MATCH($E381,'Per Invoice'!$B$2:$B$301,0))=0,"",INDEX('Per Invoice'!$A$2:$A$301,MATCH($E381,'Per Invoice'!$B$2:$B$301,0))),""))</f>
        <v/>
      </c>
      <c r="H381" s="11" t="n"/>
      <c r="R381" s="7">
        <f>IF($E381="","",Q381*Z381/100)</f>
        <v/>
      </c>
      <c r="S381" s="7" t="n"/>
      <c r="Y381" s="7" t="n"/>
      <c r="Z381" s="7" t="n"/>
      <c r="AA381" s="7">
        <f>IF($E381="","",Z381*AF381/100)</f>
        <v/>
      </c>
      <c r="AB381" s="7">
        <f>IF($E381="","",Z381-AA381)</f>
        <v/>
      </c>
      <c r="AC381" s="7">
        <f>IF($E381="","",AB381-R381)</f>
        <v/>
      </c>
      <c r="AF381">
        <f>IF($E381="","",IF($AR381=1,0,IF($AQ381=1,Settings!$C$6,Settings!$C$7))*100)</f>
        <v/>
      </c>
      <c r="AJ381" s="7" t="n"/>
      <c r="AM381" s="11" t="n"/>
      <c r="AO381">
        <f>IF($E381="","",IF(COUNTIF($E$2:$E381,$E381)=1,1,0))</f>
        <v/>
      </c>
      <c r="AP381">
        <f>IF($AO381=1,SUMPRODUCT(--($AS$2:$AS$1001&lt;$AS381))+1,"")</f>
        <v/>
      </c>
      <c r="AQ381">
        <f>IF($E381="","",IF(OR($V381=TRUE(),$V381="TRUE"),1,0))</f>
        <v/>
      </c>
      <c r="AR381">
        <f>IF($E381="","",IF($AE381="Yes",1,0))</f>
        <v/>
      </c>
      <c r="AS381">
        <f>IF($AO381=1,IFERROR(IF(VALUE($E381)&lt;100000000,VALUE($E381),1000000000),IFERROR(IF(VALUE(MID($E381,2,20))&lt;100000000,VALUE(MID($E381,2,20)),1000000000),1000000000))+ROW()/100000,"")</f>
        <v/>
      </c>
    </row>
    <row r="382">
      <c r="D382">
        <f>IF($E382="","",IFERROR(IF(INDEX('Per Invoice'!$A$2:$A$301,MATCH($E382,'Per Invoice'!$B$2:$B$301,0))=0,"",INDEX('Per Invoice'!$A$2:$A$301,MATCH($E382,'Per Invoice'!$B$2:$B$301,0))),""))</f>
        <v/>
      </c>
      <c r="H382" s="11" t="n"/>
      <c r="R382" s="7">
        <f>IF($E382="","",Q382*Z382/100)</f>
        <v/>
      </c>
      <c r="S382" s="7" t="n"/>
      <c r="Y382" s="7" t="n"/>
      <c r="Z382" s="7" t="n"/>
      <c r="AA382" s="7">
        <f>IF($E382="","",Z382*AF382/100)</f>
        <v/>
      </c>
      <c r="AB382" s="7">
        <f>IF($E382="","",Z382-AA382)</f>
        <v/>
      </c>
      <c r="AC382" s="7">
        <f>IF($E382="","",AB382-R382)</f>
        <v/>
      </c>
      <c r="AF382">
        <f>IF($E382="","",IF($AR382=1,0,IF($AQ382=1,Settings!$C$6,Settings!$C$7))*100)</f>
        <v/>
      </c>
      <c r="AJ382" s="7" t="n"/>
      <c r="AM382" s="11" t="n"/>
      <c r="AO382">
        <f>IF($E382="","",IF(COUNTIF($E$2:$E382,$E382)=1,1,0))</f>
        <v/>
      </c>
      <c r="AP382">
        <f>IF($AO382=1,SUMPRODUCT(--($AS$2:$AS$1001&lt;$AS382))+1,"")</f>
        <v/>
      </c>
      <c r="AQ382">
        <f>IF($E382="","",IF(OR($V382=TRUE(),$V382="TRUE"),1,0))</f>
        <v/>
      </c>
      <c r="AR382">
        <f>IF($E382="","",IF($AE382="Yes",1,0))</f>
        <v/>
      </c>
      <c r="AS382">
        <f>IF($AO382=1,IFERROR(IF(VALUE($E382)&lt;100000000,VALUE($E382),1000000000),IFERROR(IF(VALUE(MID($E382,2,20))&lt;100000000,VALUE(MID($E382,2,20)),1000000000),1000000000))+ROW()/100000,"")</f>
        <v/>
      </c>
    </row>
    <row r="383">
      <c r="D383">
        <f>IF($E383="","",IFERROR(IF(INDEX('Per Invoice'!$A$2:$A$301,MATCH($E383,'Per Invoice'!$B$2:$B$301,0))=0,"",INDEX('Per Invoice'!$A$2:$A$301,MATCH($E383,'Per Invoice'!$B$2:$B$301,0))),""))</f>
        <v/>
      </c>
      <c r="H383" s="11" t="n"/>
      <c r="R383" s="7">
        <f>IF($E383="","",Q383*Z383/100)</f>
        <v/>
      </c>
      <c r="S383" s="7" t="n"/>
      <c r="Y383" s="7" t="n"/>
      <c r="Z383" s="7" t="n"/>
      <c r="AA383" s="7">
        <f>IF($E383="","",Z383*AF383/100)</f>
        <v/>
      </c>
      <c r="AB383" s="7">
        <f>IF($E383="","",Z383-AA383)</f>
        <v/>
      </c>
      <c r="AC383" s="7">
        <f>IF($E383="","",AB383-R383)</f>
        <v/>
      </c>
      <c r="AF383">
        <f>IF($E383="","",IF($AR383=1,0,IF($AQ383=1,Settings!$C$6,Settings!$C$7))*100)</f>
        <v/>
      </c>
      <c r="AJ383" s="7" t="n"/>
      <c r="AM383" s="11" t="n"/>
      <c r="AO383">
        <f>IF($E383="","",IF(COUNTIF($E$2:$E383,$E383)=1,1,0))</f>
        <v/>
      </c>
      <c r="AP383">
        <f>IF($AO383=1,SUMPRODUCT(--($AS$2:$AS$1001&lt;$AS383))+1,"")</f>
        <v/>
      </c>
      <c r="AQ383">
        <f>IF($E383="","",IF(OR($V383=TRUE(),$V383="TRUE"),1,0))</f>
        <v/>
      </c>
      <c r="AR383">
        <f>IF($E383="","",IF($AE383="Yes",1,0))</f>
        <v/>
      </c>
      <c r="AS383">
        <f>IF($AO383=1,IFERROR(IF(VALUE($E383)&lt;100000000,VALUE($E383),1000000000),IFERROR(IF(VALUE(MID($E383,2,20))&lt;100000000,VALUE(MID($E383,2,20)),1000000000),1000000000))+ROW()/100000,"")</f>
        <v/>
      </c>
    </row>
    <row r="384">
      <c r="D384">
        <f>IF($E384="","",IFERROR(IF(INDEX('Per Invoice'!$A$2:$A$301,MATCH($E384,'Per Invoice'!$B$2:$B$301,0))=0,"",INDEX('Per Invoice'!$A$2:$A$301,MATCH($E384,'Per Invoice'!$B$2:$B$301,0))),""))</f>
        <v/>
      </c>
      <c r="H384" s="11" t="n"/>
      <c r="R384" s="7">
        <f>IF($E384="","",Q384*Z384/100)</f>
        <v/>
      </c>
      <c r="S384" s="7" t="n"/>
      <c r="Y384" s="7" t="n"/>
      <c r="Z384" s="7" t="n"/>
      <c r="AA384" s="7">
        <f>IF($E384="","",Z384*AF384/100)</f>
        <v/>
      </c>
      <c r="AB384" s="7">
        <f>IF($E384="","",Z384-AA384)</f>
        <v/>
      </c>
      <c r="AC384" s="7">
        <f>IF($E384="","",AB384-R384)</f>
        <v/>
      </c>
      <c r="AF384">
        <f>IF($E384="","",IF($AR384=1,0,IF($AQ384=1,Settings!$C$6,Settings!$C$7))*100)</f>
        <v/>
      </c>
      <c r="AJ384" s="7" t="n"/>
      <c r="AM384" s="11" t="n"/>
      <c r="AO384">
        <f>IF($E384="","",IF(COUNTIF($E$2:$E384,$E384)=1,1,0))</f>
        <v/>
      </c>
      <c r="AP384">
        <f>IF($AO384=1,SUMPRODUCT(--($AS$2:$AS$1001&lt;$AS384))+1,"")</f>
        <v/>
      </c>
      <c r="AQ384">
        <f>IF($E384="","",IF(OR($V384=TRUE(),$V384="TRUE"),1,0))</f>
        <v/>
      </c>
      <c r="AR384">
        <f>IF($E384="","",IF($AE384="Yes",1,0))</f>
        <v/>
      </c>
      <c r="AS384">
        <f>IF($AO384=1,IFERROR(IF(VALUE($E384)&lt;100000000,VALUE($E384),1000000000),IFERROR(IF(VALUE(MID($E384,2,20))&lt;100000000,VALUE(MID($E384,2,20)),1000000000),1000000000))+ROW()/100000,"")</f>
        <v/>
      </c>
    </row>
    <row r="385">
      <c r="D385">
        <f>IF($E385="","",IFERROR(IF(INDEX('Per Invoice'!$A$2:$A$301,MATCH($E385,'Per Invoice'!$B$2:$B$301,0))=0,"",INDEX('Per Invoice'!$A$2:$A$301,MATCH($E385,'Per Invoice'!$B$2:$B$301,0))),""))</f>
        <v/>
      </c>
      <c r="H385" s="11" t="n"/>
      <c r="R385" s="7">
        <f>IF($E385="","",Q385*Z385/100)</f>
        <v/>
      </c>
      <c r="S385" s="7" t="n"/>
      <c r="Y385" s="7" t="n"/>
      <c r="Z385" s="7" t="n"/>
      <c r="AA385" s="7">
        <f>IF($E385="","",Z385*AF385/100)</f>
        <v/>
      </c>
      <c r="AB385" s="7">
        <f>IF($E385="","",Z385-AA385)</f>
        <v/>
      </c>
      <c r="AC385" s="7">
        <f>IF($E385="","",AB385-R385)</f>
        <v/>
      </c>
      <c r="AF385">
        <f>IF($E385="","",IF($AR385=1,0,IF($AQ385=1,Settings!$C$6,Settings!$C$7))*100)</f>
        <v/>
      </c>
      <c r="AJ385" s="7" t="n"/>
      <c r="AM385" s="11" t="n"/>
      <c r="AO385">
        <f>IF($E385="","",IF(COUNTIF($E$2:$E385,$E385)=1,1,0))</f>
        <v/>
      </c>
      <c r="AP385">
        <f>IF($AO385=1,SUMPRODUCT(--($AS$2:$AS$1001&lt;$AS385))+1,"")</f>
        <v/>
      </c>
      <c r="AQ385">
        <f>IF($E385="","",IF(OR($V385=TRUE(),$V385="TRUE"),1,0))</f>
        <v/>
      </c>
      <c r="AR385">
        <f>IF($E385="","",IF($AE385="Yes",1,0))</f>
        <v/>
      </c>
      <c r="AS385">
        <f>IF($AO385=1,IFERROR(IF(VALUE($E385)&lt;100000000,VALUE($E385),1000000000),IFERROR(IF(VALUE(MID($E385,2,20))&lt;100000000,VALUE(MID($E385,2,20)),1000000000),1000000000))+ROW()/100000,"")</f>
        <v/>
      </c>
    </row>
    <row r="386">
      <c r="D386">
        <f>IF($E386="","",IFERROR(IF(INDEX('Per Invoice'!$A$2:$A$301,MATCH($E386,'Per Invoice'!$B$2:$B$301,0))=0,"",INDEX('Per Invoice'!$A$2:$A$301,MATCH($E386,'Per Invoice'!$B$2:$B$301,0))),""))</f>
        <v/>
      </c>
      <c r="H386" s="11" t="n"/>
      <c r="R386" s="7">
        <f>IF($E386="","",Q386*Z386/100)</f>
        <v/>
      </c>
      <c r="S386" s="7" t="n"/>
      <c r="Y386" s="7" t="n"/>
      <c r="Z386" s="7" t="n"/>
      <c r="AA386" s="7">
        <f>IF($E386="","",Z386*AF386/100)</f>
        <v/>
      </c>
      <c r="AB386" s="7">
        <f>IF($E386="","",Z386-AA386)</f>
        <v/>
      </c>
      <c r="AC386" s="7">
        <f>IF($E386="","",AB386-R386)</f>
        <v/>
      </c>
      <c r="AF386">
        <f>IF($E386="","",IF($AR386=1,0,IF($AQ386=1,Settings!$C$6,Settings!$C$7))*100)</f>
        <v/>
      </c>
      <c r="AJ386" s="7" t="n"/>
      <c r="AM386" s="11" t="n"/>
      <c r="AO386">
        <f>IF($E386="","",IF(COUNTIF($E$2:$E386,$E386)=1,1,0))</f>
        <v/>
      </c>
      <c r="AP386">
        <f>IF($AO386=1,SUMPRODUCT(--($AS$2:$AS$1001&lt;$AS386))+1,"")</f>
        <v/>
      </c>
      <c r="AQ386">
        <f>IF($E386="","",IF(OR($V386=TRUE(),$V386="TRUE"),1,0))</f>
        <v/>
      </c>
      <c r="AR386">
        <f>IF($E386="","",IF($AE386="Yes",1,0))</f>
        <v/>
      </c>
      <c r="AS386">
        <f>IF($AO386=1,IFERROR(IF(VALUE($E386)&lt;100000000,VALUE($E386),1000000000),IFERROR(IF(VALUE(MID($E386,2,20))&lt;100000000,VALUE(MID($E386,2,20)),1000000000),1000000000))+ROW()/100000,"")</f>
        <v/>
      </c>
    </row>
    <row r="387">
      <c r="D387">
        <f>IF($E387="","",IFERROR(IF(INDEX('Per Invoice'!$A$2:$A$301,MATCH($E387,'Per Invoice'!$B$2:$B$301,0))=0,"",INDEX('Per Invoice'!$A$2:$A$301,MATCH($E387,'Per Invoice'!$B$2:$B$301,0))),""))</f>
        <v/>
      </c>
      <c r="H387" s="11" t="n"/>
      <c r="R387" s="7">
        <f>IF($E387="","",Q387*Z387/100)</f>
        <v/>
      </c>
      <c r="S387" s="7" t="n"/>
      <c r="Y387" s="7" t="n"/>
      <c r="Z387" s="7" t="n"/>
      <c r="AA387" s="7">
        <f>IF($E387="","",Z387*AF387/100)</f>
        <v/>
      </c>
      <c r="AB387" s="7">
        <f>IF($E387="","",Z387-AA387)</f>
        <v/>
      </c>
      <c r="AC387" s="7">
        <f>IF($E387="","",AB387-R387)</f>
        <v/>
      </c>
      <c r="AF387">
        <f>IF($E387="","",IF($AR387=1,0,IF($AQ387=1,Settings!$C$6,Settings!$C$7))*100)</f>
        <v/>
      </c>
      <c r="AJ387" s="7" t="n"/>
      <c r="AM387" s="11" t="n"/>
      <c r="AO387">
        <f>IF($E387="","",IF(COUNTIF($E$2:$E387,$E387)=1,1,0))</f>
        <v/>
      </c>
      <c r="AP387">
        <f>IF($AO387=1,SUMPRODUCT(--($AS$2:$AS$1001&lt;$AS387))+1,"")</f>
        <v/>
      </c>
      <c r="AQ387">
        <f>IF($E387="","",IF(OR($V387=TRUE(),$V387="TRUE"),1,0))</f>
        <v/>
      </c>
      <c r="AR387">
        <f>IF($E387="","",IF($AE387="Yes",1,0))</f>
        <v/>
      </c>
      <c r="AS387">
        <f>IF($AO387=1,IFERROR(IF(VALUE($E387)&lt;100000000,VALUE($E387),1000000000),IFERROR(IF(VALUE(MID($E387,2,20))&lt;100000000,VALUE(MID($E387,2,20)),1000000000),1000000000))+ROW()/100000,"")</f>
        <v/>
      </c>
    </row>
    <row r="388">
      <c r="D388">
        <f>IF($E388="","",IFERROR(IF(INDEX('Per Invoice'!$A$2:$A$301,MATCH($E388,'Per Invoice'!$B$2:$B$301,0))=0,"",INDEX('Per Invoice'!$A$2:$A$301,MATCH($E388,'Per Invoice'!$B$2:$B$301,0))),""))</f>
        <v/>
      </c>
      <c r="H388" s="11" t="n"/>
      <c r="R388" s="7">
        <f>IF($E388="","",Q388*Z388/100)</f>
        <v/>
      </c>
      <c r="S388" s="7" t="n"/>
      <c r="Y388" s="7" t="n"/>
      <c r="Z388" s="7" t="n"/>
      <c r="AA388" s="7">
        <f>IF($E388="","",Z388*AF388/100)</f>
        <v/>
      </c>
      <c r="AB388" s="7">
        <f>IF($E388="","",Z388-AA388)</f>
        <v/>
      </c>
      <c r="AC388" s="7">
        <f>IF($E388="","",AB388-R388)</f>
        <v/>
      </c>
      <c r="AF388">
        <f>IF($E388="","",IF($AR388=1,0,IF($AQ388=1,Settings!$C$6,Settings!$C$7))*100)</f>
        <v/>
      </c>
      <c r="AJ388" s="7" t="n"/>
      <c r="AM388" s="11" t="n"/>
      <c r="AO388">
        <f>IF($E388="","",IF(COUNTIF($E$2:$E388,$E388)=1,1,0))</f>
        <v/>
      </c>
      <c r="AP388">
        <f>IF($AO388=1,SUMPRODUCT(--($AS$2:$AS$1001&lt;$AS388))+1,"")</f>
        <v/>
      </c>
      <c r="AQ388">
        <f>IF($E388="","",IF(OR($V388=TRUE(),$V388="TRUE"),1,0))</f>
        <v/>
      </c>
      <c r="AR388">
        <f>IF($E388="","",IF($AE388="Yes",1,0))</f>
        <v/>
      </c>
      <c r="AS388">
        <f>IF($AO388=1,IFERROR(IF(VALUE($E388)&lt;100000000,VALUE($E388),1000000000),IFERROR(IF(VALUE(MID($E388,2,20))&lt;100000000,VALUE(MID($E388,2,20)),1000000000),1000000000))+ROW()/100000,"")</f>
        <v/>
      </c>
    </row>
    <row r="389">
      <c r="D389">
        <f>IF($E389="","",IFERROR(IF(INDEX('Per Invoice'!$A$2:$A$301,MATCH($E389,'Per Invoice'!$B$2:$B$301,0))=0,"",INDEX('Per Invoice'!$A$2:$A$301,MATCH($E389,'Per Invoice'!$B$2:$B$301,0))),""))</f>
        <v/>
      </c>
      <c r="H389" s="11" t="n"/>
      <c r="R389" s="7">
        <f>IF($E389="","",Q389*Z389/100)</f>
        <v/>
      </c>
      <c r="S389" s="7" t="n"/>
      <c r="Y389" s="7" t="n"/>
      <c r="Z389" s="7" t="n"/>
      <c r="AA389" s="7">
        <f>IF($E389="","",Z389*AF389/100)</f>
        <v/>
      </c>
      <c r="AB389" s="7">
        <f>IF($E389="","",Z389-AA389)</f>
        <v/>
      </c>
      <c r="AC389" s="7">
        <f>IF($E389="","",AB389-R389)</f>
        <v/>
      </c>
      <c r="AF389">
        <f>IF($E389="","",IF($AR389=1,0,IF($AQ389=1,Settings!$C$6,Settings!$C$7))*100)</f>
        <v/>
      </c>
      <c r="AJ389" s="7" t="n"/>
      <c r="AM389" s="11" t="n"/>
      <c r="AO389">
        <f>IF($E389="","",IF(COUNTIF($E$2:$E389,$E389)=1,1,0))</f>
        <v/>
      </c>
      <c r="AP389">
        <f>IF($AO389=1,SUMPRODUCT(--($AS$2:$AS$1001&lt;$AS389))+1,"")</f>
        <v/>
      </c>
      <c r="AQ389">
        <f>IF($E389="","",IF(OR($V389=TRUE(),$V389="TRUE"),1,0))</f>
        <v/>
      </c>
      <c r="AR389">
        <f>IF($E389="","",IF($AE389="Yes",1,0))</f>
        <v/>
      </c>
      <c r="AS389">
        <f>IF($AO389=1,IFERROR(IF(VALUE($E389)&lt;100000000,VALUE($E389),1000000000),IFERROR(IF(VALUE(MID($E389,2,20))&lt;100000000,VALUE(MID($E389,2,20)),1000000000),1000000000))+ROW()/100000,"")</f>
        <v/>
      </c>
    </row>
    <row r="390">
      <c r="D390">
        <f>IF($E390="","",IFERROR(IF(INDEX('Per Invoice'!$A$2:$A$301,MATCH($E390,'Per Invoice'!$B$2:$B$301,0))=0,"",INDEX('Per Invoice'!$A$2:$A$301,MATCH($E390,'Per Invoice'!$B$2:$B$301,0))),""))</f>
        <v/>
      </c>
      <c r="H390" s="11" t="n"/>
      <c r="R390" s="7">
        <f>IF($E390="","",Q390*Z390/100)</f>
        <v/>
      </c>
      <c r="S390" s="7" t="n"/>
      <c r="Y390" s="7" t="n"/>
      <c r="Z390" s="7" t="n"/>
      <c r="AA390" s="7">
        <f>IF($E390="","",Z390*AF390/100)</f>
        <v/>
      </c>
      <c r="AB390" s="7">
        <f>IF($E390="","",Z390-AA390)</f>
        <v/>
      </c>
      <c r="AC390" s="7">
        <f>IF($E390="","",AB390-R390)</f>
        <v/>
      </c>
      <c r="AF390">
        <f>IF($E390="","",IF($AR390=1,0,IF($AQ390=1,Settings!$C$6,Settings!$C$7))*100)</f>
        <v/>
      </c>
      <c r="AJ390" s="7" t="n"/>
      <c r="AM390" s="11" t="n"/>
      <c r="AO390">
        <f>IF($E390="","",IF(COUNTIF($E$2:$E390,$E390)=1,1,0))</f>
        <v/>
      </c>
      <c r="AP390">
        <f>IF($AO390=1,SUMPRODUCT(--($AS$2:$AS$1001&lt;$AS390))+1,"")</f>
        <v/>
      </c>
      <c r="AQ390">
        <f>IF($E390="","",IF(OR($V390=TRUE(),$V390="TRUE"),1,0))</f>
        <v/>
      </c>
      <c r="AR390">
        <f>IF($E390="","",IF($AE390="Yes",1,0))</f>
        <v/>
      </c>
      <c r="AS390">
        <f>IF($AO390=1,IFERROR(IF(VALUE($E390)&lt;100000000,VALUE($E390),1000000000),IFERROR(IF(VALUE(MID($E390,2,20))&lt;100000000,VALUE(MID($E390,2,20)),1000000000),1000000000))+ROW()/100000,"")</f>
        <v/>
      </c>
    </row>
    <row r="391">
      <c r="D391">
        <f>IF($E391="","",IFERROR(IF(INDEX('Per Invoice'!$A$2:$A$301,MATCH($E391,'Per Invoice'!$B$2:$B$301,0))=0,"",INDEX('Per Invoice'!$A$2:$A$301,MATCH($E391,'Per Invoice'!$B$2:$B$301,0))),""))</f>
        <v/>
      </c>
      <c r="H391" s="11" t="n"/>
      <c r="R391" s="7">
        <f>IF($E391="","",Q391*Z391/100)</f>
        <v/>
      </c>
      <c r="S391" s="7" t="n"/>
      <c r="Y391" s="7" t="n"/>
      <c r="Z391" s="7" t="n"/>
      <c r="AA391" s="7">
        <f>IF($E391="","",Z391*AF391/100)</f>
        <v/>
      </c>
      <c r="AB391" s="7">
        <f>IF($E391="","",Z391-AA391)</f>
        <v/>
      </c>
      <c r="AC391" s="7">
        <f>IF($E391="","",AB391-R391)</f>
        <v/>
      </c>
      <c r="AF391">
        <f>IF($E391="","",IF($AR391=1,0,IF($AQ391=1,Settings!$C$6,Settings!$C$7))*100)</f>
        <v/>
      </c>
      <c r="AJ391" s="7" t="n"/>
      <c r="AM391" s="11" t="n"/>
      <c r="AO391">
        <f>IF($E391="","",IF(COUNTIF($E$2:$E391,$E391)=1,1,0))</f>
        <v/>
      </c>
      <c r="AP391">
        <f>IF($AO391=1,SUMPRODUCT(--($AS$2:$AS$1001&lt;$AS391))+1,"")</f>
        <v/>
      </c>
      <c r="AQ391">
        <f>IF($E391="","",IF(OR($V391=TRUE(),$V391="TRUE"),1,0))</f>
        <v/>
      </c>
      <c r="AR391">
        <f>IF($E391="","",IF($AE391="Yes",1,0))</f>
        <v/>
      </c>
      <c r="AS391">
        <f>IF($AO391=1,IFERROR(IF(VALUE($E391)&lt;100000000,VALUE($E391),1000000000),IFERROR(IF(VALUE(MID($E391,2,20))&lt;100000000,VALUE(MID($E391,2,20)),1000000000),1000000000))+ROW()/100000,"")</f>
        <v/>
      </c>
    </row>
    <row r="392">
      <c r="D392">
        <f>IF($E392="","",IFERROR(IF(INDEX('Per Invoice'!$A$2:$A$301,MATCH($E392,'Per Invoice'!$B$2:$B$301,0))=0,"",INDEX('Per Invoice'!$A$2:$A$301,MATCH($E392,'Per Invoice'!$B$2:$B$301,0))),""))</f>
        <v/>
      </c>
      <c r="H392" s="11" t="n"/>
      <c r="R392" s="7">
        <f>IF($E392="","",Q392*Z392/100)</f>
        <v/>
      </c>
      <c r="S392" s="7" t="n"/>
      <c r="Y392" s="7" t="n"/>
      <c r="Z392" s="7" t="n"/>
      <c r="AA392" s="7">
        <f>IF($E392="","",Z392*AF392/100)</f>
        <v/>
      </c>
      <c r="AB392" s="7">
        <f>IF($E392="","",Z392-AA392)</f>
        <v/>
      </c>
      <c r="AC392" s="7">
        <f>IF($E392="","",AB392-R392)</f>
        <v/>
      </c>
      <c r="AF392">
        <f>IF($E392="","",IF($AR392=1,0,IF($AQ392=1,Settings!$C$6,Settings!$C$7))*100)</f>
        <v/>
      </c>
      <c r="AJ392" s="7" t="n"/>
      <c r="AM392" s="11" t="n"/>
      <c r="AO392">
        <f>IF($E392="","",IF(COUNTIF($E$2:$E392,$E392)=1,1,0))</f>
        <v/>
      </c>
      <c r="AP392">
        <f>IF($AO392=1,SUMPRODUCT(--($AS$2:$AS$1001&lt;$AS392))+1,"")</f>
        <v/>
      </c>
      <c r="AQ392">
        <f>IF($E392="","",IF(OR($V392=TRUE(),$V392="TRUE"),1,0))</f>
        <v/>
      </c>
      <c r="AR392">
        <f>IF($E392="","",IF($AE392="Yes",1,0))</f>
        <v/>
      </c>
      <c r="AS392">
        <f>IF($AO392=1,IFERROR(IF(VALUE($E392)&lt;100000000,VALUE($E392),1000000000),IFERROR(IF(VALUE(MID($E392,2,20))&lt;100000000,VALUE(MID($E392,2,20)),1000000000),1000000000))+ROW()/100000,"")</f>
        <v/>
      </c>
    </row>
    <row r="393">
      <c r="D393">
        <f>IF($E393="","",IFERROR(IF(INDEX('Per Invoice'!$A$2:$A$301,MATCH($E393,'Per Invoice'!$B$2:$B$301,0))=0,"",INDEX('Per Invoice'!$A$2:$A$301,MATCH($E393,'Per Invoice'!$B$2:$B$301,0))),""))</f>
        <v/>
      </c>
      <c r="H393" s="11" t="n"/>
      <c r="R393" s="7">
        <f>IF($E393="","",Q393*Z393/100)</f>
        <v/>
      </c>
      <c r="S393" s="7" t="n"/>
      <c r="Y393" s="7" t="n"/>
      <c r="Z393" s="7" t="n"/>
      <c r="AA393" s="7">
        <f>IF($E393="","",Z393*AF393/100)</f>
        <v/>
      </c>
      <c r="AB393" s="7">
        <f>IF($E393="","",Z393-AA393)</f>
        <v/>
      </c>
      <c r="AC393" s="7">
        <f>IF($E393="","",AB393-R393)</f>
        <v/>
      </c>
      <c r="AF393">
        <f>IF($E393="","",IF($AR393=1,0,IF($AQ393=1,Settings!$C$6,Settings!$C$7))*100)</f>
        <v/>
      </c>
      <c r="AJ393" s="7" t="n"/>
      <c r="AM393" s="11" t="n"/>
      <c r="AO393">
        <f>IF($E393="","",IF(COUNTIF($E$2:$E393,$E393)=1,1,0))</f>
        <v/>
      </c>
      <c r="AP393">
        <f>IF($AO393=1,SUMPRODUCT(--($AS$2:$AS$1001&lt;$AS393))+1,"")</f>
        <v/>
      </c>
      <c r="AQ393">
        <f>IF($E393="","",IF(OR($V393=TRUE(),$V393="TRUE"),1,0))</f>
        <v/>
      </c>
      <c r="AR393">
        <f>IF($E393="","",IF($AE393="Yes",1,0))</f>
        <v/>
      </c>
      <c r="AS393">
        <f>IF($AO393=1,IFERROR(IF(VALUE($E393)&lt;100000000,VALUE($E393),1000000000),IFERROR(IF(VALUE(MID($E393,2,20))&lt;100000000,VALUE(MID($E393,2,20)),1000000000),1000000000))+ROW()/100000,"")</f>
        <v/>
      </c>
    </row>
    <row r="394">
      <c r="D394">
        <f>IF($E394="","",IFERROR(IF(INDEX('Per Invoice'!$A$2:$A$301,MATCH($E394,'Per Invoice'!$B$2:$B$301,0))=0,"",INDEX('Per Invoice'!$A$2:$A$301,MATCH($E394,'Per Invoice'!$B$2:$B$301,0))),""))</f>
        <v/>
      </c>
      <c r="H394" s="11" t="n"/>
      <c r="R394" s="7">
        <f>IF($E394="","",Q394*Z394/100)</f>
        <v/>
      </c>
      <c r="S394" s="7" t="n"/>
      <c r="Y394" s="7" t="n"/>
      <c r="Z394" s="7" t="n"/>
      <c r="AA394" s="7">
        <f>IF($E394="","",Z394*AF394/100)</f>
        <v/>
      </c>
      <c r="AB394" s="7">
        <f>IF($E394="","",Z394-AA394)</f>
        <v/>
      </c>
      <c r="AC394" s="7">
        <f>IF($E394="","",AB394-R394)</f>
        <v/>
      </c>
      <c r="AF394">
        <f>IF($E394="","",IF($AR394=1,0,IF($AQ394=1,Settings!$C$6,Settings!$C$7))*100)</f>
        <v/>
      </c>
      <c r="AJ394" s="7" t="n"/>
      <c r="AM394" s="11" t="n"/>
      <c r="AO394">
        <f>IF($E394="","",IF(COUNTIF($E$2:$E394,$E394)=1,1,0))</f>
        <v/>
      </c>
      <c r="AP394">
        <f>IF($AO394=1,SUMPRODUCT(--($AS$2:$AS$1001&lt;$AS394))+1,"")</f>
        <v/>
      </c>
      <c r="AQ394">
        <f>IF($E394="","",IF(OR($V394=TRUE(),$V394="TRUE"),1,0))</f>
        <v/>
      </c>
      <c r="AR394">
        <f>IF($E394="","",IF($AE394="Yes",1,0))</f>
        <v/>
      </c>
      <c r="AS394">
        <f>IF($AO394=1,IFERROR(IF(VALUE($E394)&lt;100000000,VALUE($E394),1000000000),IFERROR(IF(VALUE(MID($E394,2,20))&lt;100000000,VALUE(MID($E394,2,20)),1000000000),1000000000))+ROW()/100000,"")</f>
        <v/>
      </c>
    </row>
    <row r="395">
      <c r="D395">
        <f>IF($E395="","",IFERROR(IF(INDEX('Per Invoice'!$A$2:$A$301,MATCH($E395,'Per Invoice'!$B$2:$B$301,0))=0,"",INDEX('Per Invoice'!$A$2:$A$301,MATCH($E395,'Per Invoice'!$B$2:$B$301,0))),""))</f>
        <v/>
      </c>
      <c r="H395" s="11" t="n"/>
      <c r="R395" s="7">
        <f>IF($E395="","",Q395*Z395/100)</f>
        <v/>
      </c>
      <c r="S395" s="7" t="n"/>
      <c r="Y395" s="7" t="n"/>
      <c r="Z395" s="7" t="n"/>
      <c r="AA395" s="7">
        <f>IF($E395="","",Z395*AF395/100)</f>
        <v/>
      </c>
      <c r="AB395" s="7">
        <f>IF($E395="","",Z395-AA395)</f>
        <v/>
      </c>
      <c r="AC395" s="7">
        <f>IF($E395="","",AB395-R395)</f>
        <v/>
      </c>
      <c r="AF395">
        <f>IF($E395="","",IF($AR395=1,0,IF($AQ395=1,Settings!$C$6,Settings!$C$7))*100)</f>
        <v/>
      </c>
      <c r="AJ395" s="7" t="n"/>
      <c r="AM395" s="11" t="n"/>
      <c r="AO395">
        <f>IF($E395="","",IF(COUNTIF($E$2:$E395,$E395)=1,1,0))</f>
        <v/>
      </c>
      <c r="AP395">
        <f>IF($AO395=1,SUMPRODUCT(--($AS$2:$AS$1001&lt;$AS395))+1,"")</f>
        <v/>
      </c>
      <c r="AQ395">
        <f>IF($E395="","",IF(OR($V395=TRUE(),$V395="TRUE"),1,0))</f>
        <v/>
      </c>
      <c r="AR395">
        <f>IF($E395="","",IF($AE395="Yes",1,0))</f>
        <v/>
      </c>
      <c r="AS395">
        <f>IF($AO395=1,IFERROR(IF(VALUE($E395)&lt;100000000,VALUE($E395),1000000000),IFERROR(IF(VALUE(MID($E395,2,20))&lt;100000000,VALUE(MID($E395,2,20)),1000000000),1000000000))+ROW()/100000,"")</f>
        <v/>
      </c>
    </row>
    <row r="396">
      <c r="D396">
        <f>IF($E396="","",IFERROR(IF(INDEX('Per Invoice'!$A$2:$A$301,MATCH($E396,'Per Invoice'!$B$2:$B$301,0))=0,"",INDEX('Per Invoice'!$A$2:$A$301,MATCH($E396,'Per Invoice'!$B$2:$B$301,0))),""))</f>
        <v/>
      </c>
      <c r="H396" s="11" t="n"/>
      <c r="R396" s="7">
        <f>IF($E396="","",Q396*Z396/100)</f>
        <v/>
      </c>
      <c r="S396" s="7" t="n"/>
      <c r="Y396" s="7" t="n"/>
      <c r="Z396" s="7" t="n"/>
      <c r="AA396" s="7">
        <f>IF($E396="","",Z396*AF396/100)</f>
        <v/>
      </c>
      <c r="AB396" s="7">
        <f>IF($E396="","",Z396-AA396)</f>
        <v/>
      </c>
      <c r="AC396" s="7">
        <f>IF($E396="","",AB396-R396)</f>
        <v/>
      </c>
      <c r="AF396">
        <f>IF($E396="","",IF($AR396=1,0,IF($AQ396=1,Settings!$C$6,Settings!$C$7))*100)</f>
        <v/>
      </c>
      <c r="AJ396" s="7" t="n"/>
      <c r="AM396" s="11" t="n"/>
      <c r="AO396">
        <f>IF($E396="","",IF(COUNTIF($E$2:$E396,$E396)=1,1,0))</f>
        <v/>
      </c>
      <c r="AP396">
        <f>IF($AO396=1,SUMPRODUCT(--($AS$2:$AS$1001&lt;$AS396))+1,"")</f>
        <v/>
      </c>
      <c r="AQ396">
        <f>IF($E396="","",IF(OR($V396=TRUE(),$V396="TRUE"),1,0))</f>
        <v/>
      </c>
      <c r="AR396">
        <f>IF($E396="","",IF($AE396="Yes",1,0))</f>
        <v/>
      </c>
      <c r="AS396">
        <f>IF($AO396=1,IFERROR(IF(VALUE($E396)&lt;100000000,VALUE($E396),1000000000),IFERROR(IF(VALUE(MID($E396,2,20))&lt;100000000,VALUE(MID($E396,2,20)),1000000000),1000000000))+ROW()/100000,"")</f>
        <v/>
      </c>
    </row>
    <row r="397">
      <c r="D397">
        <f>IF($E397="","",IFERROR(IF(INDEX('Per Invoice'!$A$2:$A$301,MATCH($E397,'Per Invoice'!$B$2:$B$301,0))=0,"",INDEX('Per Invoice'!$A$2:$A$301,MATCH($E397,'Per Invoice'!$B$2:$B$301,0))),""))</f>
        <v/>
      </c>
      <c r="H397" s="11" t="n"/>
      <c r="R397" s="7">
        <f>IF($E397="","",Q397*Z397/100)</f>
        <v/>
      </c>
      <c r="S397" s="7" t="n"/>
      <c r="Y397" s="7" t="n"/>
      <c r="Z397" s="7" t="n"/>
      <c r="AA397" s="7">
        <f>IF($E397="","",Z397*AF397/100)</f>
        <v/>
      </c>
      <c r="AB397" s="7">
        <f>IF($E397="","",Z397-AA397)</f>
        <v/>
      </c>
      <c r="AC397" s="7">
        <f>IF($E397="","",AB397-R397)</f>
        <v/>
      </c>
      <c r="AF397">
        <f>IF($E397="","",IF($AR397=1,0,IF($AQ397=1,Settings!$C$6,Settings!$C$7))*100)</f>
        <v/>
      </c>
      <c r="AJ397" s="7" t="n"/>
      <c r="AM397" s="11" t="n"/>
      <c r="AO397">
        <f>IF($E397="","",IF(COUNTIF($E$2:$E397,$E397)=1,1,0))</f>
        <v/>
      </c>
      <c r="AP397">
        <f>IF($AO397=1,SUMPRODUCT(--($AS$2:$AS$1001&lt;$AS397))+1,"")</f>
        <v/>
      </c>
      <c r="AQ397">
        <f>IF($E397="","",IF(OR($V397=TRUE(),$V397="TRUE"),1,0))</f>
        <v/>
      </c>
      <c r="AR397">
        <f>IF($E397="","",IF($AE397="Yes",1,0))</f>
        <v/>
      </c>
      <c r="AS397">
        <f>IF($AO397=1,IFERROR(IF(VALUE($E397)&lt;100000000,VALUE($E397),1000000000),IFERROR(IF(VALUE(MID($E397,2,20))&lt;100000000,VALUE(MID($E397,2,20)),1000000000),1000000000))+ROW()/100000,"")</f>
        <v/>
      </c>
    </row>
    <row r="398">
      <c r="D398">
        <f>IF($E398="","",IFERROR(IF(INDEX('Per Invoice'!$A$2:$A$301,MATCH($E398,'Per Invoice'!$B$2:$B$301,0))=0,"",INDEX('Per Invoice'!$A$2:$A$301,MATCH($E398,'Per Invoice'!$B$2:$B$301,0))),""))</f>
        <v/>
      </c>
      <c r="H398" s="11" t="n"/>
      <c r="R398" s="7">
        <f>IF($E398="","",Q398*Z398/100)</f>
        <v/>
      </c>
      <c r="S398" s="7" t="n"/>
      <c r="Y398" s="7" t="n"/>
      <c r="Z398" s="7" t="n"/>
      <c r="AA398" s="7">
        <f>IF($E398="","",Z398*AF398/100)</f>
        <v/>
      </c>
      <c r="AB398" s="7">
        <f>IF($E398="","",Z398-AA398)</f>
        <v/>
      </c>
      <c r="AC398" s="7">
        <f>IF($E398="","",AB398-R398)</f>
        <v/>
      </c>
      <c r="AF398">
        <f>IF($E398="","",IF($AR398=1,0,IF($AQ398=1,Settings!$C$6,Settings!$C$7))*100)</f>
        <v/>
      </c>
      <c r="AJ398" s="7" t="n"/>
      <c r="AM398" s="11" t="n"/>
      <c r="AO398">
        <f>IF($E398="","",IF(COUNTIF($E$2:$E398,$E398)=1,1,0))</f>
        <v/>
      </c>
      <c r="AP398">
        <f>IF($AO398=1,SUMPRODUCT(--($AS$2:$AS$1001&lt;$AS398))+1,"")</f>
        <v/>
      </c>
      <c r="AQ398">
        <f>IF($E398="","",IF(OR($V398=TRUE(),$V398="TRUE"),1,0))</f>
        <v/>
      </c>
      <c r="AR398">
        <f>IF($E398="","",IF($AE398="Yes",1,0))</f>
        <v/>
      </c>
      <c r="AS398">
        <f>IF($AO398=1,IFERROR(IF(VALUE($E398)&lt;100000000,VALUE($E398),1000000000),IFERROR(IF(VALUE(MID($E398,2,20))&lt;100000000,VALUE(MID($E398,2,20)),1000000000),1000000000))+ROW()/100000,"")</f>
        <v/>
      </c>
    </row>
    <row r="399">
      <c r="D399">
        <f>IF($E399="","",IFERROR(IF(INDEX('Per Invoice'!$A$2:$A$301,MATCH($E399,'Per Invoice'!$B$2:$B$301,0))=0,"",INDEX('Per Invoice'!$A$2:$A$301,MATCH($E399,'Per Invoice'!$B$2:$B$301,0))),""))</f>
        <v/>
      </c>
      <c r="H399" s="11" t="n"/>
      <c r="R399" s="7">
        <f>IF($E399="","",Q399*Z399/100)</f>
        <v/>
      </c>
      <c r="S399" s="7" t="n"/>
      <c r="Y399" s="7" t="n"/>
      <c r="Z399" s="7" t="n"/>
      <c r="AA399" s="7">
        <f>IF($E399="","",Z399*AF399/100)</f>
        <v/>
      </c>
      <c r="AB399" s="7">
        <f>IF($E399="","",Z399-AA399)</f>
        <v/>
      </c>
      <c r="AC399" s="7">
        <f>IF($E399="","",AB399-R399)</f>
        <v/>
      </c>
      <c r="AF399">
        <f>IF($E399="","",IF($AR399=1,0,IF($AQ399=1,Settings!$C$6,Settings!$C$7))*100)</f>
        <v/>
      </c>
      <c r="AJ399" s="7" t="n"/>
      <c r="AM399" s="11" t="n"/>
      <c r="AO399">
        <f>IF($E399="","",IF(COUNTIF($E$2:$E399,$E399)=1,1,0))</f>
        <v/>
      </c>
      <c r="AP399">
        <f>IF($AO399=1,SUMPRODUCT(--($AS$2:$AS$1001&lt;$AS399))+1,"")</f>
        <v/>
      </c>
      <c r="AQ399">
        <f>IF($E399="","",IF(OR($V399=TRUE(),$V399="TRUE"),1,0))</f>
        <v/>
      </c>
      <c r="AR399">
        <f>IF($E399="","",IF($AE399="Yes",1,0))</f>
        <v/>
      </c>
      <c r="AS399">
        <f>IF($AO399=1,IFERROR(IF(VALUE($E399)&lt;100000000,VALUE($E399),1000000000),IFERROR(IF(VALUE(MID($E399,2,20))&lt;100000000,VALUE(MID($E399,2,20)),1000000000),1000000000))+ROW()/100000,"")</f>
        <v/>
      </c>
    </row>
    <row r="400">
      <c r="D400">
        <f>IF($E400="","",IFERROR(IF(INDEX('Per Invoice'!$A$2:$A$301,MATCH($E400,'Per Invoice'!$B$2:$B$301,0))=0,"",INDEX('Per Invoice'!$A$2:$A$301,MATCH($E400,'Per Invoice'!$B$2:$B$301,0))),""))</f>
        <v/>
      </c>
      <c r="H400" s="11" t="n"/>
      <c r="R400" s="7">
        <f>IF($E400="","",Q400*Z400/100)</f>
        <v/>
      </c>
      <c r="S400" s="7" t="n"/>
      <c r="Y400" s="7" t="n"/>
      <c r="Z400" s="7" t="n"/>
      <c r="AA400" s="7">
        <f>IF($E400="","",Z400*AF400/100)</f>
        <v/>
      </c>
      <c r="AB400" s="7">
        <f>IF($E400="","",Z400-AA400)</f>
        <v/>
      </c>
      <c r="AC400" s="7">
        <f>IF($E400="","",AB400-R400)</f>
        <v/>
      </c>
      <c r="AF400">
        <f>IF($E400="","",IF($AR400=1,0,IF($AQ400=1,Settings!$C$6,Settings!$C$7))*100)</f>
        <v/>
      </c>
      <c r="AJ400" s="7" t="n"/>
      <c r="AM400" s="11" t="n"/>
      <c r="AO400">
        <f>IF($E400="","",IF(COUNTIF($E$2:$E400,$E400)=1,1,0))</f>
        <v/>
      </c>
      <c r="AP400">
        <f>IF($AO400=1,SUMPRODUCT(--($AS$2:$AS$1001&lt;$AS400))+1,"")</f>
        <v/>
      </c>
      <c r="AQ400">
        <f>IF($E400="","",IF(OR($V400=TRUE(),$V400="TRUE"),1,0))</f>
        <v/>
      </c>
      <c r="AR400">
        <f>IF($E400="","",IF($AE400="Yes",1,0))</f>
        <v/>
      </c>
      <c r="AS400">
        <f>IF($AO400=1,IFERROR(IF(VALUE($E400)&lt;100000000,VALUE($E400),1000000000),IFERROR(IF(VALUE(MID($E400,2,20))&lt;100000000,VALUE(MID($E400,2,20)),1000000000),1000000000))+ROW()/100000,"")</f>
        <v/>
      </c>
    </row>
    <row r="401">
      <c r="D401">
        <f>IF($E401="","",IFERROR(IF(INDEX('Per Invoice'!$A$2:$A$301,MATCH($E401,'Per Invoice'!$B$2:$B$301,0))=0,"",INDEX('Per Invoice'!$A$2:$A$301,MATCH($E401,'Per Invoice'!$B$2:$B$301,0))),""))</f>
        <v/>
      </c>
      <c r="H401" s="11" t="n"/>
      <c r="R401" s="7">
        <f>IF($E401="","",Q401*Z401/100)</f>
        <v/>
      </c>
      <c r="S401" s="7" t="n"/>
      <c r="Y401" s="7" t="n"/>
      <c r="Z401" s="7" t="n"/>
      <c r="AA401" s="7">
        <f>IF($E401="","",Z401*AF401/100)</f>
        <v/>
      </c>
      <c r="AB401" s="7">
        <f>IF($E401="","",Z401-AA401)</f>
        <v/>
      </c>
      <c r="AC401" s="7">
        <f>IF($E401="","",AB401-R401)</f>
        <v/>
      </c>
      <c r="AF401">
        <f>IF($E401="","",IF($AR401=1,0,IF($AQ401=1,Settings!$C$6,Settings!$C$7))*100)</f>
        <v/>
      </c>
      <c r="AJ401" s="7" t="n"/>
      <c r="AM401" s="11" t="n"/>
      <c r="AO401">
        <f>IF($E401="","",IF(COUNTIF($E$2:$E401,$E401)=1,1,0))</f>
        <v/>
      </c>
      <c r="AP401">
        <f>IF($AO401=1,SUMPRODUCT(--($AS$2:$AS$1001&lt;$AS401))+1,"")</f>
        <v/>
      </c>
      <c r="AQ401">
        <f>IF($E401="","",IF(OR($V401=TRUE(),$V401="TRUE"),1,0))</f>
        <v/>
      </c>
      <c r="AR401">
        <f>IF($E401="","",IF($AE401="Yes",1,0))</f>
        <v/>
      </c>
      <c r="AS401">
        <f>IF($AO401=1,IFERROR(IF(VALUE($E401)&lt;100000000,VALUE($E401),1000000000),IFERROR(IF(VALUE(MID($E401,2,20))&lt;100000000,VALUE(MID($E401,2,20)),1000000000),1000000000))+ROW()/100000,"")</f>
        <v/>
      </c>
    </row>
    <row r="402">
      <c r="D402">
        <f>IF($E402="","",IFERROR(IF(INDEX('Per Invoice'!$A$2:$A$301,MATCH($E402,'Per Invoice'!$B$2:$B$301,0))=0,"",INDEX('Per Invoice'!$A$2:$A$301,MATCH($E402,'Per Invoice'!$B$2:$B$301,0))),""))</f>
        <v/>
      </c>
      <c r="H402" s="11" t="n"/>
      <c r="R402" s="7">
        <f>IF($E402="","",Q402*Z402/100)</f>
        <v/>
      </c>
      <c r="S402" s="7" t="n"/>
      <c r="Y402" s="7" t="n"/>
      <c r="Z402" s="7" t="n"/>
      <c r="AA402" s="7">
        <f>IF($E402="","",Z402*AF402/100)</f>
        <v/>
      </c>
      <c r="AB402" s="7">
        <f>IF($E402="","",Z402-AA402)</f>
        <v/>
      </c>
      <c r="AC402" s="7">
        <f>IF($E402="","",AB402-R402)</f>
        <v/>
      </c>
      <c r="AF402">
        <f>IF($E402="","",IF($AR402=1,0,IF($AQ402=1,Settings!$C$6,Settings!$C$7))*100)</f>
        <v/>
      </c>
      <c r="AJ402" s="7" t="n"/>
      <c r="AM402" s="11" t="n"/>
      <c r="AO402">
        <f>IF($E402="","",IF(COUNTIF($E$2:$E402,$E402)=1,1,0))</f>
        <v/>
      </c>
      <c r="AP402">
        <f>IF($AO402=1,SUMPRODUCT(--($AS$2:$AS$1001&lt;$AS402))+1,"")</f>
        <v/>
      </c>
      <c r="AQ402">
        <f>IF($E402="","",IF(OR($V402=TRUE(),$V402="TRUE"),1,0))</f>
        <v/>
      </c>
      <c r="AR402">
        <f>IF($E402="","",IF($AE402="Yes",1,0))</f>
        <v/>
      </c>
      <c r="AS402">
        <f>IF($AO402=1,IFERROR(IF(VALUE($E402)&lt;100000000,VALUE($E402),1000000000),IFERROR(IF(VALUE(MID($E402,2,20))&lt;100000000,VALUE(MID($E402,2,20)),1000000000),1000000000))+ROW()/100000,"")</f>
        <v/>
      </c>
    </row>
    <row r="403">
      <c r="D403">
        <f>IF($E403="","",IFERROR(IF(INDEX('Per Invoice'!$A$2:$A$301,MATCH($E403,'Per Invoice'!$B$2:$B$301,0))=0,"",INDEX('Per Invoice'!$A$2:$A$301,MATCH($E403,'Per Invoice'!$B$2:$B$301,0))),""))</f>
        <v/>
      </c>
      <c r="H403" s="11" t="n"/>
      <c r="R403" s="7">
        <f>IF($E403="","",Q403*Z403/100)</f>
        <v/>
      </c>
      <c r="S403" s="7" t="n"/>
      <c r="Y403" s="7" t="n"/>
      <c r="Z403" s="7" t="n"/>
      <c r="AA403" s="7">
        <f>IF($E403="","",Z403*AF403/100)</f>
        <v/>
      </c>
      <c r="AB403" s="7">
        <f>IF($E403="","",Z403-AA403)</f>
        <v/>
      </c>
      <c r="AC403" s="7">
        <f>IF($E403="","",AB403-R403)</f>
        <v/>
      </c>
      <c r="AF403">
        <f>IF($E403="","",IF($AR403=1,0,IF($AQ403=1,Settings!$C$6,Settings!$C$7))*100)</f>
        <v/>
      </c>
      <c r="AJ403" s="7" t="n"/>
      <c r="AM403" s="11" t="n"/>
      <c r="AO403">
        <f>IF($E403="","",IF(COUNTIF($E$2:$E403,$E403)=1,1,0))</f>
        <v/>
      </c>
      <c r="AP403">
        <f>IF($AO403=1,SUMPRODUCT(--($AS$2:$AS$1001&lt;$AS403))+1,"")</f>
        <v/>
      </c>
      <c r="AQ403">
        <f>IF($E403="","",IF(OR($V403=TRUE(),$V403="TRUE"),1,0))</f>
        <v/>
      </c>
      <c r="AR403">
        <f>IF($E403="","",IF($AE403="Yes",1,0))</f>
        <v/>
      </c>
      <c r="AS403">
        <f>IF($AO403=1,IFERROR(IF(VALUE($E403)&lt;100000000,VALUE($E403),1000000000),IFERROR(IF(VALUE(MID($E403,2,20))&lt;100000000,VALUE(MID($E403,2,20)),1000000000),1000000000))+ROW()/100000,"")</f>
        <v/>
      </c>
    </row>
    <row r="404">
      <c r="D404">
        <f>IF($E404="","",IFERROR(IF(INDEX('Per Invoice'!$A$2:$A$301,MATCH($E404,'Per Invoice'!$B$2:$B$301,0))=0,"",INDEX('Per Invoice'!$A$2:$A$301,MATCH($E404,'Per Invoice'!$B$2:$B$301,0))),""))</f>
        <v/>
      </c>
      <c r="H404" s="11" t="n"/>
      <c r="R404" s="7">
        <f>IF($E404="","",Q404*Z404/100)</f>
        <v/>
      </c>
      <c r="S404" s="7" t="n"/>
      <c r="Y404" s="7" t="n"/>
      <c r="Z404" s="7" t="n"/>
      <c r="AA404" s="7">
        <f>IF($E404="","",Z404*AF404/100)</f>
        <v/>
      </c>
      <c r="AB404" s="7">
        <f>IF($E404="","",Z404-AA404)</f>
        <v/>
      </c>
      <c r="AC404" s="7">
        <f>IF($E404="","",AB404-R404)</f>
        <v/>
      </c>
      <c r="AF404">
        <f>IF($E404="","",IF($AR404=1,0,IF($AQ404=1,Settings!$C$6,Settings!$C$7))*100)</f>
        <v/>
      </c>
      <c r="AJ404" s="7" t="n"/>
      <c r="AM404" s="11" t="n"/>
      <c r="AO404">
        <f>IF($E404="","",IF(COUNTIF($E$2:$E404,$E404)=1,1,0))</f>
        <v/>
      </c>
      <c r="AP404">
        <f>IF($AO404=1,SUMPRODUCT(--($AS$2:$AS$1001&lt;$AS404))+1,"")</f>
        <v/>
      </c>
      <c r="AQ404">
        <f>IF($E404="","",IF(OR($V404=TRUE(),$V404="TRUE"),1,0))</f>
        <v/>
      </c>
      <c r="AR404">
        <f>IF($E404="","",IF($AE404="Yes",1,0))</f>
        <v/>
      </c>
      <c r="AS404">
        <f>IF($AO404=1,IFERROR(IF(VALUE($E404)&lt;100000000,VALUE($E404),1000000000),IFERROR(IF(VALUE(MID($E404,2,20))&lt;100000000,VALUE(MID($E404,2,20)),1000000000),1000000000))+ROW()/100000,"")</f>
        <v/>
      </c>
    </row>
    <row r="405">
      <c r="D405">
        <f>IF($E405="","",IFERROR(IF(INDEX('Per Invoice'!$A$2:$A$301,MATCH($E405,'Per Invoice'!$B$2:$B$301,0))=0,"",INDEX('Per Invoice'!$A$2:$A$301,MATCH($E405,'Per Invoice'!$B$2:$B$301,0))),""))</f>
        <v/>
      </c>
      <c r="H405" s="11" t="n"/>
      <c r="R405" s="7">
        <f>IF($E405="","",Q405*Z405/100)</f>
        <v/>
      </c>
      <c r="S405" s="7" t="n"/>
      <c r="Y405" s="7" t="n"/>
      <c r="Z405" s="7" t="n"/>
      <c r="AA405" s="7">
        <f>IF($E405="","",Z405*AF405/100)</f>
        <v/>
      </c>
      <c r="AB405" s="7">
        <f>IF($E405="","",Z405-AA405)</f>
        <v/>
      </c>
      <c r="AC405" s="7">
        <f>IF($E405="","",AB405-R405)</f>
        <v/>
      </c>
      <c r="AF405">
        <f>IF($E405="","",IF($AR405=1,0,IF($AQ405=1,Settings!$C$6,Settings!$C$7))*100)</f>
        <v/>
      </c>
      <c r="AJ405" s="7" t="n"/>
      <c r="AM405" s="11" t="n"/>
      <c r="AO405">
        <f>IF($E405="","",IF(COUNTIF($E$2:$E405,$E405)=1,1,0))</f>
        <v/>
      </c>
      <c r="AP405">
        <f>IF($AO405=1,SUMPRODUCT(--($AS$2:$AS$1001&lt;$AS405))+1,"")</f>
        <v/>
      </c>
      <c r="AQ405">
        <f>IF($E405="","",IF(OR($V405=TRUE(),$V405="TRUE"),1,0))</f>
        <v/>
      </c>
      <c r="AR405">
        <f>IF($E405="","",IF($AE405="Yes",1,0))</f>
        <v/>
      </c>
      <c r="AS405">
        <f>IF($AO405=1,IFERROR(IF(VALUE($E405)&lt;100000000,VALUE($E405),1000000000),IFERROR(IF(VALUE(MID($E405,2,20))&lt;100000000,VALUE(MID($E405,2,20)),1000000000),1000000000))+ROW()/100000,"")</f>
        <v/>
      </c>
    </row>
    <row r="406">
      <c r="D406">
        <f>IF($E406="","",IFERROR(IF(INDEX('Per Invoice'!$A$2:$A$301,MATCH($E406,'Per Invoice'!$B$2:$B$301,0))=0,"",INDEX('Per Invoice'!$A$2:$A$301,MATCH($E406,'Per Invoice'!$B$2:$B$301,0))),""))</f>
        <v/>
      </c>
      <c r="H406" s="11" t="n"/>
      <c r="R406" s="7">
        <f>IF($E406="","",Q406*Z406/100)</f>
        <v/>
      </c>
      <c r="S406" s="7" t="n"/>
      <c r="Y406" s="7" t="n"/>
      <c r="Z406" s="7" t="n"/>
      <c r="AA406" s="7">
        <f>IF($E406="","",Z406*AF406/100)</f>
        <v/>
      </c>
      <c r="AB406" s="7">
        <f>IF($E406="","",Z406-AA406)</f>
        <v/>
      </c>
      <c r="AC406" s="7">
        <f>IF($E406="","",AB406-R406)</f>
        <v/>
      </c>
      <c r="AF406">
        <f>IF($E406="","",IF($AR406=1,0,IF($AQ406=1,Settings!$C$6,Settings!$C$7))*100)</f>
        <v/>
      </c>
      <c r="AJ406" s="7" t="n"/>
      <c r="AM406" s="11" t="n"/>
      <c r="AO406">
        <f>IF($E406="","",IF(COUNTIF($E$2:$E406,$E406)=1,1,0))</f>
        <v/>
      </c>
      <c r="AP406">
        <f>IF($AO406=1,SUMPRODUCT(--($AS$2:$AS$1001&lt;$AS406))+1,"")</f>
        <v/>
      </c>
      <c r="AQ406">
        <f>IF($E406="","",IF(OR($V406=TRUE(),$V406="TRUE"),1,0))</f>
        <v/>
      </c>
      <c r="AR406">
        <f>IF($E406="","",IF($AE406="Yes",1,0))</f>
        <v/>
      </c>
      <c r="AS406">
        <f>IF($AO406=1,IFERROR(IF(VALUE($E406)&lt;100000000,VALUE($E406),1000000000),IFERROR(IF(VALUE(MID($E406,2,20))&lt;100000000,VALUE(MID($E406,2,20)),1000000000),1000000000))+ROW()/100000,"")</f>
        <v/>
      </c>
    </row>
    <row r="407">
      <c r="D407">
        <f>IF($E407="","",IFERROR(IF(INDEX('Per Invoice'!$A$2:$A$301,MATCH($E407,'Per Invoice'!$B$2:$B$301,0))=0,"",INDEX('Per Invoice'!$A$2:$A$301,MATCH($E407,'Per Invoice'!$B$2:$B$301,0))),""))</f>
        <v/>
      </c>
      <c r="H407" s="11" t="n"/>
      <c r="R407" s="7">
        <f>IF($E407="","",Q407*Z407/100)</f>
        <v/>
      </c>
      <c r="S407" s="7" t="n"/>
      <c r="Y407" s="7" t="n"/>
      <c r="Z407" s="7" t="n"/>
      <c r="AA407" s="7">
        <f>IF($E407="","",Z407*AF407/100)</f>
        <v/>
      </c>
      <c r="AB407" s="7">
        <f>IF($E407="","",Z407-AA407)</f>
        <v/>
      </c>
      <c r="AC407" s="7">
        <f>IF($E407="","",AB407-R407)</f>
        <v/>
      </c>
      <c r="AF407">
        <f>IF($E407="","",IF($AR407=1,0,IF($AQ407=1,Settings!$C$6,Settings!$C$7))*100)</f>
        <v/>
      </c>
      <c r="AJ407" s="7" t="n"/>
      <c r="AM407" s="11" t="n"/>
      <c r="AO407">
        <f>IF($E407="","",IF(COUNTIF($E$2:$E407,$E407)=1,1,0))</f>
        <v/>
      </c>
      <c r="AP407">
        <f>IF($AO407=1,SUMPRODUCT(--($AS$2:$AS$1001&lt;$AS407))+1,"")</f>
        <v/>
      </c>
      <c r="AQ407">
        <f>IF($E407="","",IF(OR($V407=TRUE(),$V407="TRUE"),1,0))</f>
        <v/>
      </c>
      <c r="AR407">
        <f>IF($E407="","",IF($AE407="Yes",1,0))</f>
        <v/>
      </c>
      <c r="AS407">
        <f>IF($AO407=1,IFERROR(IF(VALUE($E407)&lt;100000000,VALUE($E407),1000000000),IFERROR(IF(VALUE(MID($E407,2,20))&lt;100000000,VALUE(MID($E407,2,20)),1000000000),1000000000))+ROW()/100000,"")</f>
        <v/>
      </c>
    </row>
    <row r="408">
      <c r="D408">
        <f>IF($E408="","",IFERROR(IF(INDEX('Per Invoice'!$A$2:$A$301,MATCH($E408,'Per Invoice'!$B$2:$B$301,0))=0,"",INDEX('Per Invoice'!$A$2:$A$301,MATCH($E408,'Per Invoice'!$B$2:$B$301,0))),""))</f>
        <v/>
      </c>
      <c r="H408" s="11" t="n"/>
      <c r="R408" s="7">
        <f>IF($E408="","",Q408*Z408/100)</f>
        <v/>
      </c>
      <c r="S408" s="7" t="n"/>
      <c r="Y408" s="7" t="n"/>
      <c r="Z408" s="7" t="n"/>
      <c r="AA408" s="7">
        <f>IF($E408="","",Z408*AF408/100)</f>
        <v/>
      </c>
      <c r="AB408" s="7">
        <f>IF($E408="","",Z408-AA408)</f>
        <v/>
      </c>
      <c r="AC408" s="7">
        <f>IF($E408="","",AB408-R408)</f>
        <v/>
      </c>
      <c r="AF408">
        <f>IF($E408="","",IF($AR408=1,0,IF($AQ408=1,Settings!$C$6,Settings!$C$7))*100)</f>
        <v/>
      </c>
      <c r="AJ408" s="7" t="n"/>
      <c r="AM408" s="11" t="n"/>
      <c r="AO408">
        <f>IF($E408="","",IF(COUNTIF($E$2:$E408,$E408)=1,1,0))</f>
        <v/>
      </c>
      <c r="AP408">
        <f>IF($AO408=1,SUMPRODUCT(--($AS$2:$AS$1001&lt;$AS408))+1,"")</f>
        <v/>
      </c>
      <c r="AQ408">
        <f>IF($E408="","",IF(OR($V408=TRUE(),$V408="TRUE"),1,0))</f>
        <v/>
      </c>
      <c r="AR408">
        <f>IF($E408="","",IF($AE408="Yes",1,0))</f>
        <v/>
      </c>
      <c r="AS408">
        <f>IF($AO408=1,IFERROR(IF(VALUE($E408)&lt;100000000,VALUE($E408),1000000000),IFERROR(IF(VALUE(MID($E408,2,20))&lt;100000000,VALUE(MID($E408,2,20)),1000000000),1000000000))+ROW()/100000,"")</f>
        <v/>
      </c>
    </row>
    <row r="409">
      <c r="D409">
        <f>IF($E409="","",IFERROR(IF(INDEX('Per Invoice'!$A$2:$A$301,MATCH($E409,'Per Invoice'!$B$2:$B$301,0))=0,"",INDEX('Per Invoice'!$A$2:$A$301,MATCH($E409,'Per Invoice'!$B$2:$B$301,0))),""))</f>
        <v/>
      </c>
      <c r="H409" s="11" t="n"/>
      <c r="R409" s="7">
        <f>IF($E409="","",Q409*Z409/100)</f>
        <v/>
      </c>
      <c r="S409" s="7" t="n"/>
      <c r="Y409" s="7" t="n"/>
      <c r="Z409" s="7" t="n"/>
      <c r="AA409" s="7">
        <f>IF($E409="","",Z409*AF409/100)</f>
        <v/>
      </c>
      <c r="AB409" s="7">
        <f>IF($E409="","",Z409-AA409)</f>
        <v/>
      </c>
      <c r="AC409" s="7">
        <f>IF($E409="","",AB409-R409)</f>
        <v/>
      </c>
      <c r="AF409">
        <f>IF($E409="","",IF($AR409=1,0,IF($AQ409=1,Settings!$C$6,Settings!$C$7))*100)</f>
        <v/>
      </c>
      <c r="AJ409" s="7" t="n"/>
      <c r="AM409" s="11" t="n"/>
      <c r="AO409">
        <f>IF($E409="","",IF(COUNTIF($E$2:$E409,$E409)=1,1,0))</f>
        <v/>
      </c>
      <c r="AP409">
        <f>IF($AO409=1,SUMPRODUCT(--($AS$2:$AS$1001&lt;$AS409))+1,"")</f>
        <v/>
      </c>
      <c r="AQ409">
        <f>IF($E409="","",IF(OR($V409=TRUE(),$V409="TRUE"),1,0))</f>
        <v/>
      </c>
      <c r="AR409">
        <f>IF($E409="","",IF($AE409="Yes",1,0))</f>
        <v/>
      </c>
      <c r="AS409">
        <f>IF($AO409=1,IFERROR(IF(VALUE($E409)&lt;100000000,VALUE($E409),1000000000),IFERROR(IF(VALUE(MID($E409,2,20))&lt;100000000,VALUE(MID($E409,2,20)),1000000000),1000000000))+ROW()/100000,"")</f>
        <v/>
      </c>
    </row>
    <row r="410">
      <c r="D410">
        <f>IF($E410="","",IFERROR(IF(INDEX('Per Invoice'!$A$2:$A$301,MATCH($E410,'Per Invoice'!$B$2:$B$301,0))=0,"",INDEX('Per Invoice'!$A$2:$A$301,MATCH($E410,'Per Invoice'!$B$2:$B$301,0))),""))</f>
        <v/>
      </c>
      <c r="H410" s="11" t="n"/>
      <c r="R410" s="7">
        <f>IF($E410="","",Q410*Z410/100)</f>
        <v/>
      </c>
      <c r="S410" s="7" t="n"/>
      <c r="Y410" s="7" t="n"/>
      <c r="Z410" s="7" t="n"/>
      <c r="AA410" s="7">
        <f>IF($E410="","",Z410*AF410/100)</f>
        <v/>
      </c>
      <c r="AB410" s="7">
        <f>IF($E410="","",Z410-AA410)</f>
        <v/>
      </c>
      <c r="AC410" s="7">
        <f>IF($E410="","",AB410-R410)</f>
        <v/>
      </c>
      <c r="AF410">
        <f>IF($E410="","",IF($AR410=1,0,IF($AQ410=1,Settings!$C$6,Settings!$C$7))*100)</f>
        <v/>
      </c>
      <c r="AJ410" s="7" t="n"/>
      <c r="AM410" s="11" t="n"/>
      <c r="AO410">
        <f>IF($E410="","",IF(COUNTIF($E$2:$E410,$E410)=1,1,0))</f>
        <v/>
      </c>
      <c r="AP410">
        <f>IF($AO410=1,SUMPRODUCT(--($AS$2:$AS$1001&lt;$AS410))+1,"")</f>
        <v/>
      </c>
      <c r="AQ410">
        <f>IF($E410="","",IF(OR($V410=TRUE(),$V410="TRUE"),1,0))</f>
        <v/>
      </c>
      <c r="AR410">
        <f>IF($E410="","",IF($AE410="Yes",1,0))</f>
        <v/>
      </c>
      <c r="AS410">
        <f>IF($AO410=1,IFERROR(IF(VALUE($E410)&lt;100000000,VALUE($E410),1000000000),IFERROR(IF(VALUE(MID($E410,2,20))&lt;100000000,VALUE(MID($E410,2,20)),1000000000),1000000000))+ROW()/100000,"")</f>
        <v/>
      </c>
    </row>
    <row r="411">
      <c r="D411">
        <f>IF($E411="","",IFERROR(IF(INDEX('Per Invoice'!$A$2:$A$301,MATCH($E411,'Per Invoice'!$B$2:$B$301,0))=0,"",INDEX('Per Invoice'!$A$2:$A$301,MATCH($E411,'Per Invoice'!$B$2:$B$301,0))),""))</f>
        <v/>
      </c>
      <c r="H411" s="11" t="n"/>
      <c r="R411" s="7">
        <f>IF($E411="","",Q411*Z411/100)</f>
        <v/>
      </c>
      <c r="S411" s="7" t="n"/>
      <c r="Y411" s="7" t="n"/>
      <c r="Z411" s="7" t="n"/>
      <c r="AA411" s="7">
        <f>IF($E411="","",Z411*AF411/100)</f>
        <v/>
      </c>
      <c r="AB411" s="7">
        <f>IF($E411="","",Z411-AA411)</f>
        <v/>
      </c>
      <c r="AC411" s="7">
        <f>IF($E411="","",AB411-R411)</f>
        <v/>
      </c>
      <c r="AF411">
        <f>IF($E411="","",IF($AR411=1,0,IF($AQ411=1,Settings!$C$6,Settings!$C$7))*100)</f>
        <v/>
      </c>
      <c r="AJ411" s="7" t="n"/>
      <c r="AM411" s="11" t="n"/>
      <c r="AO411">
        <f>IF($E411="","",IF(COUNTIF($E$2:$E411,$E411)=1,1,0))</f>
        <v/>
      </c>
      <c r="AP411">
        <f>IF($AO411=1,SUMPRODUCT(--($AS$2:$AS$1001&lt;$AS411))+1,"")</f>
        <v/>
      </c>
      <c r="AQ411">
        <f>IF($E411="","",IF(OR($V411=TRUE(),$V411="TRUE"),1,0))</f>
        <v/>
      </c>
      <c r="AR411">
        <f>IF($E411="","",IF($AE411="Yes",1,0))</f>
        <v/>
      </c>
      <c r="AS411">
        <f>IF($AO411=1,IFERROR(IF(VALUE($E411)&lt;100000000,VALUE($E411),1000000000),IFERROR(IF(VALUE(MID($E411,2,20))&lt;100000000,VALUE(MID($E411,2,20)),1000000000),1000000000))+ROW()/100000,"")</f>
        <v/>
      </c>
    </row>
    <row r="412">
      <c r="D412">
        <f>IF($E412="","",IFERROR(IF(INDEX('Per Invoice'!$A$2:$A$301,MATCH($E412,'Per Invoice'!$B$2:$B$301,0))=0,"",INDEX('Per Invoice'!$A$2:$A$301,MATCH($E412,'Per Invoice'!$B$2:$B$301,0))),""))</f>
        <v/>
      </c>
      <c r="H412" s="11" t="n"/>
      <c r="R412" s="7">
        <f>IF($E412="","",Q412*Z412/100)</f>
        <v/>
      </c>
      <c r="S412" s="7" t="n"/>
      <c r="Y412" s="7" t="n"/>
      <c r="Z412" s="7" t="n"/>
      <c r="AA412" s="7">
        <f>IF($E412="","",Z412*AF412/100)</f>
        <v/>
      </c>
      <c r="AB412" s="7">
        <f>IF($E412="","",Z412-AA412)</f>
        <v/>
      </c>
      <c r="AC412" s="7">
        <f>IF($E412="","",AB412-R412)</f>
        <v/>
      </c>
      <c r="AF412">
        <f>IF($E412="","",IF($AR412=1,0,IF($AQ412=1,Settings!$C$6,Settings!$C$7))*100)</f>
        <v/>
      </c>
      <c r="AJ412" s="7" t="n"/>
      <c r="AM412" s="11" t="n"/>
      <c r="AO412">
        <f>IF($E412="","",IF(COUNTIF($E$2:$E412,$E412)=1,1,0))</f>
        <v/>
      </c>
      <c r="AP412">
        <f>IF($AO412=1,SUMPRODUCT(--($AS$2:$AS$1001&lt;$AS412))+1,"")</f>
        <v/>
      </c>
      <c r="AQ412">
        <f>IF($E412="","",IF(OR($V412=TRUE(),$V412="TRUE"),1,0))</f>
        <v/>
      </c>
      <c r="AR412">
        <f>IF($E412="","",IF($AE412="Yes",1,0))</f>
        <v/>
      </c>
      <c r="AS412">
        <f>IF($AO412=1,IFERROR(IF(VALUE($E412)&lt;100000000,VALUE($E412),1000000000),IFERROR(IF(VALUE(MID($E412,2,20))&lt;100000000,VALUE(MID($E412,2,20)),1000000000),1000000000))+ROW()/100000,"")</f>
        <v/>
      </c>
    </row>
    <row r="413">
      <c r="D413">
        <f>IF($E413="","",IFERROR(IF(INDEX('Per Invoice'!$A$2:$A$301,MATCH($E413,'Per Invoice'!$B$2:$B$301,0))=0,"",INDEX('Per Invoice'!$A$2:$A$301,MATCH($E413,'Per Invoice'!$B$2:$B$301,0))),""))</f>
        <v/>
      </c>
      <c r="H413" s="11" t="n"/>
      <c r="R413" s="7">
        <f>IF($E413="","",Q413*Z413/100)</f>
        <v/>
      </c>
      <c r="S413" s="7" t="n"/>
      <c r="Y413" s="7" t="n"/>
      <c r="Z413" s="7" t="n"/>
      <c r="AA413" s="7">
        <f>IF($E413="","",Z413*AF413/100)</f>
        <v/>
      </c>
      <c r="AB413" s="7">
        <f>IF($E413="","",Z413-AA413)</f>
        <v/>
      </c>
      <c r="AC413" s="7">
        <f>IF($E413="","",AB413-R413)</f>
        <v/>
      </c>
      <c r="AF413">
        <f>IF($E413="","",IF($AR413=1,0,IF($AQ413=1,Settings!$C$6,Settings!$C$7))*100)</f>
        <v/>
      </c>
      <c r="AJ413" s="7" t="n"/>
      <c r="AM413" s="11" t="n"/>
      <c r="AO413">
        <f>IF($E413="","",IF(COUNTIF($E$2:$E413,$E413)=1,1,0))</f>
        <v/>
      </c>
      <c r="AP413">
        <f>IF($AO413=1,SUMPRODUCT(--($AS$2:$AS$1001&lt;$AS413))+1,"")</f>
        <v/>
      </c>
      <c r="AQ413">
        <f>IF($E413="","",IF(OR($V413=TRUE(),$V413="TRUE"),1,0))</f>
        <v/>
      </c>
      <c r="AR413">
        <f>IF($E413="","",IF($AE413="Yes",1,0))</f>
        <v/>
      </c>
      <c r="AS413">
        <f>IF($AO413=1,IFERROR(IF(VALUE($E413)&lt;100000000,VALUE($E413),1000000000),IFERROR(IF(VALUE(MID($E413,2,20))&lt;100000000,VALUE(MID($E413,2,20)),1000000000),1000000000))+ROW()/100000,"")</f>
        <v/>
      </c>
    </row>
    <row r="414">
      <c r="D414">
        <f>IF($E414="","",IFERROR(IF(INDEX('Per Invoice'!$A$2:$A$301,MATCH($E414,'Per Invoice'!$B$2:$B$301,0))=0,"",INDEX('Per Invoice'!$A$2:$A$301,MATCH($E414,'Per Invoice'!$B$2:$B$301,0))),""))</f>
        <v/>
      </c>
      <c r="H414" s="11" t="n"/>
      <c r="R414" s="7">
        <f>IF($E414="","",Q414*Z414/100)</f>
        <v/>
      </c>
      <c r="S414" s="7" t="n"/>
      <c r="Y414" s="7" t="n"/>
      <c r="Z414" s="7" t="n"/>
      <c r="AA414" s="7">
        <f>IF($E414="","",Z414*AF414/100)</f>
        <v/>
      </c>
      <c r="AB414" s="7">
        <f>IF($E414="","",Z414-AA414)</f>
        <v/>
      </c>
      <c r="AC414" s="7">
        <f>IF($E414="","",AB414-R414)</f>
        <v/>
      </c>
      <c r="AF414">
        <f>IF($E414="","",IF($AR414=1,0,IF($AQ414=1,Settings!$C$6,Settings!$C$7))*100)</f>
        <v/>
      </c>
      <c r="AJ414" s="7" t="n"/>
      <c r="AM414" s="11" t="n"/>
      <c r="AO414">
        <f>IF($E414="","",IF(COUNTIF($E$2:$E414,$E414)=1,1,0))</f>
        <v/>
      </c>
      <c r="AP414">
        <f>IF($AO414=1,SUMPRODUCT(--($AS$2:$AS$1001&lt;$AS414))+1,"")</f>
        <v/>
      </c>
      <c r="AQ414">
        <f>IF($E414="","",IF(OR($V414=TRUE(),$V414="TRUE"),1,0))</f>
        <v/>
      </c>
      <c r="AR414">
        <f>IF($E414="","",IF($AE414="Yes",1,0))</f>
        <v/>
      </c>
      <c r="AS414">
        <f>IF($AO414=1,IFERROR(IF(VALUE($E414)&lt;100000000,VALUE($E414),1000000000),IFERROR(IF(VALUE(MID($E414,2,20))&lt;100000000,VALUE(MID($E414,2,20)),1000000000),1000000000))+ROW()/100000,"")</f>
        <v/>
      </c>
    </row>
    <row r="415">
      <c r="D415">
        <f>IF($E415="","",IFERROR(IF(INDEX('Per Invoice'!$A$2:$A$301,MATCH($E415,'Per Invoice'!$B$2:$B$301,0))=0,"",INDEX('Per Invoice'!$A$2:$A$301,MATCH($E415,'Per Invoice'!$B$2:$B$301,0))),""))</f>
        <v/>
      </c>
      <c r="H415" s="11" t="n"/>
      <c r="R415" s="7">
        <f>IF($E415="","",Q415*Z415/100)</f>
        <v/>
      </c>
      <c r="S415" s="7" t="n"/>
      <c r="Y415" s="7" t="n"/>
      <c r="Z415" s="7" t="n"/>
      <c r="AA415" s="7">
        <f>IF($E415="","",Z415*AF415/100)</f>
        <v/>
      </c>
      <c r="AB415" s="7">
        <f>IF($E415="","",Z415-AA415)</f>
        <v/>
      </c>
      <c r="AC415" s="7">
        <f>IF($E415="","",AB415-R415)</f>
        <v/>
      </c>
      <c r="AF415">
        <f>IF($E415="","",IF($AR415=1,0,IF($AQ415=1,Settings!$C$6,Settings!$C$7))*100)</f>
        <v/>
      </c>
      <c r="AJ415" s="7" t="n"/>
      <c r="AM415" s="11" t="n"/>
      <c r="AO415">
        <f>IF($E415="","",IF(COUNTIF($E$2:$E415,$E415)=1,1,0))</f>
        <v/>
      </c>
      <c r="AP415">
        <f>IF($AO415=1,SUMPRODUCT(--($AS$2:$AS$1001&lt;$AS415))+1,"")</f>
        <v/>
      </c>
      <c r="AQ415">
        <f>IF($E415="","",IF(OR($V415=TRUE(),$V415="TRUE"),1,0))</f>
        <v/>
      </c>
      <c r="AR415">
        <f>IF($E415="","",IF($AE415="Yes",1,0))</f>
        <v/>
      </c>
      <c r="AS415">
        <f>IF($AO415=1,IFERROR(IF(VALUE($E415)&lt;100000000,VALUE($E415),1000000000),IFERROR(IF(VALUE(MID($E415,2,20))&lt;100000000,VALUE(MID($E415,2,20)),1000000000),1000000000))+ROW()/100000,"")</f>
        <v/>
      </c>
    </row>
    <row r="416">
      <c r="D416">
        <f>IF($E416="","",IFERROR(IF(INDEX('Per Invoice'!$A$2:$A$301,MATCH($E416,'Per Invoice'!$B$2:$B$301,0))=0,"",INDEX('Per Invoice'!$A$2:$A$301,MATCH($E416,'Per Invoice'!$B$2:$B$301,0))),""))</f>
        <v/>
      </c>
      <c r="H416" s="11" t="n"/>
      <c r="R416" s="7">
        <f>IF($E416="","",Q416*Z416/100)</f>
        <v/>
      </c>
      <c r="S416" s="7" t="n"/>
      <c r="Y416" s="7" t="n"/>
      <c r="Z416" s="7" t="n"/>
      <c r="AA416" s="7">
        <f>IF($E416="","",Z416*AF416/100)</f>
        <v/>
      </c>
      <c r="AB416" s="7">
        <f>IF($E416="","",Z416-AA416)</f>
        <v/>
      </c>
      <c r="AC416" s="7">
        <f>IF($E416="","",AB416-R416)</f>
        <v/>
      </c>
      <c r="AF416">
        <f>IF($E416="","",IF($AR416=1,0,IF($AQ416=1,Settings!$C$6,Settings!$C$7))*100)</f>
        <v/>
      </c>
      <c r="AJ416" s="7" t="n"/>
      <c r="AM416" s="11" t="n"/>
      <c r="AO416">
        <f>IF($E416="","",IF(COUNTIF($E$2:$E416,$E416)=1,1,0))</f>
        <v/>
      </c>
      <c r="AP416">
        <f>IF($AO416=1,SUMPRODUCT(--($AS$2:$AS$1001&lt;$AS416))+1,"")</f>
        <v/>
      </c>
      <c r="AQ416">
        <f>IF($E416="","",IF(OR($V416=TRUE(),$V416="TRUE"),1,0))</f>
        <v/>
      </c>
      <c r="AR416">
        <f>IF($E416="","",IF($AE416="Yes",1,0))</f>
        <v/>
      </c>
      <c r="AS416">
        <f>IF($AO416=1,IFERROR(IF(VALUE($E416)&lt;100000000,VALUE($E416),1000000000),IFERROR(IF(VALUE(MID($E416,2,20))&lt;100000000,VALUE(MID($E416,2,20)),1000000000),1000000000))+ROW()/100000,"")</f>
        <v/>
      </c>
    </row>
    <row r="417">
      <c r="D417">
        <f>IF($E417="","",IFERROR(IF(INDEX('Per Invoice'!$A$2:$A$301,MATCH($E417,'Per Invoice'!$B$2:$B$301,0))=0,"",INDEX('Per Invoice'!$A$2:$A$301,MATCH($E417,'Per Invoice'!$B$2:$B$301,0))),""))</f>
        <v/>
      </c>
      <c r="H417" s="11" t="n"/>
      <c r="R417" s="7">
        <f>IF($E417="","",Q417*Z417/100)</f>
        <v/>
      </c>
      <c r="S417" s="7" t="n"/>
      <c r="Y417" s="7" t="n"/>
      <c r="Z417" s="7" t="n"/>
      <c r="AA417" s="7">
        <f>IF($E417="","",Z417*AF417/100)</f>
        <v/>
      </c>
      <c r="AB417" s="7">
        <f>IF($E417="","",Z417-AA417)</f>
        <v/>
      </c>
      <c r="AC417" s="7">
        <f>IF($E417="","",AB417-R417)</f>
        <v/>
      </c>
      <c r="AF417">
        <f>IF($E417="","",IF($AR417=1,0,IF($AQ417=1,Settings!$C$6,Settings!$C$7))*100)</f>
        <v/>
      </c>
      <c r="AJ417" s="7" t="n"/>
      <c r="AM417" s="11" t="n"/>
      <c r="AO417">
        <f>IF($E417="","",IF(COUNTIF($E$2:$E417,$E417)=1,1,0))</f>
        <v/>
      </c>
      <c r="AP417">
        <f>IF($AO417=1,SUMPRODUCT(--($AS$2:$AS$1001&lt;$AS417))+1,"")</f>
        <v/>
      </c>
      <c r="AQ417">
        <f>IF($E417="","",IF(OR($V417=TRUE(),$V417="TRUE"),1,0))</f>
        <v/>
      </c>
      <c r="AR417">
        <f>IF($E417="","",IF($AE417="Yes",1,0))</f>
        <v/>
      </c>
      <c r="AS417">
        <f>IF($AO417=1,IFERROR(IF(VALUE($E417)&lt;100000000,VALUE($E417),1000000000),IFERROR(IF(VALUE(MID($E417,2,20))&lt;100000000,VALUE(MID($E417,2,20)),1000000000),1000000000))+ROW()/100000,"")</f>
        <v/>
      </c>
    </row>
    <row r="418">
      <c r="D418">
        <f>IF($E418="","",IFERROR(IF(INDEX('Per Invoice'!$A$2:$A$301,MATCH($E418,'Per Invoice'!$B$2:$B$301,0))=0,"",INDEX('Per Invoice'!$A$2:$A$301,MATCH($E418,'Per Invoice'!$B$2:$B$301,0))),""))</f>
        <v/>
      </c>
      <c r="H418" s="11" t="n"/>
      <c r="R418" s="7">
        <f>IF($E418="","",Q418*Z418/100)</f>
        <v/>
      </c>
      <c r="S418" s="7" t="n"/>
      <c r="Y418" s="7" t="n"/>
      <c r="Z418" s="7" t="n"/>
      <c r="AA418" s="7">
        <f>IF($E418="","",Z418*AF418/100)</f>
        <v/>
      </c>
      <c r="AB418" s="7">
        <f>IF($E418="","",Z418-AA418)</f>
        <v/>
      </c>
      <c r="AC418" s="7">
        <f>IF($E418="","",AB418-R418)</f>
        <v/>
      </c>
      <c r="AF418">
        <f>IF($E418="","",IF($AR418=1,0,IF($AQ418=1,Settings!$C$6,Settings!$C$7))*100)</f>
        <v/>
      </c>
      <c r="AJ418" s="7" t="n"/>
      <c r="AM418" s="11" t="n"/>
      <c r="AO418">
        <f>IF($E418="","",IF(COUNTIF($E$2:$E418,$E418)=1,1,0))</f>
        <v/>
      </c>
      <c r="AP418">
        <f>IF($AO418=1,SUMPRODUCT(--($AS$2:$AS$1001&lt;$AS418))+1,"")</f>
        <v/>
      </c>
      <c r="AQ418">
        <f>IF($E418="","",IF(OR($V418=TRUE(),$V418="TRUE"),1,0))</f>
        <v/>
      </c>
      <c r="AR418">
        <f>IF($E418="","",IF($AE418="Yes",1,0))</f>
        <v/>
      </c>
      <c r="AS418">
        <f>IF($AO418=1,IFERROR(IF(VALUE($E418)&lt;100000000,VALUE($E418),1000000000),IFERROR(IF(VALUE(MID($E418,2,20))&lt;100000000,VALUE(MID($E418,2,20)),1000000000),1000000000))+ROW()/100000,"")</f>
        <v/>
      </c>
    </row>
    <row r="419">
      <c r="D419">
        <f>IF($E419="","",IFERROR(IF(INDEX('Per Invoice'!$A$2:$A$301,MATCH($E419,'Per Invoice'!$B$2:$B$301,0))=0,"",INDEX('Per Invoice'!$A$2:$A$301,MATCH($E419,'Per Invoice'!$B$2:$B$301,0))),""))</f>
        <v/>
      </c>
      <c r="H419" s="11" t="n"/>
      <c r="R419" s="7">
        <f>IF($E419="","",Q419*Z419/100)</f>
        <v/>
      </c>
      <c r="S419" s="7" t="n"/>
      <c r="Y419" s="7" t="n"/>
      <c r="Z419" s="7" t="n"/>
      <c r="AA419" s="7">
        <f>IF($E419="","",Z419*AF419/100)</f>
        <v/>
      </c>
      <c r="AB419" s="7">
        <f>IF($E419="","",Z419-AA419)</f>
        <v/>
      </c>
      <c r="AC419" s="7">
        <f>IF($E419="","",AB419-R419)</f>
        <v/>
      </c>
      <c r="AF419">
        <f>IF($E419="","",IF($AR419=1,0,IF($AQ419=1,Settings!$C$6,Settings!$C$7))*100)</f>
        <v/>
      </c>
      <c r="AJ419" s="7" t="n"/>
      <c r="AM419" s="11" t="n"/>
      <c r="AO419">
        <f>IF($E419="","",IF(COUNTIF($E$2:$E419,$E419)=1,1,0))</f>
        <v/>
      </c>
      <c r="AP419">
        <f>IF($AO419=1,SUMPRODUCT(--($AS$2:$AS$1001&lt;$AS419))+1,"")</f>
        <v/>
      </c>
      <c r="AQ419">
        <f>IF($E419="","",IF(OR($V419=TRUE(),$V419="TRUE"),1,0))</f>
        <v/>
      </c>
      <c r="AR419">
        <f>IF($E419="","",IF($AE419="Yes",1,0))</f>
        <v/>
      </c>
      <c r="AS419">
        <f>IF($AO419=1,IFERROR(IF(VALUE($E419)&lt;100000000,VALUE($E419),1000000000),IFERROR(IF(VALUE(MID($E419,2,20))&lt;100000000,VALUE(MID($E419,2,20)),1000000000),1000000000))+ROW()/100000,"")</f>
        <v/>
      </c>
    </row>
    <row r="420">
      <c r="D420">
        <f>IF($E420="","",IFERROR(IF(INDEX('Per Invoice'!$A$2:$A$301,MATCH($E420,'Per Invoice'!$B$2:$B$301,0))=0,"",INDEX('Per Invoice'!$A$2:$A$301,MATCH($E420,'Per Invoice'!$B$2:$B$301,0))),""))</f>
        <v/>
      </c>
      <c r="H420" s="11" t="n"/>
      <c r="R420" s="7">
        <f>IF($E420="","",Q420*Z420/100)</f>
        <v/>
      </c>
      <c r="S420" s="7" t="n"/>
      <c r="Y420" s="7" t="n"/>
      <c r="Z420" s="7" t="n"/>
      <c r="AA420" s="7">
        <f>IF($E420="","",Z420*AF420/100)</f>
        <v/>
      </c>
      <c r="AB420" s="7">
        <f>IF($E420="","",Z420-AA420)</f>
        <v/>
      </c>
      <c r="AC420" s="7">
        <f>IF($E420="","",AB420-R420)</f>
        <v/>
      </c>
      <c r="AF420">
        <f>IF($E420="","",IF($AR420=1,0,IF($AQ420=1,Settings!$C$6,Settings!$C$7))*100)</f>
        <v/>
      </c>
      <c r="AJ420" s="7" t="n"/>
      <c r="AM420" s="11" t="n"/>
      <c r="AO420">
        <f>IF($E420="","",IF(COUNTIF($E$2:$E420,$E420)=1,1,0))</f>
        <v/>
      </c>
      <c r="AP420">
        <f>IF($AO420=1,SUMPRODUCT(--($AS$2:$AS$1001&lt;$AS420))+1,"")</f>
        <v/>
      </c>
      <c r="AQ420">
        <f>IF($E420="","",IF(OR($V420=TRUE(),$V420="TRUE"),1,0))</f>
        <v/>
      </c>
      <c r="AR420">
        <f>IF($E420="","",IF($AE420="Yes",1,0))</f>
        <v/>
      </c>
      <c r="AS420">
        <f>IF($AO420=1,IFERROR(IF(VALUE($E420)&lt;100000000,VALUE($E420),1000000000),IFERROR(IF(VALUE(MID($E420,2,20))&lt;100000000,VALUE(MID($E420,2,20)),1000000000),1000000000))+ROW()/100000,"")</f>
        <v/>
      </c>
    </row>
    <row r="421">
      <c r="D421">
        <f>IF($E421="","",IFERROR(IF(INDEX('Per Invoice'!$A$2:$A$301,MATCH($E421,'Per Invoice'!$B$2:$B$301,0))=0,"",INDEX('Per Invoice'!$A$2:$A$301,MATCH($E421,'Per Invoice'!$B$2:$B$301,0))),""))</f>
        <v/>
      </c>
      <c r="H421" s="11" t="n"/>
      <c r="R421" s="7">
        <f>IF($E421="","",Q421*Z421/100)</f>
        <v/>
      </c>
      <c r="S421" s="7" t="n"/>
      <c r="Y421" s="7" t="n"/>
      <c r="Z421" s="7" t="n"/>
      <c r="AA421" s="7">
        <f>IF($E421="","",Z421*AF421/100)</f>
        <v/>
      </c>
      <c r="AB421" s="7">
        <f>IF($E421="","",Z421-AA421)</f>
        <v/>
      </c>
      <c r="AC421" s="7">
        <f>IF($E421="","",AB421-R421)</f>
        <v/>
      </c>
      <c r="AF421">
        <f>IF($E421="","",IF($AR421=1,0,IF($AQ421=1,Settings!$C$6,Settings!$C$7))*100)</f>
        <v/>
      </c>
      <c r="AJ421" s="7" t="n"/>
      <c r="AM421" s="11" t="n"/>
      <c r="AO421">
        <f>IF($E421="","",IF(COUNTIF($E$2:$E421,$E421)=1,1,0))</f>
        <v/>
      </c>
      <c r="AP421">
        <f>IF($AO421=1,SUMPRODUCT(--($AS$2:$AS$1001&lt;$AS421))+1,"")</f>
        <v/>
      </c>
      <c r="AQ421">
        <f>IF($E421="","",IF(OR($V421=TRUE(),$V421="TRUE"),1,0))</f>
        <v/>
      </c>
      <c r="AR421">
        <f>IF($E421="","",IF($AE421="Yes",1,0))</f>
        <v/>
      </c>
      <c r="AS421">
        <f>IF($AO421=1,IFERROR(IF(VALUE($E421)&lt;100000000,VALUE($E421),1000000000),IFERROR(IF(VALUE(MID($E421,2,20))&lt;100000000,VALUE(MID($E421,2,20)),1000000000),1000000000))+ROW()/100000,"")</f>
        <v/>
      </c>
    </row>
    <row r="422">
      <c r="D422">
        <f>IF($E422="","",IFERROR(IF(INDEX('Per Invoice'!$A$2:$A$301,MATCH($E422,'Per Invoice'!$B$2:$B$301,0))=0,"",INDEX('Per Invoice'!$A$2:$A$301,MATCH($E422,'Per Invoice'!$B$2:$B$301,0))),""))</f>
        <v/>
      </c>
      <c r="H422" s="11" t="n"/>
      <c r="R422" s="7">
        <f>IF($E422="","",Q422*Z422/100)</f>
        <v/>
      </c>
      <c r="S422" s="7" t="n"/>
      <c r="Y422" s="7" t="n"/>
      <c r="Z422" s="7" t="n"/>
      <c r="AA422" s="7">
        <f>IF($E422="","",Z422*AF422/100)</f>
        <v/>
      </c>
      <c r="AB422" s="7">
        <f>IF($E422="","",Z422-AA422)</f>
        <v/>
      </c>
      <c r="AC422" s="7">
        <f>IF($E422="","",AB422-R422)</f>
        <v/>
      </c>
      <c r="AF422">
        <f>IF($E422="","",IF($AR422=1,0,IF($AQ422=1,Settings!$C$6,Settings!$C$7))*100)</f>
        <v/>
      </c>
      <c r="AJ422" s="7" t="n"/>
      <c r="AM422" s="11" t="n"/>
      <c r="AO422">
        <f>IF($E422="","",IF(COUNTIF($E$2:$E422,$E422)=1,1,0))</f>
        <v/>
      </c>
      <c r="AP422">
        <f>IF($AO422=1,SUMPRODUCT(--($AS$2:$AS$1001&lt;$AS422))+1,"")</f>
        <v/>
      </c>
      <c r="AQ422">
        <f>IF($E422="","",IF(OR($V422=TRUE(),$V422="TRUE"),1,0))</f>
        <v/>
      </c>
      <c r="AR422">
        <f>IF($E422="","",IF($AE422="Yes",1,0))</f>
        <v/>
      </c>
      <c r="AS422">
        <f>IF($AO422=1,IFERROR(IF(VALUE($E422)&lt;100000000,VALUE($E422),1000000000),IFERROR(IF(VALUE(MID($E422,2,20))&lt;100000000,VALUE(MID($E422,2,20)),1000000000),1000000000))+ROW()/100000,"")</f>
        <v/>
      </c>
    </row>
    <row r="423">
      <c r="D423">
        <f>IF($E423="","",IFERROR(IF(INDEX('Per Invoice'!$A$2:$A$301,MATCH($E423,'Per Invoice'!$B$2:$B$301,0))=0,"",INDEX('Per Invoice'!$A$2:$A$301,MATCH($E423,'Per Invoice'!$B$2:$B$301,0))),""))</f>
        <v/>
      </c>
      <c r="H423" s="11" t="n"/>
      <c r="R423" s="7">
        <f>IF($E423="","",Q423*Z423/100)</f>
        <v/>
      </c>
      <c r="S423" s="7" t="n"/>
      <c r="Y423" s="7" t="n"/>
      <c r="Z423" s="7" t="n"/>
      <c r="AA423" s="7">
        <f>IF($E423="","",Z423*AF423/100)</f>
        <v/>
      </c>
      <c r="AB423" s="7">
        <f>IF($E423="","",Z423-AA423)</f>
        <v/>
      </c>
      <c r="AC423" s="7">
        <f>IF($E423="","",AB423-R423)</f>
        <v/>
      </c>
      <c r="AF423">
        <f>IF($E423="","",IF($AR423=1,0,IF($AQ423=1,Settings!$C$6,Settings!$C$7))*100)</f>
        <v/>
      </c>
      <c r="AJ423" s="7" t="n"/>
      <c r="AM423" s="11" t="n"/>
      <c r="AO423">
        <f>IF($E423="","",IF(COUNTIF($E$2:$E423,$E423)=1,1,0))</f>
        <v/>
      </c>
      <c r="AP423">
        <f>IF($AO423=1,SUMPRODUCT(--($AS$2:$AS$1001&lt;$AS423))+1,"")</f>
        <v/>
      </c>
      <c r="AQ423">
        <f>IF($E423="","",IF(OR($V423=TRUE(),$V423="TRUE"),1,0))</f>
        <v/>
      </c>
      <c r="AR423">
        <f>IF($E423="","",IF($AE423="Yes",1,0))</f>
        <v/>
      </c>
      <c r="AS423">
        <f>IF($AO423=1,IFERROR(IF(VALUE($E423)&lt;100000000,VALUE($E423),1000000000),IFERROR(IF(VALUE(MID($E423,2,20))&lt;100000000,VALUE(MID($E423,2,20)),1000000000),1000000000))+ROW()/100000,"")</f>
        <v/>
      </c>
    </row>
    <row r="424">
      <c r="D424">
        <f>IF($E424="","",IFERROR(IF(INDEX('Per Invoice'!$A$2:$A$301,MATCH($E424,'Per Invoice'!$B$2:$B$301,0))=0,"",INDEX('Per Invoice'!$A$2:$A$301,MATCH($E424,'Per Invoice'!$B$2:$B$301,0))),""))</f>
        <v/>
      </c>
      <c r="H424" s="11" t="n"/>
      <c r="R424" s="7">
        <f>IF($E424="","",Q424*Z424/100)</f>
        <v/>
      </c>
      <c r="S424" s="7" t="n"/>
      <c r="Y424" s="7" t="n"/>
      <c r="Z424" s="7" t="n"/>
      <c r="AA424" s="7">
        <f>IF($E424="","",Z424*AF424/100)</f>
        <v/>
      </c>
      <c r="AB424" s="7">
        <f>IF($E424="","",Z424-AA424)</f>
        <v/>
      </c>
      <c r="AC424" s="7">
        <f>IF($E424="","",AB424-R424)</f>
        <v/>
      </c>
      <c r="AF424">
        <f>IF($E424="","",IF($AR424=1,0,IF($AQ424=1,Settings!$C$6,Settings!$C$7))*100)</f>
        <v/>
      </c>
      <c r="AJ424" s="7" t="n"/>
      <c r="AM424" s="11" t="n"/>
      <c r="AO424">
        <f>IF($E424="","",IF(COUNTIF($E$2:$E424,$E424)=1,1,0))</f>
        <v/>
      </c>
      <c r="AP424">
        <f>IF($AO424=1,SUMPRODUCT(--($AS$2:$AS$1001&lt;$AS424))+1,"")</f>
        <v/>
      </c>
      <c r="AQ424">
        <f>IF($E424="","",IF(OR($V424=TRUE(),$V424="TRUE"),1,0))</f>
        <v/>
      </c>
      <c r="AR424">
        <f>IF($E424="","",IF($AE424="Yes",1,0))</f>
        <v/>
      </c>
      <c r="AS424">
        <f>IF($AO424=1,IFERROR(IF(VALUE($E424)&lt;100000000,VALUE($E424),1000000000),IFERROR(IF(VALUE(MID($E424,2,20))&lt;100000000,VALUE(MID($E424,2,20)),1000000000),1000000000))+ROW()/100000,"")</f>
        <v/>
      </c>
    </row>
    <row r="425">
      <c r="D425">
        <f>IF($E425="","",IFERROR(IF(INDEX('Per Invoice'!$A$2:$A$301,MATCH($E425,'Per Invoice'!$B$2:$B$301,0))=0,"",INDEX('Per Invoice'!$A$2:$A$301,MATCH($E425,'Per Invoice'!$B$2:$B$301,0))),""))</f>
        <v/>
      </c>
      <c r="H425" s="11" t="n"/>
      <c r="R425" s="7">
        <f>IF($E425="","",Q425*Z425/100)</f>
        <v/>
      </c>
      <c r="S425" s="7" t="n"/>
      <c r="Y425" s="7" t="n"/>
      <c r="Z425" s="7" t="n"/>
      <c r="AA425" s="7">
        <f>IF($E425="","",Z425*AF425/100)</f>
        <v/>
      </c>
      <c r="AB425" s="7">
        <f>IF($E425="","",Z425-AA425)</f>
        <v/>
      </c>
      <c r="AC425" s="7">
        <f>IF($E425="","",AB425-R425)</f>
        <v/>
      </c>
      <c r="AF425">
        <f>IF($E425="","",IF($AR425=1,0,IF($AQ425=1,Settings!$C$6,Settings!$C$7))*100)</f>
        <v/>
      </c>
      <c r="AJ425" s="7" t="n"/>
      <c r="AM425" s="11" t="n"/>
      <c r="AO425">
        <f>IF($E425="","",IF(COUNTIF($E$2:$E425,$E425)=1,1,0))</f>
        <v/>
      </c>
      <c r="AP425">
        <f>IF($AO425=1,SUMPRODUCT(--($AS$2:$AS$1001&lt;$AS425))+1,"")</f>
        <v/>
      </c>
      <c r="AQ425">
        <f>IF($E425="","",IF(OR($V425=TRUE(),$V425="TRUE"),1,0))</f>
        <v/>
      </c>
      <c r="AR425">
        <f>IF($E425="","",IF($AE425="Yes",1,0))</f>
        <v/>
      </c>
      <c r="AS425">
        <f>IF($AO425=1,IFERROR(IF(VALUE($E425)&lt;100000000,VALUE($E425),1000000000),IFERROR(IF(VALUE(MID($E425,2,20))&lt;100000000,VALUE(MID($E425,2,20)),1000000000),1000000000))+ROW()/100000,"")</f>
        <v/>
      </c>
    </row>
    <row r="426">
      <c r="D426">
        <f>IF($E426="","",IFERROR(IF(INDEX('Per Invoice'!$A$2:$A$301,MATCH($E426,'Per Invoice'!$B$2:$B$301,0))=0,"",INDEX('Per Invoice'!$A$2:$A$301,MATCH($E426,'Per Invoice'!$B$2:$B$301,0))),""))</f>
        <v/>
      </c>
      <c r="H426" s="11" t="n"/>
      <c r="R426" s="7">
        <f>IF($E426="","",Q426*Z426/100)</f>
        <v/>
      </c>
      <c r="S426" s="7" t="n"/>
      <c r="Y426" s="7" t="n"/>
      <c r="Z426" s="7" t="n"/>
      <c r="AA426" s="7">
        <f>IF($E426="","",Z426*AF426/100)</f>
        <v/>
      </c>
      <c r="AB426" s="7">
        <f>IF($E426="","",Z426-AA426)</f>
        <v/>
      </c>
      <c r="AC426" s="7">
        <f>IF($E426="","",AB426-R426)</f>
        <v/>
      </c>
      <c r="AF426">
        <f>IF($E426="","",IF($AR426=1,0,IF($AQ426=1,Settings!$C$6,Settings!$C$7))*100)</f>
        <v/>
      </c>
      <c r="AJ426" s="7" t="n"/>
      <c r="AM426" s="11" t="n"/>
      <c r="AO426">
        <f>IF($E426="","",IF(COUNTIF($E$2:$E426,$E426)=1,1,0))</f>
        <v/>
      </c>
      <c r="AP426">
        <f>IF($AO426=1,SUMPRODUCT(--($AS$2:$AS$1001&lt;$AS426))+1,"")</f>
        <v/>
      </c>
      <c r="AQ426">
        <f>IF($E426="","",IF(OR($V426=TRUE(),$V426="TRUE"),1,0))</f>
        <v/>
      </c>
      <c r="AR426">
        <f>IF($E426="","",IF($AE426="Yes",1,0))</f>
        <v/>
      </c>
      <c r="AS426">
        <f>IF($AO426=1,IFERROR(IF(VALUE($E426)&lt;100000000,VALUE($E426),1000000000),IFERROR(IF(VALUE(MID($E426,2,20))&lt;100000000,VALUE(MID($E426,2,20)),1000000000),1000000000))+ROW()/100000,"")</f>
        <v/>
      </c>
    </row>
    <row r="427">
      <c r="D427">
        <f>IF($E427="","",IFERROR(IF(INDEX('Per Invoice'!$A$2:$A$301,MATCH($E427,'Per Invoice'!$B$2:$B$301,0))=0,"",INDEX('Per Invoice'!$A$2:$A$301,MATCH($E427,'Per Invoice'!$B$2:$B$301,0))),""))</f>
        <v/>
      </c>
      <c r="H427" s="11" t="n"/>
      <c r="R427" s="7">
        <f>IF($E427="","",Q427*Z427/100)</f>
        <v/>
      </c>
      <c r="S427" s="7" t="n"/>
      <c r="Y427" s="7" t="n"/>
      <c r="Z427" s="7" t="n"/>
      <c r="AA427" s="7">
        <f>IF($E427="","",Z427*AF427/100)</f>
        <v/>
      </c>
      <c r="AB427" s="7">
        <f>IF($E427="","",Z427-AA427)</f>
        <v/>
      </c>
      <c r="AC427" s="7">
        <f>IF($E427="","",AB427-R427)</f>
        <v/>
      </c>
      <c r="AF427">
        <f>IF($E427="","",IF($AR427=1,0,IF($AQ427=1,Settings!$C$6,Settings!$C$7))*100)</f>
        <v/>
      </c>
      <c r="AJ427" s="7" t="n"/>
      <c r="AM427" s="11" t="n"/>
      <c r="AO427">
        <f>IF($E427="","",IF(COUNTIF($E$2:$E427,$E427)=1,1,0))</f>
        <v/>
      </c>
      <c r="AP427">
        <f>IF($AO427=1,SUMPRODUCT(--($AS$2:$AS$1001&lt;$AS427))+1,"")</f>
        <v/>
      </c>
      <c r="AQ427">
        <f>IF($E427="","",IF(OR($V427=TRUE(),$V427="TRUE"),1,0))</f>
        <v/>
      </c>
      <c r="AR427">
        <f>IF($E427="","",IF($AE427="Yes",1,0))</f>
        <v/>
      </c>
      <c r="AS427">
        <f>IF($AO427=1,IFERROR(IF(VALUE($E427)&lt;100000000,VALUE($E427),1000000000),IFERROR(IF(VALUE(MID($E427,2,20))&lt;100000000,VALUE(MID($E427,2,20)),1000000000),1000000000))+ROW()/100000,"")</f>
        <v/>
      </c>
    </row>
    <row r="428">
      <c r="D428">
        <f>IF($E428="","",IFERROR(IF(INDEX('Per Invoice'!$A$2:$A$301,MATCH($E428,'Per Invoice'!$B$2:$B$301,0))=0,"",INDEX('Per Invoice'!$A$2:$A$301,MATCH($E428,'Per Invoice'!$B$2:$B$301,0))),""))</f>
        <v/>
      </c>
      <c r="H428" s="11" t="n"/>
      <c r="R428" s="7">
        <f>IF($E428="","",Q428*Z428/100)</f>
        <v/>
      </c>
      <c r="S428" s="7" t="n"/>
      <c r="Y428" s="7" t="n"/>
      <c r="Z428" s="7" t="n"/>
      <c r="AA428" s="7">
        <f>IF($E428="","",Z428*AF428/100)</f>
        <v/>
      </c>
      <c r="AB428" s="7">
        <f>IF($E428="","",Z428-AA428)</f>
        <v/>
      </c>
      <c r="AC428" s="7">
        <f>IF($E428="","",AB428-R428)</f>
        <v/>
      </c>
      <c r="AF428">
        <f>IF($E428="","",IF($AR428=1,0,IF($AQ428=1,Settings!$C$6,Settings!$C$7))*100)</f>
        <v/>
      </c>
      <c r="AJ428" s="7" t="n"/>
      <c r="AM428" s="11" t="n"/>
      <c r="AO428">
        <f>IF($E428="","",IF(COUNTIF($E$2:$E428,$E428)=1,1,0))</f>
        <v/>
      </c>
      <c r="AP428">
        <f>IF($AO428=1,SUMPRODUCT(--($AS$2:$AS$1001&lt;$AS428))+1,"")</f>
        <v/>
      </c>
      <c r="AQ428">
        <f>IF($E428="","",IF(OR($V428=TRUE(),$V428="TRUE"),1,0))</f>
        <v/>
      </c>
      <c r="AR428">
        <f>IF($E428="","",IF($AE428="Yes",1,0))</f>
        <v/>
      </c>
      <c r="AS428">
        <f>IF($AO428=1,IFERROR(IF(VALUE($E428)&lt;100000000,VALUE($E428),1000000000),IFERROR(IF(VALUE(MID($E428,2,20))&lt;100000000,VALUE(MID($E428,2,20)),1000000000),1000000000))+ROW()/100000,"")</f>
        <v/>
      </c>
    </row>
    <row r="429">
      <c r="D429">
        <f>IF($E429="","",IFERROR(IF(INDEX('Per Invoice'!$A$2:$A$301,MATCH($E429,'Per Invoice'!$B$2:$B$301,0))=0,"",INDEX('Per Invoice'!$A$2:$A$301,MATCH($E429,'Per Invoice'!$B$2:$B$301,0))),""))</f>
        <v/>
      </c>
      <c r="H429" s="11" t="n"/>
      <c r="R429" s="7">
        <f>IF($E429="","",Q429*Z429/100)</f>
        <v/>
      </c>
      <c r="S429" s="7" t="n"/>
      <c r="Y429" s="7" t="n"/>
      <c r="Z429" s="7" t="n"/>
      <c r="AA429" s="7">
        <f>IF($E429="","",Z429*AF429/100)</f>
        <v/>
      </c>
      <c r="AB429" s="7">
        <f>IF($E429="","",Z429-AA429)</f>
        <v/>
      </c>
      <c r="AC429" s="7">
        <f>IF($E429="","",AB429-R429)</f>
        <v/>
      </c>
      <c r="AF429">
        <f>IF($E429="","",IF($AR429=1,0,IF($AQ429=1,Settings!$C$6,Settings!$C$7))*100)</f>
        <v/>
      </c>
      <c r="AJ429" s="7" t="n"/>
      <c r="AM429" s="11" t="n"/>
      <c r="AO429">
        <f>IF($E429="","",IF(COUNTIF($E$2:$E429,$E429)=1,1,0))</f>
        <v/>
      </c>
      <c r="AP429">
        <f>IF($AO429=1,SUMPRODUCT(--($AS$2:$AS$1001&lt;$AS429))+1,"")</f>
        <v/>
      </c>
      <c r="AQ429">
        <f>IF($E429="","",IF(OR($V429=TRUE(),$V429="TRUE"),1,0))</f>
        <v/>
      </c>
      <c r="AR429">
        <f>IF($E429="","",IF($AE429="Yes",1,0))</f>
        <v/>
      </c>
      <c r="AS429">
        <f>IF($AO429=1,IFERROR(IF(VALUE($E429)&lt;100000000,VALUE($E429),1000000000),IFERROR(IF(VALUE(MID($E429,2,20))&lt;100000000,VALUE(MID($E429,2,20)),1000000000),1000000000))+ROW()/100000,"")</f>
        <v/>
      </c>
    </row>
    <row r="430">
      <c r="D430">
        <f>IF($E430="","",IFERROR(IF(INDEX('Per Invoice'!$A$2:$A$301,MATCH($E430,'Per Invoice'!$B$2:$B$301,0))=0,"",INDEX('Per Invoice'!$A$2:$A$301,MATCH($E430,'Per Invoice'!$B$2:$B$301,0))),""))</f>
        <v/>
      </c>
      <c r="H430" s="11" t="n"/>
      <c r="R430" s="7">
        <f>IF($E430="","",Q430*Z430/100)</f>
        <v/>
      </c>
      <c r="S430" s="7" t="n"/>
      <c r="Y430" s="7" t="n"/>
      <c r="Z430" s="7" t="n"/>
      <c r="AA430" s="7">
        <f>IF($E430="","",Z430*AF430/100)</f>
        <v/>
      </c>
      <c r="AB430" s="7">
        <f>IF($E430="","",Z430-AA430)</f>
        <v/>
      </c>
      <c r="AC430" s="7">
        <f>IF($E430="","",AB430-R430)</f>
        <v/>
      </c>
      <c r="AF430">
        <f>IF($E430="","",IF($AR430=1,0,IF($AQ430=1,Settings!$C$6,Settings!$C$7))*100)</f>
        <v/>
      </c>
      <c r="AJ430" s="7" t="n"/>
      <c r="AM430" s="11" t="n"/>
      <c r="AO430">
        <f>IF($E430="","",IF(COUNTIF($E$2:$E430,$E430)=1,1,0))</f>
        <v/>
      </c>
      <c r="AP430">
        <f>IF($AO430=1,SUMPRODUCT(--($AS$2:$AS$1001&lt;$AS430))+1,"")</f>
        <v/>
      </c>
      <c r="AQ430">
        <f>IF($E430="","",IF(OR($V430=TRUE(),$V430="TRUE"),1,0))</f>
        <v/>
      </c>
      <c r="AR430">
        <f>IF($E430="","",IF($AE430="Yes",1,0))</f>
        <v/>
      </c>
      <c r="AS430">
        <f>IF($AO430=1,IFERROR(IF(VALUE($E430)&lt;100000000,VALUE($E430),1000000000),IFERROR(IF(VALUE(MID($E430,2,20))&lt;100000000,VALUE(MID($E430,2,20)),1000000000),1000000000))+ROW()/100000,"")</f>
        <v/>
      </c>
    </row>
    <row r="431">
      <c r="D431">
        <f>IF($E431="","",IFERROR(IF(INDEX('Per Invoice'!$A$2:$A$301,MATCH($E431,'Per Invoice'!$B$2:$B$301,0))=0,"",INDEX('Per Invoice'!$A$2:$A$301,MATCH($E431,'Per Invoice'!$B$2:$B$301,0))),""))</f>
        <v/>
      </c>
      <c r="H431" s="11" t="n"/>
      <c r="R431" s="7">
        <f>IF($E431="","",Q431*Z431/100)</f>
        <v/>
      </c>
      <c r="S431" s="7" t="n"/>
      <c r="Y431" s="7" t="n"/>
      <c r="Z431" s="7" t="n"/>
      <c r="AA431" s="7">
        <f>IF($E431="","",Z431*AF431/100)</f>
        <v/>
      </c>
      <c r="AB431" s="7">
        <f>IF($E431="","",Z431-AA431)</f>
        <v/>
      </c>
      <c r="AC431" s="7">
        <f>IF($E431="","",AB431-R431)</f>
        <v/>
      </c>
      <c r="AF431">
        <f>IF($E431="","",IF($AR431=1,0,IF($AQ431=1,Settings!$C$6,Settings!$C$7))*100)</f>
        <v/>
      </c>
      <c r="AJ431" s="7" t="n"/>
      <c r="AM431" s="11" t="n"/>
      <c r="AO431">
        <f>IF($E431="","",IF(COUNTIF($E$2:$E431,$E431)=1,1,0))</f>
        <v/>
      </c>
      <c r="AP431">
        <f>IF($AO431=1,SUMPRODUCT(--($AS$2:$AS$1001&lt;$AS431))+1,"")</f>
        <v/>
      </c>
      <c r="AQ431">
        <f>IF($E431="","",IF(OR($V431=TRUE(),$V431="TRUE"),1,0))</f>
        <v/>
      </c>
      <c r="AR431">
        <f>IF($E431="","",IF($AE431="Yes",1,0))</f>
        <v/>
      </c>
      <c r="AS431">
        <f>IF($AO431=1,IFERROR(IF(VALUE($E431)&lt;100000000,VALUE($E431),1000000000),IFERROR(IF(VALUE(MID($E431,2,20))&lt;100000000,VALUE(MID($E431,2,20)),1000000000),1000000000))+ROW()/100000,"")</f>
        <v/>
      </c>
    </row>
    <row r="432">
      <c r="D432">
        <f>IF($E432="","",IFERROR(IF(INDEX('Per Invoice'!$A$2:$A$301,MATCH($E432,'Per Invoice'!$B$2:$B$301,0))=0,"",INDEX('Per Invoice'!$A$2:$A$301,MATCH($E432,'Per Invoice'!$B$2:$B$301,0))),""))</f>
        <v/>
      </c>
      <c r="H432" s="11" t="n"/>
      <c r="R432" s="7">
        <f>IF($E432="","",Q432*Z432/100)</f>
        <v/>
      </c>
      <c r="S432" s="7" t="n"/>
      <c r="Y432" s="7" t="n"/>
      <c r="Z432" s="7" t="n"/>
      <c r="AA432" s="7">
        <f>IF($E432="","",Z432*AF432/100)</f>
        <v/>
      </c>
      <c r="AB432" s="7">
        <f>IF($E432="","",Z432-AA432)</f>
        <v/>
      </c>
      <c r="AC432" s="7">
        <f>IF($E432="","",AB432-R432)</f>
        <v/>
      </c>
      <c r="AF432">
        <f>IF($E432="","",IF($AR432=1,0,IF($AQ432=1,Settings!$C$6,Settings!$C$7))*100)</f>
        <v/>
      </c>
      <c r="AJ432" s="7" t="n"/>
      <c r="AM432" s="11" t="n"/>
      <c r="AO432">
        <f>IF($E432="","",IF(COUNTIF($E$2:$E432,$E432)=1,1,0))</f>
        <v/>
      </c>
      <c r="AP432">
        <f>IF($AO432=1,SUMPRODUCT(--($AS$2:$AS$1001&lt;$AS432))+1,"")</f>
        <v/>
      </c>
      <c r="AQ432">
        <f>IF($E432="","",IF(OR($V432=TRUE(),$V432="TRUE"),1,0))</f>
        <v/>
      </c>
      <c r="AR432">
        <f>IF($E432="","",IF($AE432="Yes",1,0))</f>
        <v/>
      </c>
      <c r="AS432">
        <f>IF($AO432=1,IFERROR(IF(VALUE($E432)&lt;100000000,VALUE($E432),1000000000),IFERROR(IF(VALUE(MID($E432,2,20))&lt;100000000,VALUE(MID($E432,2,20)),1000000000),1000000000))+ROW()/100000,"")</f>
        <v/>
      </c>
    </row>
    <row r="433">
      <c r="D433">
        <f>IF($E433="","",IFERROR(IF(INDEX('Per Invoice'!$A$2:$A$301,MATCH($E433,'Per Invoice'!$B$2:$B$301,0))=0,"",INDEX('Per Invoice'!$A$2:$A$301,MATCH($E433,'Per Invoice'!$B$2:$B$301,0))),""))</f>
        <v/>
      </c>
      <c r="H433" s="11" t="n"/>
      <c r="R433" s="7">
        <f>IF($E433="","",Q433*Z433/100)</f>
        <v/>
      </c>
      <c r="S433" s="7" t="n"/>
      <c r="Y433" s="7" t="n"/>
      <c r="Z433" s="7" t="n"/>
      <c r="AA433" s="7">
        <f>IF($E433="","",Z433*AF433/100)</f>
        <v/>
      </c>
      <c r="AB433" s="7">
        <f>IF($E433="","",Z433-AA433)</f>
        <v/>
      </c>
      <c r="AC433" s="7">
        <f>IF($E433="","",AB433-R433)</f>
        <v/>
      </c>
      <c r="AF433">
        <f>IF($E433="","",IF($AR433=1,0,IF($AQ433=1,Settings!$C$6,Settings!$C$7))*100)</f>
        <v/>
      </c>
      <c r="AJ433" s="7" t="n"/>
      <c r="AM433" s="11" t="n"/>
      <c r="AO433">
        <f>IF($E433="","",IF(COUNTIF($E$2:$E433,$E433)=1,1,0))</f>
        <v/>
      </c>
      <c r="AP433">
        <f>IF($AO433=1,SUMPRODUCT(--($AS$2:$AS$1001&lt;$AS433))+1,"")</f>
        <v/>
      </c>
      <c r="AQ433">
        <f>IF($E433="","",IF(OR($V433=TRUE(),$V433="TRUE"),1,0))</f>
        <v/>
      </c>
      <c r="AR433">
        <f>IF($E433="","",IF($AE433="Yes",1,0))</f>
        <v/>
      </c>
      <c r="AS433">
        <f>IF($AO433=1,IFERROR(IF(VALUE($E433)&lt;100000000,VALUE($E433),1000000000),IFERROR(IF(VALUE(MID($E433,2,20))&lt;100000000,VALUE(MID($E433,2,20)),1000000000),1000000000))+ROW()/100000,"")</f>
        <v/>
      </c>
    </row>
    <row r="434">
      <c r="D434">
        <f>IF($E434="","",IFERROR(IF(INDEX('Per Invoice'!$A$2:$A$301,MATCH($E434,'Per Invoice'!$B$2:$B$301,0))=0,"",INDEX('Per Invoice'!$A$2:$A$301,MATCH($E434,'Per Invoice'!$B$2:$B$301,0))),""))</f>
        <v/>
      </c>
      <c r="H434" s="11" t="n"/>
      <c r="R434" s="7">
        <f>IF($E434="","",Q434*Z434/100)</f>
        <v/>
      </c>
      <c r="S434" s="7" t="n"/>
      <c r="Y434" s="7" t="n"/>
      <c r="Z434" s="7" t="n"/>
      <c r="AA434" s="7">
        <f>IF($E434="","",Z434*AF434/100)</f>
        <v/>
      </c>
      <c r="AB434" s="7">
        <f>IF($E434="","",Z434-AA434)</f>
        <v/>
      </c>
      <c r="AC434" s="7">
        <f>IF($E434="","",AB434-R434)</f>
        <v/>
      </c>
      <c r="AF434">
        <f>IF($E434="","",IF($AR434=1,0,IF($AQ434=1,Settings!$C$6,Settings!$C$7))*100)</f>
        <v/>
      </c>
      <c r="AJ434" s="7" t="n"/>
      <c r="AM434" s="11" t="n"/>
      <c r="AO434">
        <f>IF($E434="","",IF(COUNTIF($E$2:$E434,$E434)=1,1,0))</f>
        <v/>
      </c>
      <c r="AP434">
        <f>IF($AO434=1,SUMPRODUCT(--($AS$2:$AS$1001&lt;$AS434))+1,"")</f>
        <v/>
      </c>
      <c r="AQ434">
        <f>IF($E434="","",IF(OR($V434=TRUE(),$V434="TRUE"),1,0))</f>
        <v/>
      </c>
      <c r="AR434">
        <f>IF($E434="","",IF($AE434="Yes",1,0))</f>
        <v/>
      </c>
      <c r="AS434">
        <f>IF($AO434=1,IFERROR(IF(VALUE($E434)&lt;100000000,VALUE($E434),1000000000),IFERROR(IF(VALUE(MID($E434,2,20))&lt;100000000,VALUE(MID($E434,2,20)),1000000000),1000000000))+ROW()/100000,"")</f>
        <v/>
      </c>
    </row>
    <row r="435">
      <c r="D435">
        <f>IF($E435="","",IFERROR(IF(INDEX('Per Invoice'!$A$2:$A$301,MATCH($E435,'Per Invoice'!$B$2:$B$301,0))=0,"",INDEX('Per Invoice'!$A$2:$A$301,MATCH($E435,'Per Invoice'!$B$2:$B$301,0))),""))</f>
        <v/>
      </c>
      <c r="H435" s="11" t="n"/>
      <c r="R435" s="7">
        <f>IF($E435="","",Q435*Z435/100)</f>
        <v/>
      </c>
      <c r="S435" s="7" t="n"/>
      <c r="Y435" s="7" t="n"/>
      <c r="Z435" s="7" t="n"/>
      <c r="AA435" s="7">
        <f>IF($E435="","",Z435*AF435/100)</f>
        <v/>
      </c>
      <c r="AB435" s="7">
        <f>IF($E435="","",Z435-AA435)</f>
        <v/>
      </c>
      <c r="AC435" s="7">
        <f>IF($E435="","",AB435-R435)</f>
        <v/>
      </c>
      <c r="AF435">
        <f>IF($E435="","",IF($AR435=1,0,IF($AQ435=1,Settings!$C$6,Settings!$C$7))*100)</f>
        <v/>
      </c>
      <c r="AJ435" s="7" t="n"/>
      <c r="AM435" s="11" t="n"/>
      <c r="AO435">
        <f>IF($E435="","",IF(COUNTIF($E$2:$E435,$E435)=1,1,0))</f>
        <v/>
      </c>
      <c r="AP435">
        <f>IF($AO435=1,SUMPRODUCT(--($AS$2:$AS$1001&lt;$AS435))+1,"")</f>
        <v/>
      </c>
      <c r="AQ435">
        <f>IF($E435="","",IF(OR($V435=TRUE(),$V435="TRUE"),1,0))</f>
        <v/>
      </c>
      <c r="AR435">
        <f>IF($E435="","",IF($AE435="Yes",1,0))</f>
        <v/>
      </c>
      <c r="AS435">
        <f>IF($AO435=1,IFERROR(IF(VALUE($E435)&lt;100000000,VALUE($E435),1000000000),IFERROR(IF(VALUE(MID($E435,2,20))&lt;100000000,VALUE(MID($E435,2,20)),1000000000),1000000000))+ROW()/100000,"")</f>
        <v/>
      </c>
    </row>
    <row r="436">
      <c r="D436">
        <f>IF($E436="","",IFERROR(IF(INDEX('Per Invoice'!$A$2:$A$301,MATCH($E436,'Per Invoice'!$B$2:$B$301,0))=0,"",INDEX('Per Invoice'!$A$2:$A$301,MATCH($E436,'Per Invoice'!$B$2:$B$301,0))),""))</f>
        <v/>
      </c>
      <c r="H436" s="11" t="n"/>
      <c r="R436" s="7">
        <f>IF($E436="","",Q436*Z436/100)</f>
        <v/>
      </c>
      <c r="S436" s="7" t="n"/>
      <c r="Y436" s="7" t="n"/>
      <c r="Z436" s="7" t="n"/>
      <c r="AA436" s="7">
        <f>IF($E436="","",Z436*AF436/100)</f>
        <v/>
      </c>
      <c r="AB436" s="7">
        <f>IF($E436="","",Z436-AA436)</f>
        <v/>
      </c>
      <c r="AC436" s="7">
        <f>IF($E436="","",AB436-R436)</f>
        <v/>
      </c>
      <c r="AF436">
        <f>IF($E436="","",IF($AR436=1,0,IF($AQ436=1,Settings!$C$6,Settings!$C$7))*100)</f>
        <v/>
      </c>
      <c r="AJ436" s="7" t="n"/>
      <c r="AM436" s="11" t="n"/>
      <c r="AO436">
        <f>IF($E436="","",IF(COUNTIF($E$2:$E436,$E436)=1,1,0))</f>
        <v/>
      </c>
      <c r="AP436">
        <f>IF($AO436=1,SUMPRODUCT(--($AS$2:$AS$1001&lt;$AS436))+1,"")</f>
        <v/>
      </c>
      <c r="AQ436">
        <f>IF($E436="","",IF(OR($V436=TRUE(),$V436="TRUE"),1,0))</f>
        <v/>
      </c>
      <c r="AR436">
        <f>IF($E436="","",IF($AE436="Yes",1,0))</f>
        <v/>
      </c>
      <c r="AS436">
        <f>IF($AO436=1,IFERROR(IF(VALUE($E436)&lt;100000000,VALUE($E436),1000000000),IFERROR(IF(VALUE(MID($E436,2,20))&lt;100000000,VALUE(MID($E436,2,20)),1000000000),1000000000))+ROW()/100000,"")</f>
        <v/>
      </c>
    </row>
    <row r="437">
      <c r="D437">
        <f>IF($E437="","",IFERROR(IF(INDEX('Per Invoice'!$A$2:$A$301,MATCH($E437,'Per Invoice'!$B$2:$B$301,0))=0,"",INDEX('Per Invoice'!$A$2:$A$301,MATCH($E437,'Per Invoice'!$B$2:$B$301,0))),""))</f>
        <v/>
      </c>
      <c r="H437" s="11" t="n"/>
      <c r="R437" s="7">
        <f>IF($E437="","",Q437*Z437/100)</f>
        <v/>
      </c>
      <c r="S437" s="7" t="n"/>
      <c r="Y437" s="7" t="n"/>
      <c r="Z437" s="7" t="n"/>
      <c r="AA437" s="7">
        <f>IF($E437="","",Z437*AF437/100)</f>
        <v/>
      </c>
      <c r="AB437" s="7">
        <f>IF($E437="","",Z437-AA437)</f>
        <v/>
      </c>
      <c r="AC437" s="7">
        <f>IF($E437="","",AB437-R437)</f>
        <v/>
      </c>
      <c r="AF437">
        <f>IF($E437="","",IF($AR437=1,0,IF($AQ437=1,Settings!$C$6,Settings!$C$7))*100)</f>
        <v/>
      </c>
      <c r="AJ437" s="7" t="n"/>
      <c r="AM437" s="11" t="n"/>
      <c r="AO437">
        <f>IF($E437="","",IF(COUNTIF($E$2:$E437,$E437)=1,1,0))</f>
        <v/>
      </c>
      <c r="AP437">
        <f>IF($AO437=1,SUMPRODUCT(--($AS$2:$AS$1001&lt;$AS437))+1,"")</f>
        <v/>
      </c>
      <c r="AQ437">
        <f>IF($E437="","",IF(OR($V437=TRUE(),$V437="TRUE"),1,0))</f>
        <v/>
      </c>
      <c r="AR437">
        <f>IF($E437="","",IF($AE437="Yes",1,0))</f>
        <v/>
      </c>
      <c r="AS437">
        <f>IF($AO437=1,IFERROR(IF(VALUE($E437)&lt;100000000,VALUE($E437),1000000000),IFERROR(IF(VALUE(MID($E437,2,20))&lt;100000000,VALUE(MID($E437,2,20)),1000000000),1000000000))+ROW()/100000,"")</f>
        <v/>
      </c>
    </row>
    <row r="438">
      <c r="D438">
        <f>IF($E438="","",IFERROR(IF(INDEX('Per Invoice'!$A$2:$A$301,MATCH($E438,'Per Invoice'!$B$2:$B$301,0))=0,"",INDEX('Per Invoice'!$A$2:$A$301,MATCH($E438,'Per Invoice'!$B$2:$B$301,0))),""))</f>
        <v/>
      </c>
      <c r="H438" s="11" t="n"/>
      <c r="R438" s="7">
        <f>IF($E438="","",Q438*Z438/100)</f>
        <v/>
      </c>
      <c r="S438" s="7" t="n"/>
      <c r="Y438" s="7" t="n"/>
      <c r="Z438" s="7" t="n"/>
      <c r="AA438" s="7">
        <f>IF($E438="","",Z438*AF438/100)</f>
        <v/>
      </c>
      <c r="AB438" s="7">
        <f>IF($E438="","",Z438-AA438)</f>
        <v/>
      </c>
      <c r="AC438" s="7">
        <f>IF($E438="","",AB438-R438)</f>
        <v/>
      </c>
      <c r="AF438">
        <f>IF($E438="","",IF($AR438=1,0,IF($AQ438=1,Settings!$C$6,Settings!$C$7))*100)</f>
        <v/>
      </c>
      <c r="AJ438" s="7" t="n"/>
      <c r="AM438" s="11" t="n"/>
      <c r="AO438">
        <f>IF($E438="","",IF(COUNTIF($E$2:$E438,$E438)=1,1,0))</f>
        <v/>
      </c>
      <c r="AP438">
        <f>IF($AO438=1,SUMPRODUCT(--($AS$2:$AS$1001&lt;$AS438))+1,"")</f>
        <v/>
      </c>
      <c r="AQ438">
        <f>IF($E438="","",IF(OR($V438=TRUE(),$V438="TRUE"),1,0))</f>
        <v/>
      </c>
      <c r="AR438">
        <f>IF($E438="","",IF($AE438="Yes",1,0))</f>
        <v/>
      </c>
      <c r="AS438">
        <f>IF($AO438=1,IFERROR(IF(VALUE($E438)&lt;100000000,VALUE($E438),1000000000),IFERROR(IF(VALUE(MID($E438,2,20))&lt;100000000,VALUE(MID($E438,2,20)),1000000000),1000000000))+ROW()/100000,"")</f>
        <v/>
      </c>
    </row>
    <row r="439">
      <c r="D439">
        <f>IF($E439="","",IFERROR(IF(INDEX('Per Invoice'!$A$2:$A$301,MATCH($E439,'Per Invoice'!$B$2:$B$301,0))=0,"",INDEX('Per Invoice'!$A$2:$A$301,MATCH($E439,'Per Invoice'!$B$2:$B$301,0))),""))</f>
        <v/>
      </c>
      <c r="H439" s="11" t="n"/>
      <c r="R439" s="7">
        <f>IF($E439="","",Q439*Z439/100)</f>
        <v/>
      </c>
      <c r="S439" s="7" t="n"/>
      <c r="Y439" s="7" t="n"/>
      <c r="Z439" s="7" t="n"/>
      <c r="AA439" s="7">
        <f>IF($E439="","",Z439*AF439/100)</f>
        <v/>
      </c>
      <c r="AB439" s="7">
        <f>IF($E439="","",Z439-AA439)</f>
        <v/>
      </c>
      <c r="AC439" s="7">
        <f>IF($E439="","",AB439-R439)</f>
        <v/>
      </c>
      <c r="AF439">
        <f>IF($E439="","",IF($AR439=1,0,IF($AQ439=1,Settings!$C$6,Settings!$C$7))*100)</f>
        <v/>
      </c>
      <c r="AJ439" s="7" t="n"/>
      <c r="AM439" s="11" t="n"/>
      <c r="AO439">
        <f>IF($E439="","",IF(COUNTIF($E$2:$E439,$E439)=1,1,0))</f>
        <v/>
      </c>
      <c r="AP439">
        <f>IF($AO439=1,SUMPRODUCT(--($AS$2:$AS$1001&lt;$AS439))+1,"")</f>
        <v/>
      </c>
      <c r="AQ439">
        <f>IF($E439="","",IF(OR($V439=TRUE(),$V439="TRUE"),1,0))</f>
        <v/>
      </c>
      <c r="AR439">
        <f>IF($E439="","",IF($AE439="Yes",1,0))</f>
        <v/>
      </c>
      <c r="AS439">
        <f>IF($AO439=1,IFERROR(IF(VALUE($E439)&lt;100000000,VALUE($E439),1000000000),IFERROR(IF(VALUE(MID($E439,2,20))&lt;100000000,VALUE(MID($E439,2,20)),1000000000),1000000000))+ROW()/100000,"")</f>
        <v/>
      </c>
    </row>
    <row r="440">
      <c r="D440">
        <f>IF($E440="","",IFERROR(IF(INDEX('Per Invoice'!$A$2:$A$301,MATCH($E440,'Per Invoice'!$B$2:$B$301,0))=0,"",INDEX('Per Invoice'!$A$2:$A$301,MATCH($E440,'Per Invoice'!$B$2:$B$301,0))),""))</f>
        <v/>
      </c>
      <c r="H440" s="11" t="n"/>
      <c r="R440" s="7">
        <f>IF($E440="","",Q440*Z440/100)</f>
        <v/>
      </c>
      <c r="S440" s="7" t="n"/>
      <c r="Y440" s="7" t="n"/>
      <c r="Z440" s="7" t="n"/>
      <c r="AA440" s="7">
        <f>IF($E440="","",Z440*AF440/100)</f>
        <v/>
      </c>
      <c r="AB440" s="7">
        <f>IF($E440="","",Z440-AA440)</f>
        <v/>
      </c>
      <c r="AC440" s="7">
        <f>IF($E440="","",AB440-R440)</f>
        <v/>
      </c>
      <c r="AF440">
        <f>IF($E440="","",IF($AR440=1,0,IF($AQ440=1,Settings!$C$6,Settings!$C$7))*100)</f>
        <v/>
      </c>
      <c r="AJ440" s="7" t="n"/>
      <c r="AM440" s="11" t="n"/>
      <c r="AO440">
        <f>IF($E440="","",IF(COUNTIF($E$2:$E440,$E440)=1,1,0))</f>
        <v/>
      </c>
      <c r="AP440">
        <f>IF($AO440=1,SUMPRODUCT(--($AS$2:$AS$1001&lt;$AS440))+1,"")</f>
        <v/>
      </c>
      <c r="AQ440">
        <f>IF($E440="","",IF(OR($V440=TRUE(),$V440="TRUE"),1,0))</f>
        <v/>
      </c>
      <c r="AR440">
        <f>IF($E440="","",IF($AE440="Yes",1,0))</f>
        <v/>
      </c>
      <c r="AS440">
        <f>IF($AO440=1,IFERROR(IF(VALUE($E440)&lt;100000000,VALUE($E440),1000000000),IFERROR(IF(VALUE(MID($E440,2,20))&lt;100000000,VALUE(MID($E440,2,20)),1000000000),1000000000))+ROW()/100000,"")</f>
        <v/>
      </c>
    </row>
    <row r="441">
      <c r="D441">
        <f>IF($E441="","",IFERROR(IF(INDEX('Per Invoice'!$A$2:$A$301,MATCH($E441,'Per Invoice'!$B$2:$B$301,0))=0,"",INDEX('Per Invoice'!$A$2:$A$301,MATCH($E441,'Per Invoice'!$B$2:$B$301,0))),""))</f>
        <v/>
      </c>
      <c r="H441" s="11" t="n"/>
      <c r="R441" s="7">
        <f>IF($E441="","",Q441*Z441/100)</f>
        <v/>
      </c>
      <c r="S441" s="7" t="n"/>
      <c r="Y441" s="7" t="n"/>
      <c r="Z441" s="7" t="n"/>
      <c r="AA441" s="7">
        <f>IF($E441="","",Z441*AF441/100)</f>
        <v/>
      </c>
      <c r="AB441" s="7">
        <f>IF($E441="","",Z441-AA441)</f>
        <v/>
      </c>
      <c r="AC441" s="7">
        <f>IF($E441="","",AB441-R441)</f>
        <v/>
      </c>
      <c r="AF441">
        <f>IF($E441="","",IF($AR441=1,0,IF($AQ441=1,Settings!$C$6,Settings!$C$7))*100)</f>
        <v/>
      </c>
      <c r="AJ441" s="7" t="n"/>
      <c r="AM441" s="11" t="n"/>
      <c r="AO441">
        <f>IF($E441="","",IF(COUNTIF($E$2:$E441,$E441)=1,1,0))</f>
        <v/>
      </c>
      <c r="AP441">
        <f>IF($AO441=1,SUMPRODUCT(--($AS$2:$AS$1001&lt;$AS441))+1,"")</f>
        <v/>
      </c>
      <c r="AQ441">
        <f>IF($E441="","",IF(OR($V441=TRUE(),$V441="TRUE"),1,0))</f>
        <v/>
      </c>
      <c r="AR441">
        <f>IF($E441="","",IF($AE441="Yes",1,0))</f>
        <v/>
      </c>
      <c r="AS441">
        <f>IF($AO441=1,IFERROR(IF(VALUE($E441)&lt;100000000,VALUE($E441),1000000000),IFERROR(IF(VALUE(MID($E441,2,20))&lt;100000000,VALUE(MID($E441,2,20)),1000000000),1000000000))+ROW()/100000,"")</f>
        <v/>
      </c>
    </row>
    <row r="442">
      <c r="D442">
        <f>IF($E442="","",IFERROR(IF(INDEX('Per Invoice'!$A$2:$A$301,MATCH($E442,'Per Invoice'!$B$2:$B$301,0))=0,"",INDEX('Per Invoice'!$A$2:$A$301,MATCH($E442,'Per Invoice'!$B$2:$B$301,0))),""))</f>
        <v/>
      </c>
      <c r="H442" s="11" t="n"/>
      <c r="R442" s="7">
        <f>IF($E442="","",Q442*Z442/100)</f>
        <v/>
      </c>
      <c r="S442" s="7" t="n"/>
      <c r="Y442" s="7" t="n"/>
      <c r="Z442" s="7" t="n"/>
      <c r="AA442" s="7">
        <f>IF($E442="","",Z442*AF442/100)</f>
        <v/>
      </c>
      <c r="AB442" s="7">
        <f>IF($E442="","",Z442-AA442)</f>
        <v/>
      </c>
      <c r="AC442" s="7">
        <f>IF($E442="","",AB442-R442)</f>
        <v/>
      </c>
      <c r="AF442">
        <f>IF($E442="","",IF($AR442=1,0,IF($AQ442=1,Settings!$C$6,Settings!$C$7))*100)</f>
        <v/>
      </c>
      <c r="AJ442" s="7" t="n"/>
      <c r="AM442" s="11" t="n"/>
      <c r="AO442">
        <f>IF($E442="","",IF(COUNTIF($E$2:$E442,$E442)=1,1,0))</f>
        <v/>
      </c>
      <c r="AP442">
        <f>IF($AO442=1,SUMPRODUCT(--($AS$2:$AS$1001&lt;$AS442))+1,"")</f>
        <v/>
      </c>
      <c r="AQ442">
        <f>IF($E442="","",IF(OR($V442=TRUE(),$V442="TRUE"),1,0))</f>
        <v/>
      </c>
      <c r="AR442">
        <f>IF($E442="","",IF($AE442="Yes",1,0))</f>
        <v/>
      </c>
      <c r="AS442">
        <f>IF($AO442=1,IFERROR(IF(VALUE($E442)&lt;100000000,VALUE($E442),1000000000),IFERROR(IF(VALUE(MID($E442,2,20))&lt;100000000,VALUE(MID($E442,2,20)),1000000000),1000000000))+ROW()/100000,"")</f>
        <v/>
      </c>
    </row>
    <row r="443">
      <c r="D443">
        <f>IF($E443="","",IFERROR(IF(INDEX('Per Invoice'!$A$2:$A$301,MATCH($E443,'Per Invoice'!$B$2:$B$301,0))=0,"",INDEX('Per Invoice'!$A$2:$A$301,MATCH($E443,'Per Invoice'!$B$2:$B$301,0))),""))</f>
        <v/>
      </c>
      <c r="H443" s="11" t="n"/>
      <c r="R443" s="7">
        <f>IF($E443="","",Q443*Z443/100)</f>
        <v/>
      </c>
      <c r="S443" s="7" t="n"/>
      <c r="Y443" s="7" t="n"/>
      <c r="Z443" s="7" t="n"/>
      <c r="AA443" s="7">
        <f>IF($E443="","",Z443*AF443/100)</f>
        <v/>
      </c>
      <c r="AB443" s="7">
        <f>IF($E443="","",Z443-AA443)</f>
        <v/>
      </c>
      <c r="AC443" s="7">
        <f>IF($E443="","",AB443-R443)</f>
        <v/>
      </c>
      <c r="AF443">
        <f>IF($E443="","",IF($AR443=1,0,IF($AQ443=1,Settings!$C$6,Settings!$C$7))*100)</f>
        <v/>
      </c>
      <c r="AJ443" s="7" t="n"/>
      <c r="AM443" s="11" t="n"/>
      <c r="AO443">
        <f>IF($E443="","",IF(COUNTIF($E$2:$E443,$E443)=1,1,0))</f>
        <v/>
      </c>
      <c r="AP443">
        <f>IF($AO443=1,SUMPRODUCT(--($AS$2:$AS$1001&lt;$AS443))+1,"")</f>
        <v/>
      </c>
      <c r="AQ443">
        <f>IF($E443="","",IF(OR($V443=TRUE(),$V443="TRUE"),1,0))</f>
        <v/>
      </c>
      <c r="AR443">
        <f>IF($E443="","",IF($AE443="Yes",1,0))</f>
        <v/>
      </c>
      <c r="AS443">
        <f>IF($AO443=1,IFERROR(IF(VALUE($E443)&lt;100000000,VALUE($E443),1000000000),IFERROR(IF(VALUE(MID($E443,2,20))&lt;100000000,VALUE(MID($E443,2,20)),1000000000),1000000000))+ROW()/100000,"")</f>
        <v/>
      </c>
    </row>
    <row r="444">
      <c r="D444">
        <f>IF($E444="","",IFERROR(IF(INDEX('Per Invoice'!$A$2:$A$301,MATCH($E444,'Per Invoice'!$B$2:$B$301,0))=0,"",INDEX('Per Invoice'!$A$2:$A$301,MATCH($E444,'Per Invoice'!$B$2:$B$301,0))),""))</f>
        <v/>
      </c>
      <c r="H444" s="11" t="n"/>
      <c r="R444" s="7">
        <f>IF($E444="","",Q444*Z444/100)</f>
        <v/>
      </c>
      <c r="S444" s="7" t="n"/>
      <c r="Y444" s="7" t="n"/>
      <c r="Z444" s="7" t="n"/>
      <c r="AA444" s="7">
        <f>IF($E444="","",Z444*AF444/100)</f>
        <v/>
      </c>
      <c r="AB444" s="7">
        <f>IF($E444="","",Z444-AA444)</f>
        <v/>
      </c>
      <c r="AC444" s="7">
        <f>IF($E444="","",AB444-R444)</f>
        <v/>
      </c>
      <c r="AF444">
        <f>IF($E444="","",IF($AR444=1,0,IF($AQ444=1,Settings!$C$6,Settings!$C$7))*100)</f>
        <v/>
      </c>
      <c r="AJ444" s="7" t="n"/>
      <c r="AM444" s="11" t="n"/>
      <c r="AO444">
        <f>IF($E444="","",IF(COUNTIF($E$2:$E444,$E444)=1,1,0))</f>
        <v/>
      </c>
      <c r="AP444">
        <f>IF($AO444=1,SUMPRODUCT(--($AS$2:$AS$1001&lt;$AS444))+1,"")</f>
        <v/>
      </c>
      <c r="AQ444">
        <f>IF($E444="","",IF(OR($V444=TRUE(),$V444="TRUE"),1,0))</f>
        <v/>
      </c>
      <c r="AR444">
        <f>IF($E444="","",IF($AE444="Yes",1,0))</f>
        <v/>
      </c>
      <c r="AS444">
        <f>IF($AO444=1,IFERROR(IF(VALUE($E444)&lt;100000000,VALUE($E444),1000000000),IFERROR(IF(VALUE(MID($E444,2,20))&lt;100000000,VALUE(MID($E444,2,20)),1000000000),1000000000))+ROW()/100000,"")</f>
        <v/>
      </c>
    </row>
    <row r="445">
      <c r="D445">
        <f>IF($E445="","",IFERROR(IF(INDEX('Per Invoice'!$A$2:$A$301,MATCH($E445,'Per Invoice'!$B$2:$B$301,0))=0,"",INDEX('Per Invoice'!$A$2:$A$301,MATCH($E445,'Per Invoice'!$B$2:$B$301,0))),""))</f>
        <v/>
      </c>
      <c r="H445" s="11" t="n"/>
      <c r="R445" s="7">
        <f>IF($E445="","",Q445*Z445/100)</f>
        <v/>
      </c>
      <c r="S445" s="7" t="n"/>
      <c r="Y445" s="7" t="n"/>
      <c r="Z445" s="7" t="n"/>
      <c r="AA445" s="7">
        <f>IF($E445="","",Z445*AF445/100)</f>
        <v/>
      </c>
      <c r="AB445" s="7">
        <f>IF($E445="","",Z445-AA445)</f>
        <v/>
      </c>
      <c r="AC445" s="7">
        <f>IF($E445="","",AB445-R445)</f>
        <v/>
      </c>
      <c r="AF445">
        <f>IF($E445="","",IF($AR445=1,0,IF($AQ445=1,Settings!$C$6,Settings!$C$7))*100)</f>
        <v/>
      </c>
      <c r="AJ445" s="7" t="n"/>
      <c r="AM445" s="11" t="n"/>
      <c r="AO445">
        <f>IF($E445="","",IF(COUNTIF($E$2:$E445,$E445)=1,1,0))</f>
        <v/>
      </c>
      <c r="AP445">
        <f>IF($AO445=1,SUMPRODUCT(--($AS$2:$AS$1001&lt;$AS445))+1,"")</f>
        <v/>
      </c>
      <c r="AQ445">
        <f>IF($E445="","",IF(OR($V445=TRUE(),$V445="TRUE"),1,0))</f>
        <v/>
      </c>
      <c r="AR445">
        <f>IF($E445="","",IF($AE445="Yes",1,0))</f>
        <v/>
      </c>
      <c r="AS445">
        <f>IF($AO445=1,IFERROR(IF(VALUE($E445)&lt;100000000,VALUE($E445),1000000000),IFERROR(IF(VALUE(MID($E445,2,20))&lt;100000000,VALUE(MID($E445,2,20)),1000000000),1000000000))+ROW()/100000,"")</f>
        <v/>
      </c>
    </row>
    <row r="446">
      <c r="D446">
        <f>IF($E446="","",IFERROR(IF(INDEX('Per Invoice'!$A$2:$A$301,MATCH($E446,'Per Invoice'!$B$2:$B$301,0))=0,"",INDEX('Per Invoice'!$A$2:$A$301,MATCH($E446,'Per Invoice'!$B$2:$B$301,0))),""))</f>
        <v/>
      </c>
      <c r="H446" s="11" t="n"/>
      <c r="R446" s="7">
        <f>IF($E446="","",Q446*Z446/100)</f>
        <v/>
      </c>
      <c r="S446" s="7" t="n"/>
      <c r="Y446" s="7" t="n"/>
      <c r="Z446" s="7" t="n"/>
      <c r="AA446" s="7">
        <f>IF($E446="","",Z446*AF446/100)</f>
        <v/>
      </c>
      <c r="AB446" s="7">
        <f>IF($E446="","",Z446-AA446)</f>
        <v/>
      </c>
      <c r="AC446" s="7">
        <f>IF($E446="","",AB446-R446)</f>
        <v/>
      </c>
      <c r="AF446">
        <f>IF($E446="","",IF($AR446=1,0,IF($AQ446=1,Settings!$C$6,Settings!$C$7))*100)</f>
        <v/>
      </c>
      <c r="AJ446" s="7" t="n"/>
      <c r="AM446" s="11" t="n"/>
      <c r="AO446">
        <f>IF($E446="","",IF(COUNTIF($E$2:$E446,$E446)=1,1,0))</f>
        <v/>
      </c>
      <c r="AP446">
        <f>IF($AO446=1,SUMPRODUCT(--($AS$2:$AS$1001&lt;$AS446))+1,"")</f>
        <v/>
      </c>
      <c r="AQ446">
        <f>IF($E446="","",IF(OR($V446=TRUE(),$V446="TRUE"),1,0))</f>
        <v/>
      </c>
      <c r="AR446">
        <f>IF($E446="","",IF($AE446="Yes",1,0))</f>
        <v/>
      </c>
      <c r="AS446">
        <f>IF($AO446=1,IFERROR(IF(VALUE($E446)&lt;100000000,VALUE($E446),1000000000),IFERROR(IF(VALUE(MID($E446,2,20))&lt;100000000,VALUE(MID($E446,2,20)),1000000000),1000000000))+ROW()/100000,"")</f>
        <v/>
      </c>
    </row>
    <row r="447">
      <c r="D447">
        <f>IF($E447="","",IFERROR(IF(INDEX('Per Invoice'!$A$2:$A$301,MATCH($E447,'Per Invoice'!$B$2:$B$301,0))=0,"",INDEX('Per Invoice'!$A$2:$A$301,MATCH($E447,'Per Invoice'!$B$2:$B$301,0))),""))</f>
        <v/>
      </c>
      <c r="H447" s="11" t="n"/>
      <c r="R447" s="7">
        <f>IF($E447="","",Q447*Z447/100)</f>
        <v/>
      </c>
      <c r="S447" s="7" t="n"/>
      <c r="Y447" s="7" t="n"/>
      <c r="Z447" s="7" t="n"/>
      <c r="AA447" s="7">
        <f>IF($E447="","",Z447*AF447/100)</f>
        <v/>
      </c>
      <c r="AB447" s="7">
        <f>IF($E447="","",Z447-AA447)</f>
        <v/>
      </c>
      <c r="AC447" s="7">
        <f>IF($E447="","",AB447-R447)</f>
        <v/>
      </c>
      <c r="AF447">
        <f>IF($E447="","",IF($AR447=1,0,IF($AQ447=1,Settings!$C$6,Settings!$C$7))*100)</f>
        <v/>
      </c>
      <c r="AJ447" s="7" t="n"/>
      <c r="AM447" s="11" t="n"/>
      <c r="AO447">
        <f>IF($E447="","",IF(COUNTIF($E$2:$E447,$E447)=1,1,0))</f>
        <v/>
      </c>
      <c r="AP447">
        <f>IF($AO447=1,SUMPRODUCT(--($AS$2:$AS$1001&lt;$AS447))+1,"")</f>
        <v/>
      </c>
      <c r="AQ447">
        <f>IF($E447="","",IF(OR($V447=TRUE(),$V447="TRUE"),1,0))</f>
        <v/>
      </c>
      <c r="AR447">
        <f>IF($E447="","",IF($AE447="Yes",1,0))</f>
        <v/>
      </c>
      <c r="AS447">
        <f>IF($AO447=1,IFERROR(IF(VALUE($E447)&lt;100000000,VALUE($E447),1000000000),IFERROR(IF(VALUE(MID($E447,2,20))&lt;100000000,VALUE(MID($E447,2,20)),1000000000),1000000000))+ROW()/100000,"")</f>
        <v/>
      </c>
    </row>
    <row r="448">
      <c r="D448">
        <f>IF($E448="","",IFERROR(IF(INDEX('Per Invoice'!$A$2:$A$301,MATCH($E448,'Per Invoice'!$B$2:$B$301,0))=0,"",INDEX('Per Invoice'!$A$2:$A$301,MATCH($E448,'Per Invoice'!$B$2:$B$301,0))),""))</f>
        <v/>
      </c>
      <c r="H448" s="11" t="n"/>
      <c r="R448" s="7">
        <f>IF($E448="","",Q448*Z448/100)</f>
        <v/>
      </c>
      <c r="S448" s="7" t="n"/>
      <c r="Y448" s="7" t="n"/>
      <c r="Z448" s="7" t="n"/>
      <c r="AA448" s="7">
        <f>IF($E448="","",Z448*AF448/100)</f>
        <v/>
      </c>
      <c r="AB448" s="7">
        <f>IF($E448="","",Z448-AA448)</f>
        <v/>
      </c>
      <c r="AC448" s="7">
        <f>IF($E448="","",AB448-R448)</f>
        <v/>
      </c>
      <c r="AF448">
        <f>IF($E448="","",IF($AR448=1,0,IF($AQ448=1,Settings!$C$6,Settings!$C$7))*100)</f>
        <v/>
      </c>
      <c r="AJ448" s="7" t="n"/>
      <c r="AM448" s="11" t="n"/>
      <c r="AO448">
        <f>IF($E448="","",IF(COUNTIF($E$2:$E448,$E448)=1,1,0))</f>
        <v/>
      </c>
      <c r="AP448">
        <f>IF($AO448=1,SUMPRODUCT(--($AS$2:$AS$1001&lt;$AS448))+1,"")</f>
        <v/>
      </c>
      <c r="AQ448">
        <f>IF($E448="","",IF(OR($V448=TRUE(),$V448="TRUE"),1,0))</f>
        <v/>
      </c>
      <c r="AR448">
        <f>IF($E448="","",IF($AE448="Yes",1,0))</f>
        <v/>
      </c>
      <c r="AS448">
        <f>IF($AO448=1,IFERROR(IF(VALUE($E448)&lt;100000000,VALUE($E448),1000000000),IFERROR(IF(VALUE(MID($E448,2,20))&lt;100000000,VALUE(MID($E448,2,20)),1000000000),1000000000))+ROW()/100000,"")</f>
        <v/>
      </c>
    </row>
    <row r="449">
      <c r="D449">
        <f>IF($E449="","",IFERROR(IF(INDEX('Per Invoice'!$A$2:$A$301,MATCH($E449,'Per Invoice'!$B$2:$B$301,0))=0,"",INDEX('Per Invoice'!$A$2:$A$301,MATCH($E449,'Per Invoice'!$B$2:$B$301,0))),""))</f>
        <v/>
      </c>
      <c r="H449" s="11" t="n"/>
      <c r="R449" s="7">
        <f>IF($E449="","",Q449*Z449/100)</f>
        <v/>
      </c>
      <c r="S449" s="7" t="n"/>
      <c r="Y449" s="7" t="n"/>
      <c r="Z449" s="7" t="n"/>
      <c r="AA449" s="7">
        <f>IF($E449="","",Z449*AF449/100)</f>
        <v/>
      </c>
      <c r="AB449" s="7">
        <f>IF($E449="","",Z449-AA449)</f>
        <v/>
      </c>
      <c r="AC449" s="7">
        <f>IF($E449="","",AB449-R449)</f>
        <v/>
      </c>
      <c r="AF449">
        <f>IF($E449="","",IF($AR449=1,0,IF($AQ449=1,Settings!$C$6,Settings!$C$7))*100)</f>
        <v/>
      </c>
      <c r="AJ449" s="7" t="n"/>
      <c r="AM449" s="11" t="n"/>
      <c r="AO449">
        <f>IF($E449="","",IF(COUNTIF($E$2:$E449,$E449)=1,1,0))</f>
        <v/>
      </c>
      <c r="AP449">
        <f>IF($AO449=1,SUMPRODUCT(--($AS$2:$AS$1001&lt;$AS449))+1,"")</f>
        <v/>
      </c>
      <c r="AQ449">
        <f>IF($E449="","",IF(OR($V449=TRUE(),$V449="TRUE"),1,0))</f>
        <v/>
      </c>
      <c r="AR449">
        <f>IF($E449="","",IF($AE449="Yes",1,0))</f>
        <v/>
      </c>
      <c r="AS449">
        <f>IF($AO449=1,IFERROR(IF(VALUE($E449)&lt;100000000,VALUE($E449),1000000000),IFERROR(IF(VALUE(MID($E449,2,20))&lt;100000000,VALUE(MID($E449,2,20)),1000000000),1000000000))+ROW()/100000,"")</f>
        <v/>
      </c>
    </row>
    <row r="450">
      <c r="D450">
        <f>IF($E450="","",IFERROR(IF(INDEX('Per Invoice'!$A$2:$A$301,MATCH($E450,'Per Invoice'!$B$2:$B$301,0))=0,"",INDEX('Per Invoice'!$A$2:$A$301,MATCH($E450,'Per Invoice'!$B$2:$B$301,0))),""))</f>
        <v/>
      </c>
      <c r="H450" s="11" t="n"/>
      <c r="R450" s="7">
        <f>IF($E450="","",Q450*Z450/100)</f>
        <v/>
      </c>
      <c r="S450" s="7" t="n"/>
      <c r="Y450" s="7" t="n"/>
      <c r="Z450" s="7" t="n"/>
      <c r="AA450" s="7">
        <f>IF($E450="","",Z450*AF450/100)</f>
        <v/>
      </c>
      <c r="AB450" s="7">
        <f>IF($E450="","",Z450-AA450)</f>
        <v/>
      </c>
      <c r="AC450" s="7">
        <f>IF($E450="","",AB450-R450)</f>
        <v/>
      </c>
      <c r="AF450">
        <f>IF($E450="","",IF($AR450=1,0,IF($AQ450=1,Settings!$C$6,Settings!$C$7))*100)</f>
        <v/>
      </c>
      <c r="AJ450" s="7" t="n"/>
      <c r="AM450" s="11" t="n"/>
      <c r="AO450">
        <f>IF($E450="","",IF(COUNTIF($E$2:$E450,$E450)=1,1,0))</f>
        <v/>
      </c>
      <c r="AP450">
        <f>IF($AO450=1,SUMPRODUCT(--($AS$2:$AS$1001&lt;$AS450))+1,"")</f>
        <v/>
      </c>
      <c r="AQ450">
        <f>IF($E450="","",IF(OR($V450=TRUE(),$V450="TRUE"),1,0))</f>
        <v/>
      </c>
      <c r="AR450">
        <f>IF($E450="","",IF($AE450="Yes",1,0))</f>
        <v/>
      </c>
      <c r="AS450">
        <f>IF($AO450=1,IFERROR(IF(VALUE($E450)&lt;100000000,VALUE($E450),1000000000),IFERROR(IF(VALUE(MID($E450,2,20))&lt;100000000,VALUE(MID($E450,2,20)),1000000000),1000000000))+ROW()/100000,"")</f>
        <v/>
      </c>
    </row>
    <row r="451">
      <c r="D451">
        <f>IF($E451="","",IFERROR(IF(INDEX('Per Invoice'!$A$2:$A$301,MATCH($E451,'Per Invoice'!$B$2:$B$301,0))=0,"",INDEX('Per Invoice'!$A$2:$A$301,MATCH($E451,'Per Invoice'!$B$2:$B$301,0))),""))</f>
        <v/>
      </c>
      <c r="H451" s="11" t="n"/>
      <c r="R451" s="7">
        <f>IF($E451="","",Q451*Z451/100)</f>
        <v/>
      </c>
      <c r="S451" s="7" t="n"/>
      <c r="Y451" s="7" t="n"/>
      <c r="Z451" s="7" t="n"/>
      <c r="AA451" s="7">
        <f>IF($E451="","",Z451*AF451/100)</f>
        <v/>
      </c>
      <c r="AB451" s="7">
        <f>IF($E451="","",Z451-AA451)</f>
        <v/>
      </c>
      <c r="AC451" s="7">
        <f>IF($E451="","",AB451-R451)</f>
        <v/>
      </c>
      <c r="AF451">
        <f>IF($E451="","",IF($AR451=1,0,IF($AQ451=1,Settings!$C$6,Settings!$C$7))*100)</f>
        <v/>
      </c>
      <c r="AJ451" s="7" t="n"/>
      <c r="AM451" s="11" t="n"/>
      <c r="AO451">
        <f>IF($E451="","",IF(COUNTIF($E$2:$E451,$E451)=1,1,0))</f>
        <v/>
      </c>
      <c r="AP451">
        <f>IF($AO451=1,SUMPRODUCT(--($AS$2:$AS$1001&lt;$AS451))+1,"")</f>
        <v/>
      </c>
      <c r="AQ451">
        <f>IF($E451="","",IF(OR($V451=TRUE(),$V451="TRUE"),1,0))</f>
        <v/>
      </c>
      <c r="AR451">
        <f>IF($E451="","",IF($AE451="Yes",1,0))</f>
        <v/>
      </c>
      <c r="AS451">
        <f>IF($AO451=1,IFERROR(IF(VALUE($E451)&lt;100000000,VALUE($E451),1000000000),IFERROR(IF(VALUE(MID($E451,2,20))&lt;100000000,VALUE(MID($E451,2,20)),1000000000),1000000000))+ROW()/100000,"")</f>
        <v/>
      </c>
    </row>
    <row r="452">
      <c r="D452">
        <f>IF($E452="","",IFERROR(IF(INDEX('Per Invoice'!$A$2:$A$301,MATCH($E452,'Per Invoice'!$B$2:$B$301,0))=0,"",INDEX('Per Invoice'!$A$2:$A$301,MATCH($E452,'Per Invoice'!$B$2:$B$301,0))),""))</f>
        <v/>
      </c>
      <c r="H452" s="11" t="n"/>
      <c r="R452" s="7">
        <f>IF($E452="","",Q452*Z452/100)</f>
        <v/>
      </c>
      <c r="S452" s="7" t="n"/>
      <c r="Y452" s="7" t="n"/>
      <c r="Z452" s="7" t="n"/>
      <c r="AA452" s="7">
        <f>IF($E452="","",Z452*AF452/100)</f>
        <v/>
      </c>
      <c r="AB452" s="7">
        <f>IF($E452="","",Z452-AA452)</f>
        <v/>
      </c>
      <c r="AC452" s="7">
        <f>IF($E452="","",AB452-R452)</f>
        <v/>
      </c>
      <c r="AF452">
        <f>IF($E452="","",IF($AR452=1,0,IF($AQ452=1,Settings!$C$6,Settings!$C$7))*100)</f>
        <v/>
      </c>
      <c r="AJ452" s="7" t="n"/>
      <c r="AM452" s="11" t="n"/>
      <c r="AO452">
        <f>IF($E452="","",IF(COUNTIF($E$2:$E452,$E452)=1,1,0))</f>
        <v/>
      </c>
      <c r="AP452">
        <f>IF($AO452=1,SUMPRODUCT(--($AS$2:$AS$1001&lt;$AS452))+1,"")</f>
        <v/>
      </c>
      <c r="AQ452">
        <f>IF($E452="","",IF(OR($V452=TRUE(),$V452="TRUE"),1,0))</f>
        <v/>
      </c>
      <c r="AR452">
        <f>IF($E452="","",IF($AE452="Yes",1,0))</f>
        <v/>
      </c>
      <c r="AS452">
        <f>IF($AO452=1,IFERROR(IF(VALUE($E452)&lt;100000000,VALUE($E452),1000000000),IFERROR(IF(VALUE(MID($E452,2,20))&lt;100000000,VALUE(MID($E452,2,20)),1000000000),1000000000))+ROW()/100000,"")</f>
        <v/>
      </c>
    </row>
    <row r="453">
      <c r="D453">
        <f>IF($E453="","",IFERROR(IF(INDEX('Per Invoice'!$A$2:$A$301,MATCH($E453,'Per Invoice'!$B$2:$B$301,0))=0,"",INDEX('Per Invoice'!$A$2:$A$301,MATCH($E453,'Per Invoice'!$B$2:$B$301,0))),""))</f>
        <v/>
      </c>
      <c r="H453" s="11" t="n"/>
      <c r="R453" s="7">
        <f>IF($E453="","",Q453*Z453/100)</f>
        <v/>
      </c>
      <c r="S453" s="7" t="n"/>
      <c r="Y453" s="7" t="n"/>
      <c r="Z453" s="7" t="n"/>
      <c r="AA453" s="7">
        <f>IF($E453="","",Z453*AF453/100)</f>
        <v/>
      </c>
      <c r="AB453" s="7">
        <f>IF($E453="","",Z453-AA453)</f>
        <v/>
      </c>
      <c r="AC453" s="7">
        <f>IF($E453="","",AB453-R453)</f>
        <v/>
      </c>
      <c r="AF453">
        <f>IF($E453="","",IF($AR453=1,0,IF($AQ453=1,Settings!$C$6,Settings!$C$7))*100)</f>
        <v/>
      </c>
      <c r="AJ453" s="7" t="n"/>
      <c r="AM453" s="11" t="n"/>
      <c r="AO453">
        <f>IF($E453="","",IF(COUNTIF($E$2:$E453,$E453)=1,1,0))</f>
        <v/>
      </c>
      <c r="AP453">
        <f>IF($AO453=1,SUMPRODUCT(--($AS$2:$AS$1001&lt;$AS453))+1,"")</f>
        <v/>
      </c>
      <c r="AQ453">
        <f>IF($E453="","",IF(OR($V453=TRUE(),$V453="TRUE"),1,0))</f>
        <v/>
      </c>
      <c r="AR453">
        <f>IF($E453="","",IF($AE453="Yes",1,0))</f>
        <v/>
      </c>
      <c r="AS453">
        <f>IF($AO453=1,IFERROR(IF(VALUE($E453)&lt;100000000,VALUE($E453),1000000000),IFERROR(IF(VALUE(MID($E453,2,20))&lt;100000000,VALUE(MID($E453,2,20)),1000000000),1000000000))+ROW()/100000,"")</f>
        <v/>
      </c>
    </row>
    <row r="454">
      <c r="D454">
        <f>IF($E454="","",IFERROR(IF(INDEX('Per Invoice'!$A$2:$A$301,MATCH($E454,'Per Invoice'!$B$2:$B$301,0))=0,"",INDEX('Per Invoice'!$A$2:$A$301,MATCH($E454,'Per Invoice'!$B$2:$B$301,0))),""))</f>
        <v/>
      </c>
      <c r="H454" s="11" t="n"/>
      <c r="R454" s="7">
        <f>IF($E454="","",Q454*Z454/100)</f>
        <v/>
      </c>
      <c r="S454" s="7" t="n"/>
      <c r="Y454" s="7" t="n"/>
      <c r="Z454" s="7" t="n"/>
      <c r="AA454" s="7">
        <f>IF($E454="","",Z454*AF454/100)</f>
        <v/>
      </c>
      <c r="AB454" s="7">
        <f>IF($E454="","",Z454-AA454)</f>
        <v/>
      </c>
      <c r="AC454" s="7">
        <f>IF($E454="","",AB454-R454)</f>
        <v/>
      </c>
      <c r="AF454">
        <f>IF($E454="","",IF($AR454=1,0,IF($AQ454=1,Settings!$C$6,Settings!$C$7))*100)</f>
        <v/>
      </c>
      <c r="AJ454" s="7" t="n"/>
      <c r="AM454" s="11" t="n"/>
      <c r="AO454">
        <f>IF($E454="","",IF(COUNTIF($E$2:$E454,$E454)=1,1,0))</f>
        <v/>
      </c>
      <c r="AP454">
        <f>IF($AO454=1,SUMPRODUCT(--($AS$2:$AS$1001&lt;$AS454))+1,"")</f>
        <v/>
      </c>
      <c r="AQ454">
        <f>IF($E454="","",IF(OR($V454=TRUE(),$V454="TRUE"),1,0))</f>
        <v/>
      </c>
      <c r="AR454">
        <f>IF($E454="","",IF($AE454="Yes",1,0))</f>
        <v/>
      </c>
      <c r="AS454">
        <f>IF($AO454=1,IFERROR(IF(VALUE($E454)&lt;100000000,VALUE($E454),1000000000),IFERROR(IF(VALUE(MID($E454,2,20))&lt;100000000,VALUE(MID($E454,2,20)),1000000000),1000000000))+ROW()/100000,"")</f>
        <v/>
      </c>
    </row>
    <row r="455">
      <c r="D455">
        <f>IF($E455="","",IFERROR(IF(INDEX('Per Invoice'!$A$2:$A$301,MATCH($E455,'Per Invoice'!$B$2:$B$301,0))=0,"",INDEX('Per Invoice'!$A$2:$A$301,MATCH($E455,'Per Invoice'!$B$2:$B$301,0))),""))</f>
        <v/>
      </c>
      <c r="H455" s="11" t="n"/>
      <c r="R455" s="7">
        <f>IF($E455="","",Q455*Z455/100)</f>
        <v/>
      </c>
      <c r="S455" s="7" t="n"/>
      <c r="Y455" s="7" t="n"/>
      <c r="Z455" s="7" t="n"/>
      <c r="AA455" s="7">
        <f>IF($E455="","",Z455*AF455/100)</f>
        <v/>
      </c>
      <c r="AB455" s="7">
        <f>IF($E455="","",Z455-AA455)</f>
        <v/>
      </c>
      <c r="AC455" s="7">
        <f>IF($E455="","",AB455-R455)</f>
        <v/>
      </c>
      <c r="AF455">
        <f>IF($E455="","",IF($AR455=1,0,IF($AQ455=1,Settings!$C$6,Settings!$C$7))*100)</f>
        <v/>
      </c>
      <c r="AJ455" s="7" t="n"/>
      <c r="AM455" s="11" t="n"/>
      <c r="AO455">
        <f>IF($E455="","",IF(COUNTIF($E$2:$E455,$E455)=1,1,0))</f>
        <v/>
      </c>
      <c r="AP455">
        <f>IF($AO455=1,SUMPRODUCT(--($AS$2:$AS$1001&lt;$AS455))+1,"")</f>
        <v/>
      </c>
      <c r="AQ455">
        <f>IF($E455="","",IF(OR($V455=TRUE(),$V455="TRUE"),1,0))</f>
        <v/>
      </c>
      <c r="AR455">
        <f>IF($E455="","",IF($AE455="Yes",1,0))</f>
        <v/>
      </c>
      <c r="AS455">
        <f>IF($AO455=1,IFERROR(IF(VALUE($E455)&lt;100000000,VALUE($E455),1000000000),IFERROR(IF(VALUE(MID($E455,2,20))&lt;100000000,VALUE(MID($E455,2,20)),1000000000),1000000000))+ROW()/100000,"")</f>
        <v/>
      </c>
    </row>
    <row r="456">
      <c r="D456">
        <f>IF($E456="","",IFERROR(IF(INDEX('Per Invoice'!$A$2:$A$301,MATCH($E456,'Per Invoice'!$B$2:$B$301,0))=0,"",INDEX('Per Invoice'!$A$2:$A$301,MATCH($E456,'Per Invoice'!$B$2:$B$301,0))),""))</f>
        <v/>
      </c>
      <c r="H456" s="11" t="n"/>
      <c r="R456" s="7">
        <f>IF($E456="","",Q456*Z456/100)</f>
        <v/>
      </c>
      <c r="S456" s="7" t="n"/>
      <c r="Y456" s="7" t="n"/>
      <c r="Z456" s="7" t="n"/>
      <c r="AA456" s="7">
        <f>IF($E456="","",Z456*AF456/100)</f>
        <v/>
      </c>
      <c r="AB456" s="7">
        <f>IF($E456="","",Z456-AA456)</f>
        <v/>
      </c>
      <c r="AC456" s="7">
        <f>IF($E456="","",AB456-R456)</f>
        <v/>
      </c>
      <c r="AF456">
        <f>IF($E456="","",IF($AR456=1,0,IF($AQ456=1,Settings!$C$6,Settings!$C$7))*100)</f>
        <v/>
      </c>
      <c r="AJ456" s="7" t="n"/>
      <c r="AM456" s="11" t="n"/>
      <c r="AO456">
        <f>IF($E456="","",IF(COUNTIF($E$2:$E456,$E456)=1,1,0))</f>
        <v/>
      </c>
      <c r="AP456">
        <f>IF($AO456=1,SUMPRODUCT(--($AS$2:$AS$1001&lt;$AS456))+1,"")</f>
        <v/>
      </c>
      <c r="AQ456">
        <f>IF($E456="","",IF(OR($V456=TRUE(),$V456="TRUE"),1,0))</f>
        <v/>
      </c>
      <c r="AR456">
        <f>IF($E456="","",IF($AE456="Yes",1,0))</f>
        <v/>
      </c>
      <c r="AS456">
        <f>IF($AO456=1,IFERROR(IF(VALUE($E456)&lt;100000000,VALUE($E456),1000000000),IFERROR(IF(VALUE(MID($E456,2,20))&lt;100000000,VALUE(MID($E456,2,20)),1000000000),1000000000))+ROW()/100000,"")</f>
        <v/>
      </c>
    </row>
    <row r="457">
      <c r="D457">
        <f>IF($E457="","",IFERROR(IF(INDEX('Per Invoice'!$A$2:$A$301,MATCH($E457,'Per Invoice'!$B$2:$B$301,0))=0,"",INDEX('Per Invoice'!$A$2:$A$301,MATCH($E457,'Per Invoice'!$B$2:$B$301,0))),""))</f>
        <v/>
      </c>
      <c r="H457" s="11" t="n"/>
      <c r="R457" s="7">
        <f>IF($E457="","",Q457*Z457/100)</f>
        <v/>
      </c>
      <c r="S457" s="7" t="n"/>
      <c r="Y457" s="7" t="n"/>
      <c r="Z457" s="7" t="n"/>
      <c r="AA457" s="7">
        <f>IF($E457="","",Z457*AF457/100)</f>
        <v/>
      </c>
      <c r="AB457" s="7">
        <f>IF($E457="","",Z457-AA457)</f>
        <v/>
      </c>
      <c r="AC457" s="7">
        <f>IF($E457="","",AB457-R457)</f>
        <v/>
      </c>
      <c r="AF457">
        <f>IF($E457="","",IF($AR457=1,0,IF($AQ457=1,Settings!$C$6,Settings!$C$7))*100)</f>
        <v/>
      </c>
      <c r="AJ457" s="7" t="n"/>
      <c r="AM457" s="11" t="n"/>
      <c r="AO457">
        <f>IF($E457="","",IF(COUNTIF($E$2:$E457,$E457)=1,1,0))</f>
        <v/>
      </c>
      <c r="AP457">
        <f>IF($AO457=1,SUMPRODUCT(--($AS$2:$AS$1001&lt;$AS457))+1,"")</f>
        <v/>
      </c>
      <c r="AQ457">
        <f>IF($E457="","",IF(OR($V457=TRUE(),$V457="TRUE"),1,0))</f>
        <v/>
      </c>
      <c r="AR457">
        <f>IF($E457="","",IF($AE457="Yes",1,0))</f>
        <v/>
      </c>
      <c r="AS457">
        <f>IF($AO457=1,IFERROR(IF(VALUE($E457)&lt;100000000,VALUE($E457),1000000000),IFERROR(IF(VALUE(MID($E457,2,20))&lt;100000000,VALUE(MID($E457,2,20)),1000000000),1000000000))+ROW()/100000,"")</f>
        <v/>
      </c>
    </row>
    <row r="458">
      <c r="D458">
        <f>IF($E458="","",IFERROR(IF(INDEX('Per Invoice'!$A$2:$A$301,MATCH($E458,'Per Invoice'!$B$2:$B$301,0))=0,"",INDEX('Per Invoice'!$A$2:$A$301,MATCH($E458,'Per Invoice'!$B$2:$B$301,0))),""))</f>
        <v/>
      </c>
      <c r="H458" s="11" t="n"/>
      <c r="R458" s="7">
        <f>IF($E458="","",Q458*Z458/100)</f>
        <v/>
      </c>
      <c r="S458" s="7" t="n"/>
      <c r="Y458" s="7" t="n"/>
      <c r="Z458" s="7" t="n"/>
      <c r="AA458" s="7">
        <f>IF($E458="","",Z458*AF458/100)</f>
        <v/>
      </c>
      <c r="AB458" s="7">
        <f>IF($E458="","",Z458-AA458)</f>
        <v/>
      </c>
      <c r="AC458" s="7">
        <f>IF($E458="","",AB458-R458)</f>
        <v/>
      </c>
      <c r="AF458">
        <f>IF($E458="","",IF($AR458=1,0,IF($AQ458=1,Settings!$C$6,Settings!$C$7))*100)</f>
        <v/>
      </c>
      <c r="AJ458" s="7" t="n"/>
      <c r="AM458" s="11" t="n"/>
      <c r="AO458">
        <f>IF($E458="","",IF(COUNTIF($E$2:$E458,$E458)=1,1,0))</f>
        <v/>
      </c>
      <c r="AP458">
        <f>IF($AO458=1,SUMPRODUCT(--($AS$2:$AS$1001&lt;$AS458))+1,"")</f>
        <v/>
      </c>
      <c r="AQ458">
        <f>IF($E458="","",IF(OR($V458=TRUE(),$V458="TRUE"),1,0))</f>
        <v/>
      </c>
      <c r="AR458">
        <f>IF($E458="","",IF($AE458="Yes",1,0))</f>
        <v/>
      </c>
      <c r="AS458">
        <f>IF($AO458=1,IFERROR(IF(VALUE($E458)&lt;100000000,VALUE($E458),1000000000),IFERROR(IF(VALUE(MID($E458,2,20))&lt;100000000,VALUE(MID($E458,2,20)),1000000000),1000000000))+ROW()/100000,"")</f>
        <v/>
      </c>
    </row>
    <row r="459">
      <c r="D459">
        <f>IF($E459="","",IFERROR(IF(INDEX('Per Invoice'!$A$2:$A$301,MATCH($E459,'Per Invoice'!$B$2:$B$301,0))=0,"",INDEX('Per Invoice'!$A$2:$A$301,MATCH($E459,'Per Invoice'!$B$2:$B$301,0))),""))</f>
        <v/>
      </c>
      <c r="H459" s="11" t="n"/>
      <c r="R459" s="7">
        <f>IF($E459="","",Q459*Z459/100)</f>
        <v/>
      </c>
      <c r="S459" s="7" t="n"/>
      <c r="Y459" s="7" t="n"/>
      <c r="Z459" s="7" t="n"/>
      <c r="AA459" s="7">
        <f>IF($E459="","",Z459*AF459/100)</f>
        <v/>
      </c>
      <c r="AB459" s="7">
        <f>IF($E459="","",Z459-AA459)</f>
        <v/>
      </c>
      <c r="AC459" s="7">
        <f>IF($E459="","",AB459-R459)</f>
        <v/>
      </c>
      <c r="AF459">
        <f>IF($E459="","",IF($AR459=1,0,IF($AQ459=1,Settings!$C$6,Settings!$C$7))*100)</f>
        <v/>
      </c>
      <c r="AJ459" s="7" t="n"/>
      <c r="AM459" s="11" t="n"/>
      <c r="AO459">
        <f>IF($E459="","",IF(COUNTIF($E$2:$E459,$E459)=1,1,0))</f>
        <v/>
      </c>
      <c r="AP459">
        <f>IF($AO459=1,SUMPRODUCT(--($AS$2:$AS$1001&lt;$AS459))+1,"")</f>
        <v/>
      </c>
      <c r="AQ459">
        <f>IF($E459="","",IF(OR($V459=TRUE(),$V459="TRUE"),1,0))</f>
        <v/>
      </c>
      <c r="AR459">
        <f>IF($E459="","",IF($AE459="Yes",1,0))</f>
        <v/>
      </c>
      <c r="AS459">
        <f>IF($AO459=1,IFERROR(IF(VALUE($E459)&lt;100000000,VALUE($E459),1000000000),IFERROR(IF(VALUE(MID($E459,2,20))&lt;100000000,VALUE(MID($E459,2,20)),1000000000),1000000000))+ROW()/100000,"")</f>
        <v/>
      </c>
    </row>
    <row r="460">
      <c r="D460">
        <f>IF($E460="","",IFERROR(IF(INDEX('Per Invoice'!$A$2:$A$301,MATCH($E460,'Per Invoice'!$B$2:$B$301,0))=0,"",INDEX('Per Invoice'!$A$2:$A$301,MATCH($E460,'Per Invoice'!$B$2:$B$301,0))),""))</f>
        <v/>
      </c>
      <c r="H460" s="11" t="n"/>
      <c r="R460" s="7">
        <f>IF($E460="","",Q460*Z460/100)</f>
        <v/>
      </c>
      <c r="S460" s="7" t="n"/>
      <c r="Y460" s="7" t="n"/>
      <c r="Z460" s="7" t="n"/>
      <c r="AA460" s="7">
        <f>IF($E460="","",Z460*AF460/100)</f>
        <v/>
      </c>
      <c r="AB460" s="7">
        <f>IF($E460="","",Z460-AA460)</f>
        <v/>
      </c>
      <c r="AC460" s="7">
        <f>IF($E460="","",AB460-R460)</f>
        <v/>
      </c>
      <c r="AF460">
        <f>IF($E460="","",IF($AR460=1,0,IF($AQ460=1,Settings!$C$6,Settings!$C$7))*100)</f>
        <v/>
      </c>
      <c r="AJ460" s="7" t="n"/>
      <c r="AM460" s="11" t="n"/>
      <c r="AO460">
        <f>IF($E460="","",IF(COUNTIF($E$2:$E460,$E460)=1,1,0))</f>
        <v/>
      </c>
      <c r="AP460">
        <f>IF($AO460=1,SUMPRODUCT(--($AS$2:$AS$1001&lt;$AS460))+1,"")</f>
        <v/>
      </c>
      <c r="AQ460">
        <f>IF($E460="","",IF(OR($V460=TRUE(),$V460="TRUE"),1,0))</f>
        <v/>
      </c>
      <c r="AR460">
        <f>IF($E460="","",IF($AE460="Yes",1,0))</f>
        <v/>
      </c>
      <c r="AS460">
        <f>IF($AO460=1,IFERROR(IF(VALUE($E460)&lt;100000000,VALUE($E460),1000000000),IFERROR(IF(VALUE(MID($E460,2,20))&lt;100000000,VALUE(MID($E460,2,20)),1000000000),1000000000))+ROW()/100000,"")</f>
        <v/>
      </c>
    </row>
    <row r="461">
      <c r="D461">
        <f>IF($E461="","",IFERROR(IF(INDEX('Per Invoice'!$A$2:$A$301,MATCH($E461,'Per Invoice'!$B$2:$B$301,0))=0,"",INDEX('Per Invoice'!$A$2:$A$301,MATCH($E461,'Per Invoice'!$B$2:$B$301,0))),""))</f>
        <v/>
      </c>
      <c r="H461" s="11" t="n"/>
      <c r="R461" s="7">
        <f>IF($E461="","",Q461*Z461/100)</f>
        <v/>
      </c>
      <c r="S461" s="7" t="n"/>
      <c r="Y461" s="7" t="n"/>
      <c r="Z461" s="7" t="n"/>
      <c r="AA461" s="7">
        <f>IF($E461="","",Z461*AF461/100)</f>
        <v/>
      </c>
      <c r="AB461" s="7">
        <f>IF($E461="","",Z461-AA461)</f>
        <v/>
      </c>
      <c r="AC461" s="7">
        <f>IF($E461="","",AB461-R461)</f>
        <v/>
      </c>
      <c r="AF461">
        <f>IF($E461="","",IF($AR461=1,0,IF($AQ461=1,Settings!$C$6,Settings!$C$7))*100)</f>
        <v/>
      </c>
      <c r="AJ461" s="7" t="n"/>
      <c r="AM461" s="11" t="n"/>
      <c r="AO461">
        <f>IF($E461="","",IF(COUNTIF($E$2:$E461,$E461)=1,1,0))</f>
        <v/>
      </c>
      <c r="AP461">
        <f>IF($AO461=1,SUMPRODUCT(--($AS$2:$AS$1001&lt;$AS461))+1,"")</f>
        <v/>
      </c>
      <c r="AQ461">
        <f>IF($E461="","",IF(OR($V461=TRUE(),$V461="TRUE"),1,0))</f>
        <v/>
      </c>
      <c r="AR461">
        <f>IF($E461="","",IF($AE461="Yes",1,0))</f>
        <v/>
      </c>
      <c r="AS461">
        <f>IF($AO461=1,IFERROR(IF(VALUE($E461)&lt;100000000,VALUE($E461),1000000000),IFERROR(IF(VALUE(MID($E461,2,20))&lt;100000000,VALUE(MID($E461,2,20)),1000000000),1000000000))+ROW()/100000,"")</f>
        <v/>
      </c>
    </row>
    <row r="462">
      <c r="D462">
        <f>IF($E462="","",IFERROR(IF(INDEX('Per Invoice'!$A$2:$A$301,MATCH($E462,'Per Invoice'!$B$2:$B$301,0))=0,"",INDEX('Per Invoice'!$A$2:$A$301,MATCH($E462,'Per Invoice'!$B$2:$B$301,0))),""))</f>
        <v/>
      </c>
      <c r="H462" s="11" t="n"/>
      <c r="R462" s="7">
        <f>IF($E462="","",Q462*Z462/100)</f>
        <v/>
      </c>
      <c r="S462" s="7" t="n"/>
      <c r="Y462" s="7" t="n"/>
      <c r="Z462" s="7" t="n"/>
      <c r="AA462" s="7">
        <f>IF($E462="","",Z462*AF462/100)</f>
        <v/>
      </c>
      <c r="AB462" s="7">
        <f>IF($E462="","",Z462-AA462)</f>
        <v/>
      </c>
      <c r="AC462" s="7">
        <f>IF($E462="","",AB462-R462)</f>
        <v/>
      </c>
      <c r="AF462">
        <f>IF($E462="","",IF($AR462=1,0,IF($AQ462=1,Settings!$C$6,Settings!$C$7))*100)</f>
        <v/>
      </c>
      <c r="AJ462" s="7" t="n"/>
      <c r="AM462" s="11" t="n"/>
      <c r="AO462">
        <f>IF($E462="","",IF(COUNTIF($E$2:$E462,$E462)=1,1,0))</f>
        <v/>
      </c>
      <c r="AP462">
        <f>IF($AO462=1,SUMPRODUCT(--($AS$2:$AS$1001&lt;$AS462))+1,"")</f>
        <v/>
      </c>
      <c r="AQ462">
        <f>IF($E462="","",IF(OR($V462=TRUE(),$V462="TRUE"),1,0))</f>
        <v/>
      </c>
      <c r="AR462">
        <f>IF($E462="","",IF($AE462="Yes",1,0))</f>
        <v/>
      </c>
      <c r="AS462">
        <f>IF($AO462=1,IFERROR(IF(VALUE($E462)&lt;100000000,VALUE($E462),1000000000),IFERROR(IF(VALUE(MID($E462,2,20))&lt;100000000,VALUE(MID($E462,2,20)),1000000000),1000000000))+ROW()/100000,"")</f>
        <v/>
      </c>
    </row>
    <row r="463">
      <c r="D463">
        <f>IF($E463="","",IFERROR(IF(INDEX('Per Invoice'!$A$2:$A$301,MATCH($E463,'Per Invoice'!$B$2:$B$301,0))=0,"",INDEX('Per Invoice'!$A$2:$A$301,MATCH($E463,'Per Invoice'!$B$2:$B$301,0))),""))</f>
        <v/>
      </c>
      <c r="H463" s="11" t="n"/>
      <c r="R463" s="7">
        <f>IF($E463="","",Q463*Z463/100)</f>
        <v/>
      </c>
      <c r="S463" s="7" t="n"/>
      <c r="Y463" s="7" t="n"/>
      <c r="Z463" s="7" t="n"/>
      <c r="AA463" s="7">
        <f>IF($E463="","",Z463*AF463/100)</f>
        <v/>
      </c>
      <c r="AB463" s="7">
        <f>IF($E463="","",Z463-AA463)</f>
        <v/>
      </c>
      <c r="AC463" s="7">
        <f>IF($E463="","",AB463-R463)</f>
        <v/>
      </c>
      <c r="AF463">
        <f>IF($E463="","",IF($AR463=1,0,IF($AQ463=1,Settings!$C$6,Settings!$C$7))*100)</f>
        <v/>
      </c>
      <c r="AJ463" s="7" t="n"/>
      <c r="AM463" s="11" t="n"/>
      <c r="AO463">
        <f>IF($E463="","",IF(COUNTIF($E$2:$E463,$E463)=1,1,0))</f>
        <v/>
      </c>
      <c r="AP463">
        <f>IF($AO463=1,SUMPRODUCT(--($AS$2:$AS$1001&lt;$AS463))+1,"")</f>
        <v/>
      </c>
      <c r="AQ463">
        <f>IF($E463="","",IF(OR($V463=TRUE(),$V463="TRUE"),1,0))</f>
        <v/>
      </c>
      <c r="AR463">
        <f>IF($E463="","",IF($AE463="Yes",1,0))</f>
        <v/>
      </c>
      <c r="AS463">
        <f>IF($AO463=1,IFERROR(IF(VALUE($E463)&lt;100000000,VALUE($E463),1000000000),IFERROR(IF(VALUE(MID($E463,2,20))&lt;100000000,VALUE(MID($E463,2,20)),1000000000),1000000000))+ROW()/100000,"")</f>
        <v/>
      </c>
    </row>
    <row r="464">
      <c r="D464">
        <f>IF($E464="","",IFERROR(IF(INDEX('Per Invoice'!$A$2:$A$301,MATCH($E464,'Per Invoice'!$B$2:$B$301,0))=0,"",INDEX('Per Invoice'!$A$2:$A$301,MATCH($E464,'Per Invoice'!$B$2:$B$301,0))),""))</f>
        <v/>
      </c>
      <c r="H464" s="11" t="n"/>
      <c r="R464" s="7">
        <f>IF($E464="","",Q464*Z464/100)</f>
        <v/>
      </c>
      <c r="S464" s="7" t="n"/>
      <c r="Y464" s="7" t="n"/>
      <c r="Z464" s="7" t="n"/>
      <c r="AA464" s="7">
        <f>IF($E464="","",Z464*AF464/100)</f>
        <v/>
      </c>
      <c r="AB464" s="7">
        <f>IF($E464="","",Z464-AA464)</f>
        <v/>
      </c>
      <c r="AC464" s="7">
        <f>IF($E464="","",AB464-R464)</f>
        <v/>
      </c>
      <c r="AF464">
        <f>IF($E464="","",IF($AR464=1,0,IF($AQ464=1,Settings!$C$6,Settings!$C$7))*100)</f>
        <v/>
      </c>
      <c r="AJ464" s="7" t="n"/>
      <c r="AM464" s="11" t="n"/>
      <c r="AO464">
        <f>IF($E464="","",IF(COUNTIF($E$2:$E464,$E464)=1,1,0))</f>
        <v/>
      </c>
      <c r="AP464">
        <f>IF($AO464=1,SUMPRODUCT(--($AS$2:$AS$1001&lt;$AS464))+1,"")</f>
        <v/>
      </c>
      <c r="AQ464">
        <f>IF($E464="","",IF(OR($V464=TRUE(),$V464="TRUE"),1,0))</f>
        <v/>
      </c>
      <c r="AR464">
        <f>IF($E464="","",IF($AE464="Yes",1,0))</f>
        <v/>
      </c>
      <c r="AS464">
        <f>IF($AO464=1,IFERROR(IF(VALUE($E464)&lt;100000000,VALUE($E464),1000000000),IFERROR(IF(VALUE(MID($E464,2,20))&lt;100000000,VALUE(MID($E464,2,20)),1000000000),1000000000))+ROW()/100000,"")</f>
        <v/>
      </c>
    </row>
    <row r="465">
      <c r="D465">
        <f>IF($E465="","",IFERROR(IF(INDEX('Per Invoice'!$A$2:$A$301,MATCH($E465,'Per Invoice'!$B$2:$B$301,0))=0,"",INDEX('Per Invoice'!$A$2:$A$301,MATCH($E465,'Per Invoice'!$B$2:$B$301,0))),""))</f>
        <v/>
      </c>
      <c r="H465" s="11" t="n"/>
      <c r="R465" s="7">
        <f>IF($E465="","",Q465*Z465/100)</f>
        <v/>
      </c>
      <c r="S465" s="7" t="n"/>
      <c r="Y465" s="7" t="n"/>
      <c r="Z465" s="7" t="n"/>
      <c r="AA465" s="7">
        <f>IF($E465="","",Z465*AF465/100)</f>
        <v/>
      </c>
      <c r="AB465" s="7">
        <f>IF($E465="","",Z465-AA465)</f>
        <v/>
      </c>
      <c r="AC465" s="7">
        <f>IF($E465="","",AB465-R465)</f>
        <v/>
      </c>
      <c r="AF465">
        <f>IF($E465="","",IF($AR465=1,0,IF($AQ465=1,Settings!$C$6,Settings!$C$7))*100)</f>
        <v/>
      </c>
      <c r="AJ465" s="7" t="n"/>
      <c r="AM465" s="11" t="n"/>
      <c r="AO465">
        <f>IF($E465="","",IF(COUNTIF($E$2:$E465,$E465)=1,1,0))</f>
        <v/>
      </c>
      <c r="AP465">
        <f>IF($AO465=1,SUMPRODUCT(--($AS$2:$AS$1001&lt;$AS465))+1,"")</f>
        <v/>
      </c>
      <c r="AQ465">
        <f>IF($E465="","",IF(OR($V465=TRUE(),$V465="TRUE"),1,0))</f>
        <v/>
      </c>
      <c r="AR465">
        <f>IF($E465="","",IF($AE465="Yes",1,0))</f>
        <v/>
      </c>
      <c r="AS465">
        <f>IF($AO465=1,IFERROR(IF(VALUE($E465)&lt;100000000,VALUE($E465),1000000000),IFERROR(IF(VALUE(MID($E465,2,20))&lt;100000000,VALUE(MID($E465,2,20)),1000000000),1000000000))+ROW()/100000,"")</f>
        <v/>
      </c>
    </row>
    <row r="466">
      <c r="D466">
        <f>IF($E466="","",IFERROR(IF(INDEX('Per Invoice'!$A$2:$A$301,MATCH($E466,'Per Invoice'!$B$2:$B$301,0))=0,"",INDEX('Per Invoice'!$A$2:$A$301,MATCH($E466,'Per Invoice'!$B$2:$B$301,0))),""))</f>
        <v/>
      </c>
      <c r="H466" s="11" t="n"/>
      <c r="R466" s="7">
        <f>IF($E466="","",Q466*Z466/100)</f>
        <v/>
      </c>
      <c r="S466" s="7" t="n"/>
      <c r="Y466" s="7" t="n"/>
      <c r="Z466" s="7" t="n"/>
      <c r="AA466" s="7">
        <f>IF($E466="","",Z466*AF466/100)</f>
        <v/>
      </c>
      <c r="AB466" s="7">
        <f>IF($E466="","",Z466-AA466)</f>
        <v/>
      </c>
      <c r="AC466" s="7">
        <f>IF($E466="","",AB466-R466)</f>
        <v/>
      </c>
      <c r="AF466">
        <f>IF($E466="","",IF($AR466=1,0,IF($AQ466=1,Settings!$C$6,Settings!$C$7))*100)</f>
        <v/>
      </c>
      <c r="AJ466" s="7" t="n"/>
      <c r="AM466" s="11" t="n"/>
      <c r="AO466">
        <f>IF($E466="","",IF(COUNTIF($E$2:$E466,$E466)=1,1,0))</f>
        <v/>
      </c>
      <c r="AP466">
        <f>IF($AO466=1,SUMPRODUCT(--($AS$2:$AS$1001&lt;$AS466))+1,"")</f>
        <v/>
      </c>
      <c r="AQ466">
        <f>IF($E466="","",IF(OR($V466=TRUE(),$V466="TRUE"),1,0))</f>
        <v/>
      </c>
      <c r="AR466">
        <f>IF($E466="","",IF($AE466="Yes",1,0))</f>
        <v/>
      </c>
      <c r="AS466">
        <f>IF($AO466=1,IFERROR(IF(VALUE($E466)&lt;100000000,VALUE($E466),1000000000),IFERROR(IF(VALUE(MID($E466,2,20))&lt;100000000,VALUE(MID($E466,2,20)),1000000000),1000000000))+ROW()/100000,"")</f>
        <v/>
      </c>
    </row>
    <row r="467">
      <c r="D467">
        <f>IF($E467="","",IFERROR(IF(INDEX('Per Invoice'!$A$2:$A$301,MATCH($E467,'Per Invoice'!$B$2:$B$301,0))=0,"",INDEX('Per Invoice'!$A$2:$A$301,MATCH($E467,'Per Invoice'!$B$2:$B$301,0))),""))</f>
        <v/>
      </c>
      <c r="H467" s="11" t="n"/>
      <c r="R467" s="7">
        <f>IF($E467="","",Q467*Z467/100)</f>
        <v/>
      </c>
      <c r="S467" s="7" t="n"/>
      <c r="Y467" s="7" t="n"/>
      <c r="Z467" s="7" t="n"/>
      <c r="AA467" s="7">
        <f>IF($E467="","",Z467*AF467/100)</f>
        <v/>
      </c>
      <c r="AB467" s="7">
        <f>IF($E467="","",Z467-AA467)</f>
        <v/>
      </c>
      <c r="AC467" s="7">
        <f>IF($E467="","",AB467-R467)</f>
        <v/>
      </c>
      <c r="AF467">
        <f>IF($E467="","",IF($AR467=1,0,IF($AQ467=1,Settings!$C$6,Settings!$C$7))*100)</f>
        <v/>
      </c>
      <c r="AJ467" s="7" t="n"/>
      <c r="AM467" s="11" t="n"/>
      <c r="AO467">
        <f>IF($E467="","",IF(COUNTIF($E$2:$E467,$E467)=1,1,0))</f>
        <v/>
      </c>
      <c r="AP467">
        <f>IF($AO467=1,SUMPRODUCT(--($AS$2:$AS$1001&lt;$AS467))+1,"")</f>
        <v/>
      </c>
      <c r="AQ467">
        <f>IF($E467="","",IF(OR($V467=TRUE(),$V467="TRUE"),1,0))</f>
        <v/>
      </c>
      <c r="AR467">
        <f>IF($E467="","",IF($AE467="Yes",1,0))</f>
        <v/>
      </c>
      <c r="AS467">
        <f>IF($AO467=1,IFERROR(IF(VALUE($E467)&lt;100000000,VALUE($E467),1000000000),IFERROR(IF(VALUE(MID($E467,2,20))&lt;100000000,VALUE(MID($E467,2,20)),1000000000),1000000000))+ROW()/100000,"")</f>
        <v/>
      </c>
    </row>
    <row r="468">
      <c r="D468">
        <f>IF($E468="","",IFERROR(IF(INDEX('Per Invoice'!$A$2:$A$301,MATCH($E468,'Per Invoice'!$B$2:$B$301,0))=0,"",INDEX('Per Invoice'!$A$2:$A$301,MATCH($E468,'Per Invoice'!$B$2:$B$301,0))),""))</f>
        <v/>
      </c>
      <c r="H468" s="11" t="n"/>
      <c r="R468" s="7">
        <f>IF($E468="","",Q468*Z468/100)</f>
        <v/>
      </c>
      <c r="S468" s="7" t="n"/>
      <c r="Y468" s="7" t="n"/>
      <c r="Z468" s="7" t="n"/>
      <c r="AA468" s="7">
        <f>IF($E468="","",Z468*AF468/100)</f>
        <v/>
      </c>
      <c r="AB468" s="7">
        <f>IF($E468="","",Z468-AA468)</f>
        <v/>
      </c>
      <c r="AC468" s="7">
        <f>IF($E468="","",AB468-R468)</f>
        <v/>
      </c>
      <c r="AF468">
        <f>IF($E468="","",IF($AR468=1,0,IF($AQ468=1,Settings!$C$6,Settings!$C$7))*100)</f>
        <v/>
      </c>
      <c r="AJ468" s="7" t="n"/>
      <c r="AM468" s="11" t="n"/>
      <c r="AO468">
        <f>IF($E468="","",IF(COUNTIF($E$2:$E468,$E468)=1,1,0))</f>
        <v/>
      </c>
      <c r="AP468">
        <f>IF($AO468=1,SUMPRODUCT(--($AS$2:$AS$1001&lt;$AS468))+1,"")</f>
        <v/>
      </c>
      <c r="AQ468">
        <f>IF($E468="","",IF(OR($V468=TRUE(),$V468="TRUE"),1,0))</f>
        <v/>
      </c>
      <c r="AR468">
        <f>IF($E468="","",IF($AE468="Yes",1,0))</f>
        <v/>
      </c>
      <c r="AS468">
        <f>IF($AO468=1,IFERROR(IF(VALUE($E468)&lt;100000000,VALUE($E468),1000000000),IFERROR(IF(VALUE(MID($E468,2,20))&lt;100000000,VALUE(MID($E468,2,20)),1000000000),1000000000))+ROW()/100000,"")</f>
        <v/>
      </c>
    </row>
    <row r="469">
      <c r="D469">
        <f>IF($E469="","",IFERROR(IF(INDEX('Per Invoice'!$A$2:$A$301,MATCH($E469,'Per Invoice'!$B$2:$B$301,0))=0,"",INDEX('Per Invoice'!$A$2:$A$301,MATCH($E469,'Per Invoice'!$B$2:$B$301,0))),""))</f>
        <v/>
      </c>
      <c r="H469" s="11" t="n"/>
      <c r="R469" s="7">
        <f>IF($E469="","",Q469*Z469/100)</f>
        <v/>
      </c>
      <c r="S469" s="7" t="n"/>
      <c r="Y469" s="7" t="n"/>
      <c r="Z469" s="7" t="n"/>
      <c r="AA469" s="7">
        <f>IF($E469="","",Z469*AF469/100)</f>
        <v/>
      </c>
      <c r="AB469" s="7">
        <f>IF($E469="","",Z469-AA469)</f>
        <v/>
      </c>
      <c r="AC469" s="7">
        <f>IF($E469="","",AB469-R469)</f>
        <v/>
      </c>
      <c r="AF469">
        <f>IF($E469="","",IF($AR469=1,0,IF($AQ469=1,Settings!$C$6,Settings!$C$7))*100)</f>
        <v/>
      </c>
      <c r="AJ469" s="7" t="n"/>
      <c r="AM469" s="11" t="n"/>
      <c r="AO469">
        <f>IF($E469="","",IF(COUNTIF($E$2:$E469,$E469)=1,1,0))</f>
        <v/>
      </c>
      <c r="AP469">
        <f>IF($AO469=1,SUMPRODUCT(--($AS$2:$AS$1001&lt;$AS469))+1,"")</f>
        <v/>
      </c>
      <c r="AQ469">
        <f>IF($E469="","",IF(OR($V469=TRUE(),$V469="TRUE"),1,0))</f>
        <v/>
      </c>
      <c r="AR469">
        <f>IF($E469="","",IF($AE469="Yes",1,0))</f>
        <v/>
      </c>
      <c r="AS469">
        <f>IF($AO469=1,IFERROR(IF(VALUE($E469)&lt;100000000,VALUE($E469),1000000000),IFERROR(IF(VALUE(MID($E469,2,20))&lt;100000000,VALUE(MID($E469,2,20)),1000000000),1000000000))+ROW()/100000,"")</f>
        <v/>
      </c>
    </row>
    <row r="470">
      <c r="D470">
        <f>IF($E470="","",IFERROR(IF(INDEX('Per Invoice'!$A$2:$A$301,MATCH($E470,'Per Invoice'!$B$2:$B$301,0))=0,"",INDEX('Per Invoice'!$A$2:$A$301,MATCH($E470,'Per Invoice'!$B$2:$B$301,0))),""))</f>
        <v/>
      </c>
      <c r="H470" s="11" t="n"/>
      <c r="R470" s="7">
        <f>IF($E470="","",Q470*Z470/100)</f>
        <v/>
      </c>
      <c r="S470" s="7" t="n"/>
      <c r="Y470" s="7" t="n"/>
      <c r="Z470" s="7" t="n"/>
      <c r="AA470" s="7">
        <f>IF($E470="","",Z470*AF470/100)</f>
        <v/>
      </c>
      <c r="AB470" s="7">
        <f>IF($E470="","",Z470-AA470)</f>
        <v/>
      </c>
      <c r="AC470" s="7">
        <f>IF($E470="","",AB470-R470)</f>
        <v/>
      </c>
      <c r="AF470">
        <f>IF($E470="","",IF($AR470=1,0,IF($AQ470=1,Settings!$C$6,Settings!$C$7))*100)</f>
        <v/>
      </c>
      <c r="AJ470" s="7" t="n"/>
      <c r="AM470" s="11" t="n"/>
      <c r="AO470">
        <f>IF($E470="","",IF(COUNTIF($E$2:$E470,$E470)=1,1,0))</f>
        <v/>
      </c>
      <c r="AP470">
        <f>IF($AO470=1,SUMPRODUCT(--($AS$2:$AS$1001&lt;$AS470))+1,"")</f>
        <v/>
      </c>
      <c r="AQ470">
        <f>IF($E470="","",IF(OR($V470=TRUE(),$V470="TRUE"),1,0))</f>
        <v/>
      </c>
      <c r="AR470">
        <f>IF($E470="","",IF($AE470="Yes",1,0))</f>
        <v/>
      </c>
      <c r="AS470">
        <f>IF($AO470=1,IFERROR(IF(VALUE($E470)&lt;100000000,VALUE($E470),1000000000),IFERROR(IF(VALUE(MID($E470,2,20))&lt;100000000,VALUE(MID($E470,2,20)),1000000000),1000000000))+ROW()/100000,"")</f>
        <v/>
      </c>
    </row>
    <row r="471">
      <c r="D471">
        <f>IF($E471="","",IFERROR(IF(INDEX('Per Invoice'!$A$2:$A$301,MATCH($E471,'Per Invoice'!$B$2:$B$301,0))=0,"",INDEX('Per Invoice'!$A$2:$A$301,MATCH($E471,'Per Invoice'!$B$2:$B$301,0))),""))</f>
        <v/>
      </c>
      <c r="H471" s="11" t="n"/>
      <c r="R471" s="7">
        <f>IF($E471="","",Q471*Z471/100)</f>
        <v/>
      </c>
      <c r="S471" s="7" t="n"/>
      <c r="Y471" s="7" t="n"/>
      <c r="Z471" s="7" t="n"/>
      <c r="AA471" s="7">
        <f>IF($E471="","",Z471*AF471/100)</f>
        <v/>
      </c>
      <c r="AB471" s="7">
        <f>IF($E471="","",Z471-AA471)</f>
        <v/>
      </c>
      <c r="AC471" s="7">
        <f>IF($E471="","",AB471-R471)</f>
        <v/>
      </c>
      <c r="AF471">
        <f>IF($E471="","",IF($AR471=1,0,IF($AQ471=1,Settings!$C$6,Settings!$C$7))*100)</f>
        <v/>
      </c>
      <c r="AJ471" s="7" t="n"/>
      <c r="AM471" s="11" t="n"/>
      <c r="AO471">
        <f>IF($E471="","",IF(COUNTIF($E$2:$E471,$E471)=1,1,0))</f>
        <v/>
      </c>
      <c r="AP471">
        <f>IF($AO471=1,SUMPRODUCT(--($AS$2:$AS$1001&lt;$AS471))+1,"")</f>
        <v/>
      </c>
      <c r="AQ471">
        <f>IF($E471="","",IF(OR($V471=TRUE(),$V471="TRUE"),1,0))</f>
        <v/>
      </c>
      <c r="AR471">
        <f>IF($E471="","",IF($AE471="Yes",1,0))</f>
        <v/>
      </c>
      <c r="AS471">
        <f>IF($AO471=1,IFERROR(IF(VALUE($E471)&lt;100000000,VALUE($E471),1000000000),IFERROR(IF(VALUE(MID($E471,2,20))&lt;100000000,VALUE(MID($E471,2,20)),1000000000),1000000000))+ROW()/100000,"")</f>
        <v/>
      </c>
    </row>
    <row r="472">
      <c r="D472">
        <f>IF($E472="","",IFERROR(IF(INDEX('Per Invoice'!$A$2:$A$301,MATCH($E472,'Per Invoice'!$B$2:$B$301,0))=0,"",INDEX('Per Invoice'!$A$2:$A$301,MATCH($E472,'Per Invoice'!$B$2:$B$301,0))),""))</f>
        <v/>
      </c>
      <c r="H472" s="11" t="n"/>
      <c r="R472" s="7">
        <f>IF($E472="","",Q472*Z472/100)</f>
        <v/>
      </c>
      <c r="S472" s="7" t="n"/>
      <c r="Y472" s="7" t="n"/>
      <c r="Z472" s="7" t="n"/>
      <c r="AA472" s="7">
        <f>IF($E472="","",Z472*AF472/100)</f>
        <v/>
      </c>
      <c r="AB472" s="7">
        <f>IF($E472="","",Z472-AA472)</f>
        <v/>
      </c>
      <c r="AC472" s="7">
        <f>IF($E472="","",AB472-R472)</f>
        <v/>
      </c>
      <c r="AF472">
        <f>IF($E472="","",IF($AR472=1,0,IF($AQ472=1,Settings!$C$6,Settings!$C$7))*100)</f>
        <v/>
      </c>
      <c r="AJ472" s="7" t="n"/>
      <c r="AM472" s="11" t="n"/>
      <c r="AO472">
        <f>IF($E472="","",IF(COUNTIF($E$2:$E472,$E472)=1,1,0))</f>
        <v/>
      </c>
      <c r="AP472">
        <f>IF($AO472=1,SUMPRODUCT(--($AS$2:$AS$1001&lt;$AS472))+1,"")</f>
        <v/>
      </c>
      <c r="AQ472">
        <f>IF($E472="","",IF(OR($V472=TRUE(),$V472="TRUE"),1,0))</f>
        <v/>
      </c>
      <c r="AR472">
        <f>IF($E472="","",IF($AE472="Yes",1,0))</f>
        <v/>
      </c>
      <c r="AS472">
        <f>IF($AO472=1,IFERROR(IF(VALUE($E472)&lt;100000000,VALUE($E472),1000000000),IFERROR(IF(VALUE(MID($E472,2,20))&lt;100000000,VALUE(MID($E472,2,20)),1000000000),1000000000))+ROW()/100000,"")</f>
        <v/>
      </c>
    </row>
    <row r="473">
      <c r="D473">
        <f>IF($E473="","",IFERROR(IF(INDEX('Per Invoice'!$A$2:$A$301,MATCH($E473,'Per Invoice'!$B$2:$B$301,0))=0,"",INDEX('Per Invoice'!$A$2:$A$301,MATCH($E473,'Per Invoice'!$B$2:$B$301,0))),""))</f>
        <v/>
      </c>
      <c r="H473" s="11" t="n"/>
      <c r="R473" s="7">
        <f>IF($E473="","",Q473*Z473/100)</f>
        <v/>
      </c>
      <c r="S473" s="7" t="n"/>
      <c r="Y473" s="7" t="n"/>
      <c r="Z473" s="7" t="n"/>
      <c r="AA473" s="7">
        <f>IF($E473="","",Z473*AF473/100)</f>
        <v/>
      </c>
      <c r="AB473" s="7">
        <f>IF($E473="","",Z473-AA473)</f>
        <v/>
      </c>
      <c r="AC473" s="7">
        <f>IF($E473="","",AB473-R473)</f>
        <v/>
      </c>
      <c r="AF473">
        <f>IF($E473="","",IF($AR473=1,0,IF($AQ473=1,Settings!$C$6,Settings!$C$7))*100)</f>
        <v/>
      </c>
      <c r="AJ473" s="7" t="n"/>
      <c r="AM473" s="11" t="n"/>
      <c r="AO473">
        <f>IF($E473="","",IF(COUNTIF($E$2:$E473,$E473)=1,1,0))</f>
        <v/>
      </c>
      <c r="AP473">
        <f>IF($AO473=1,SUMPRODUCT(--($AS$2:$AS$1001&lt;$AS473))+1,"")</f>
        <v/>
      </c>
      <c r="AQ473">
        <f>IF($E473="","",IF(OR($V473=TRUE(),$V473="TRUE"),1,0))</f>
        <v/>
      </c>
      <c r="AR473">
        <f>IF($E473="","",IF($AE473="Yes",1,0))</f>
        <v/>
      </c>
      <c r="AS473">
        <f>IF($AO473=1,IFERROR(IF(VALUE($E473)&lt;100000000,VALUE($E473),1000000000),IFERROR(IF(VALUE(MID($E473,2,20))&lt;100000000,VALUE(MID($E473,2,20)),1000000000),1000000000))+ROW()/100000,"")</f>
        <v/>
      </c>
    </row>
    <row r="474">
      <c r="D474">
        <f>IF($E474="","",IFERROR(IF(INDEX('Per Invoice'!$A$2:$A$301,MATCH($E474,'Per Invoice'!$B$2:$B$301,0))=0,"",INDEX('Per Invoice'!$A$2:$A$301,MATCH($E474,'Per Invoice'!$B$2:$B$301,0))),""))</f>
        <v/>
      </c>
      <c r="H474" s="11" t="n"/>
      <c r="R474" s="7">
        <f>IF($E474="","",Q474*Z474/100)</f>
        <v/>
      </c>
      <c r="S474" s="7" t="n"/>
      <c r="Y474" s="7" t="n"/>
      <c r="Z474" s="7" t="n"/>
      <c r="AA474" s="7">
        <f>IF($E474="","",Z474*AF474/100)</f>
        <v/>
      </c>
      <c r="AB474" s="7">
        <f>IF($E474="","",Z474-AA474)</f>
        <v/>
      </c>
      <c r="AC474" s="7">
        <f>IF($E474="","",AB474-R474)</f>
        <v/>
      </c>
      <c r="AF474">
        <f>IF($E474="","",IF($AR474=1,0,IF($AQ474=1,Settings!$C$6,Settings!$C$7))*100)</f>
        <v/>
      </c>
      <c r="AJ474" s="7" t="n"/>
      <c r="AM474" s="11" t="n"/>
      <c r="AO474">
        <f>IF($E474="","",IF(COUNTIF($E$2:$E474,$E474)=1,1,0))</f>
        <v/>
      </c>
      <c r="AP474">
        <f>IF($AO474=1,SUMPRODUCT(--($AS$2:$AS$1001&lt;$AS474))+1,"")</f>
        <v/>
      </c>
      <c r="AQ474">
        <f>IF($E474="","",IF(OR($V474=TRUE(),$V474="TRUE"),1,0))</f>
        <v/>
      </c>
      <c r="AR474">
        <f>IF($E474="","",IF($AE474="Yes",1,0))</f>
        <v/>
      </c>
      <c r="AS474">
        <f>IF($AO474=1,IFERROR(IF(VALUE($E474)&lt;100000000,VALUE($E474),1000000000),IFERROR(IF(VALUE(MID($E474,2,20))&lt;100000000,VALUE(MID($E474,2,20)),1000000000),1000000000))+ROW()/100000,"")</f>
        <v/>
      </c>
    </row>
    <row r="475">
      <c r="D475">
        <f>IF($E475="","",IFERROR(IF(INDEX('Per Invoice'!$A$2:$A$301,MATCH($E475,'Per Invoice'!$B$2:$B$301,0))=0,"",INDEX('Per Invoice'!$A$2:$A$301,MATCH($E475,'Per Invoice'!$B$2:$B$301,0))),""))</f>
        <v/>
      </c>
      <c r="H475" s="11" t="n"/>
      <c r="R475" s="7">
        <f>IF($E475="","",Q475*Z475/100)</f>
        <v/>
      </c>
      <c r="S475" s="7" t="n"/>
      <c r="Y475" s="7" t="n"/>
      <c r="Z475" s="7" t="n"/>
      <c r="AA475" s="7">
        <f>IF($E475="","",Z475*AF475/100)</f>
        <v/>
      </c>
      <c r="AB475" s="7">
        <f>IF($E475="","",Z475-AA475)</f>
        <v/>
      </c>
      <c r="AC475" s="7">
        <f>IF($E475="","",AB475-R475)</f>
        <v/>
      </c>
      <c r="AF475">
        <f>IF($E475="","",IF($AR475=1,0,IF($AQ475=1,Settings!$C$6,Settings!$C$7))*100)</f>
        <v/>
      </c>
      <c r="AJ475" s="7" t="n"/>
      <c r="AM475" s="11" t="n"/>
      <c r="AO475">
        <f>IF($E475="","",IF(COUNTIF($E$2:$E475,$E475)=1,1,0))</f>
        <v/>
      </c>
      <c r="AP475">
        <f>IF($AO475=1,SUMPRODUCT(--($AS$2:$AS$1001&lt;$AS475))+1,"")</f>
        <v/>
      </c>
      <c r="AQ475">
        <f>IF($E475="","",IF(OR($V475=TRUE(),$V475="TRUE"),1,0))</f>
        <v/>
      </c>
      <c r="AR475">
        <f>IF($E475="","",IF($AE475="Yes",1,0))</f>
        <v/>
      </c>
      <c r="AS475">
        <f>IF($AO475=1,IFERROR(IF(VALUE($E475)&lt;100000000,VALUE($E475),1000000000),IFERROR(IF(VALUE(MID($E475,2,20))&lt;100000000,VALUE(MID($E475,2,20)),1000000000),1000000000))+ROW()/100000,"")</f>
        <v/>
      </c>
    </row>
    <row r="476">
      <c r="D476">
        <f>IF($E476="","",IFERROR(IF(INDEX('Per Invoice'!$A$2:$A$301,MATCH($E476,'Per Invoice'!$B$2:$B$301,0))=0,"",INDEX('Per Invoice'!$A$2:$A$301,MATCH($E476,'Per Invoice'!$B$2:$B$301,0))),""))</f>
        <v/>
      </c>
      <c r="H476" s="11" t="n"/>
      <c r="R476" s="7">
        <f>IF($E476="","",Q476*Z476/100)</f>
        <v/>
      </c>
      <c r="S476" s="7" t="n"/>
      <c r="Y476" s="7" t="n"/>
      <c r="Z476" s="7" t="n"/>
      <c r="AA476" s="7">
        <f>IF($E476="","",Z476*AF476/100)</f>
        <v/>
      </c>
      <c r="AB476" s="7">
        <f>IF($E476="","",Z476-AA476)</f>
        <v/>
      </c>
      <c r="AC476" s="7">
        <f>IF($E476="","",AB476-R476)</f>
        <v/>
      </c>
      <c r="AF476">
        <f>IF($E476="","",IF($AR476=1,0,IF($AQ476=1,Settings!$C$6,Settings!$C$7))*100)</f>
        <v/>
      </c>
      <c r="AJ476" s="7" t="n"/>
      <c r="AM476" s="11" t="n"/>
      <c r="AO476">
        <f>IF($E476="","",IF(COUNTIF($E$2:$E476,$E476)=1,1,0))</f>
        <v/>
      </c>
      <c r="AP476">
        <f>IF($AO476=1,SUMPRODUCT(--($AS$2:$AS$1001&lt;$AS476))+1,"")</f>
        <v/>
      </c>
      <c r="AQ476">
        <f>IF($E476="","",IF(OR($V476=TRUE(),$V476="TRUE"),1,0))</f>
        <v/>
      </c>
      <c r="AR476">
        <f>IF($E476="","",IF($AE476="Yes",1,0))</f>
        <v/>
      </c>
      <c r="AS476">
        <f>IF($AO476=1,IFERROR(IF(VALUE($E476)&lt;100000000,VALUE($E476),1000000000),IFERROR(IF(VALUE(MID($E476,2,20))&lt;100000000,VALUE(MID($E476,2,20)),1000000000),1000000000))+ROW()/100000,"")</f>
        <v/>
      </c>
    </row>
    <row r="477">
      <c r="D477">
        <f>IF($E477="","",IFERROR(IF(INDEX('Per Invoice'!$A$2:$A$301,MATCH($E477,'Per Invoice'!$B$2:$B$301,0))=0,"",INDEX('Per Invoice'!$A$2:$A$301,MATCH($E477,'Per Invoice'!$B$2:$B$301,0))),""))</f>
        <v/>
      </c>
      <c r="H477" s="11" t="n"/>
      <c r="R477" s="7">
        <f>IF($E477="","",Q477*Z477/100)</f>
        <v/>
      </c>
      <c r="S477" s="7" t="n"/>
      <c r="Y477" s="7" t="n"/>
      <c r="Z477" s="7" t="n"/>
      <c r="AA477" s="7">
        <f>IF($E477="","",Z477*AF477/100)</f>
        <v/>
      </c>
      <c r="AB477" s="7">
        <f>IF($E477="","",Z477-AA477)</f>
        <v/>
      </c>
      <c r="AC477" s="7">
        <f>IF($E477="","",AB477-R477)</f>
        <v/>
      </c>
      <c r="AF477">
        <f>IF($E477="","",IF($AR477=1,0,IF($AQ477=1,Settings!$C$6,Settings!$C$7))*100)</f>
        <v/>
      </c>
      <c r="AJ477" s="7" t="n"/>
      <c r="AM477" s="11" t="n"/>
      <c r="AO477">
        <f>IF($E477="","",IF(COUNTIF($E$2:$E477,$E477)=1,1,0))</f>
        <v/>
      </c>
      <c r="AP477">
        <f>IF($AO477=1,SUMPRODUCT(--($AS$2:$AS$1001&lt;$AS477))+1,"")</f>
        <v/>
      </c>
      <c r="AQ477">
        <f>IF($E477="","",IF(OR($V477=TRUE(),$V477="TRUE"),1,0))</f>
        <v/>
      </c>
      <c r="AR477">
        <f>IF($E477="","",IF($AE477="Yes",1,0))</f>
        <v/>
      </c>
      <c r="AS477">
        <f>IF($AO477=1,IFERROR(IF(VALUE($E477)&lt;100000000,VALUE($E477),1000000000),IFERROR(IF(VALUE(MID($E477,2,20))&lt;100000000,VALUE(MID($E477,2,20)),1000000000),1000000000))+ROW()/100000,"")</f>
        <v/>
      </c>
    </row>
    <row r="478">
      <c r="D478">
        <f>IF($E478="","",IFERROR(IF(INDEX('Per Invoice'!$A$2:$A$301,MATCH($E478,'Per Invoice'!$B$2:$B$301,0))=0,"",INDEX('Per Invoice'!$A$2:$A$301,MATCH($E478,'Per Invoice'!$B$2:$B$301,0))),""))</f>
        <v/>
      </c>
      <c r="H478" s="11" t="n"/>
      <c r="R478" s="7">
        <f>IF($E478="","",Q478*Z478/100)</f>
        <v/>
      </c>
      <c r="S478" s="7" t="n"/>
      <c r="Y478" s="7" t="n"/>
      <c r="Z478" s="7" t="n"/>
      <c r="AA478" s="7">
        <f>IF($E478="","",Z478*AF478/100)</f>
        <v/>
      </c>
      <c r="AB478" s="7">
        <f>IF($E478="","",Z478-AA478)</f>
        <v/>
      </c>
      <c r="AC478" s="7">
        <f>IF($E478="","",AB478-R478)</f>
        <v/>
      </c>
      <c r="AF478">
        <f>IF($E478="","",IF($AR478=1,0,IF($AQ478=1,Settings!$C$6,Settings!$C$7))*100)</f>
        <v/>
      </c>
      <c r="AJ478" s="7" t="n"/>
      <c r="AM478" s="11" t="n"/>
      <c r="AO478">
        <f>IF($E478="","",IF(COUNTIF($E$2:$E478,$E478)=1,1,0))</f>
        <v/>
      </c>
      <c r="AP478">
        <f>IF($AO478=1,SUMPRODUCT(--($AS$2:$AS$1001&lt;$AS478))+1,"")</f>
        <v/>
      </c>
      <c r="AQ478">
        <f>IF($E478="","",IF(OR($V478=TRUE(),$V478="TRUE"),1,0))</f>
        <v/>
      </c>
      <c r="AR478">
        <f>IF($E478="","",IF($AE478="Yes",1,0))</f>
        <v/>
      </c>
      <c r="AS478">
        <f>IF($AO478=1,IFERROR(IF(VALUE($E478)&lt;100000000,VALUE($E478),1000000000),IFERROR(IF(VALUE(MID($E478,2,20))&lt;100000000,VALUE(MID($E478,2,20)),1000000000),1000000000))+ROW()/100000,"")</f>
        <v/>
      </c>
    </row>
    <row r="479">
      <c r="D479">
        <f>IF($E479="","",IFERROR(IF(INDEX('Per Invoice'!$A$2:$A$301,MATCH($E479,'Per Invoice'!$B$2:$B$301,0))=0,"",INDEX('Per Invoice'!$A$2:$A$301,MATCH($E479,'Per Invoice'!$B$2:$B$301,0))),""))</f>
        <v/>
      </c>
      <c r="H479" s="11" t="n"/>
      <c r="R479" s="7">
        <f>IF($E479="","",Q479*Z479/100)</f>
        <v/>
      </c>
      <c r="S479" s="7" t="n"/>
      <c r="Y479" s="7" t="n"/>
      <c r="Z479" s="7" t="n"/>
      <c r="AA479" s="7">
        <f>IF($E479="","",Z479*AF479/100)</f>
        <v/>
      </c>
      <c r="AB479" s="7">
        <f>IF($E479="","",Z479-AA479)</f>
        <v/>
      </c>
      <c r="AC479" s="7">
        <f>IF($E479="","",AB479-R479)</f>
        <v/>
      </c>
      <c r="AF479">
        <f>IF($E479="","",IF($AR479=1,0,IF($AQ479=1,Settings!$C$6,Settings!$C$7))*100)</f>
        <v/>
      </c>
      <c r="AJ479" s="7" t="n"/>
      <c r="AM479" s="11" t="n"/>
      <c r="AO479">
        <f>IF($E479="","",IF(COUNTIF($E$2:$E479,$E479)=1,1,0))</f>
        <v/>
      </c>
      <c r="AP479">
        <f>IF($AO479=1,SUMPRODUCT(--($AS$2:$AS$1001&lt;$AS479))+1,"")</f>
        <v/>
      </c>
      <c r="AQ479">
        <f>IF($E479="","",IF(OR($V479=TRUE(),$V479="TRUE"),1,0))</f>
        <v/>
      </c>
      <c r="AR479">
        <f>IF($E479="","",IF($AE479="Yes",1,0))</f>
        <v/>
      </c>
      <c r="AS479">
        <f>IF($AO479=1,IFERROR(IF(VALUE($E479)&lt;100000000,VALUE($E479),1000000000),IFERROR(IF(VALUE(MID($E479,2,20))&lt;100000000,VALUE(MID($E479,2,20)),1000000000),1000000000))+ROW()/100000,"")</f>
        <v/>
      </c>
    </row>
    <row r="480">
      <c r="D480">
        <f>IF($E480="","",IFERROR(IF(INDEX('Per Invoice'!$A$2:$A$301,MATCH($E480,'Per Invoice'!$B$2:$B$301,0))=0,"",INDEX('Per Invoice'!$A$2:$A$301,MATCH($E480,'Per Invoice'!$B$2:$B$301,0))),""))</f>
        <v/>
      </c>
      <c r="H480" s="11" t="n"/>
      <c r="R480" s="7">
        <f>IF($E480="","",Q480*Z480/100)</f>
        <v/>
      </c>
      <c r="S480" s="7" t="n"/>
      <c r="Y480" s="7" t="n"/>
      <c r="Z480" s="7" t="n"/>
      <c r="AA480" s="7">
        <f>IF($E480="","",Z480*AF480/100)</f>
        <v/>
      </c>
      <c r="AB480" s="7">
        <f>IF($E480="","",Z480-AA480)</f>
        <v/>
      </c>
      <c r="AC480" s="7">
        <f>IF($E480="","",AB480-R480)</f>
        <v/>
      </c>
      <c r="AF480">
        <f>IF($E480="","",IF($AR480=1,0,IF($AQ480=1,Settings!$C$6,Settings!$C$7))*100)</f>
        <v/>
      </c>
      <c r="AJ480" s="7" t="n"/>
      <c r="AM480" s="11" t="n"/>
      <c r="AO480">
        <f>IF($E480="","",IF(COUNTIF($E$2:$E480,$E480)=1,1,0))</f>
        <v/>
      </c>
      <c r="AP480">
        <f>IF($AO480=1,SUMPRODUCT(--($AS$2:$AS$1001&lt;$AS480))+1,"")</f>
        <v/>
      </c>
      <c r="AQ480">
        <f>IF($E480="","",IF(OR($V480=TRUE(),$V480="TRUE"),1,0))</f>
        <v/>
      </c>
      <c r="AR480">
        <f>IF($E480="","",IF($AE480="Yes",1,0))</f>
        <v/>
      </c>
      <c r="AS480">
        <f>IF($AO480=1,IFERROR(IF(VALUE($E480)&lt;100000000,VALUE($E480),1000000000),IFERROR(IF(VALUE(MID($E480,2,20))&lt;100000000,VALUE(MID($E480,2,20)),1000000000),1000000000))+ROW()/100000,"")</f>
        <v/>
      </c>
    </row>
    <row r="481">
      <c r="D481">
        <f>IF($E481="","",IFERROR(IF(INDEX('Per Invoice'!$A$2:$A$301,MATCH($E481,'Per Invoice'!$B$2:$B$301,0))=0,"",INDEX('Per Invoice'!$A$2:$A$301,MATCH($E481,'Per Invoice'!$B$2:$B$301,0))),""))</f>
        <v/>
      </c>
      <c r="H481" s="11" t="n"/>
      <c r="R481" s="7">
        <f>IF($E481="","",Q481*Z481/100)</f>
        <v/>
      </c>
      <c r="S481" s="7" t="n"/>
      <c r="Y481" s="7" t="n"/>
      <c r="Z481" s="7" t="n"/>
      <c r="AA481" s="7">
        <f>IF($E481="","",Z481*AF481/100)</f>
        <v/>
      </c>
      <c r="AB481" s="7">
        <f>IF($E481="","",Z481-AA481)</f>
        <v/>
      </c>
      <c r="AC481" s="7">
        <f>IF($E481="","",AB481-R481)</f>
        <v/>
      </c>
      <c r="AF481">
        <f>IF($E481="","",IF($AR481=1,0,IF($AQ481=1,Settings!$C$6,Settings!$C$7))*100)</f>
        <v/>
      </c>
      <c r="AJ481" s="7" t="n"/>
      <c r="AM481" s="11" t="n"/>
      <c r="AO481">
        <f>IF($E481="","",IF(COUNTIF($E$2:$E481,$E481)=1,1,0))</f>
        <v/>
      </c>
      <c r="AP481">
        <f>IF($AO481=1,SUMPRODUCT(--($AS$2:$AS$1001&lt;$AS481))+1,"")</f>
        <v/>
      </c>
      <c r="AQ481">
        <f>IF($E481="","",IF(OR($V481=TRUE(),$V481="TRUE"),1,0))</f>
        <v/>
      </c>
      <c r="AR481">
        <f>IF($E481="","",IF($AE481="Yes",1,0))</f>
        <v/>
      </c>
      <c r="AS481">
        <f>IF($AO481=1,IFERROR(IF(VALUE($E481)&lt;100000000,VALUE($E481),1000000000),IFERROR(IF(VALUE(MID($E481,2,20))&lt;100000000,VALUE(MID($E481,2,20)),1000000000),1000000000))+ROW()/100000,"")</f>
        <v/>
      </c>
    </row>
    <row r="482">
      <c r="D482">
        <f>IF($E482="","",IFERROR(IF(INDEX('Per Invoice'!$A$2:$A$301,MATCH($E482,'Per Invoice'!$B$2:$B$301,0))=0,"",INDEX('Per Invoice'!$A$2:$A$301,MATCH($E482,'Per Invoice'!$B$2:$B$301,0))),""))</f>
        <v/>
      </c>
      <c r="H482" s="11" t="n"/>
      <c r="R482" s="7">
        <f>IF($E482="","",Q482*Z482/100)</f>
        <v/>
      </c>
      <c r="S482" s="7" t="n"/>
      <c r="Y482" s="7" t="n"/>
      <c r="Z482" s="7" t="n"/>
      <c r="AA482" s="7">
        <f>IF($E482="","",Z482*AF482/100)</f>
        <v/>
      </c>
      <c r="AB482" s="7">
        <f>IF($E482="","",Z482-AA482)</f>
        <v/>
      </c>
      <c r="AC482" s="7">
        <f>IF($E482="","",AB482-R482)</f>
        <v/>
      </c>
      <c r="AF482">
        <f>IF($E482="","",IF($AR482=1,0,IF($AQ482=1,Settings!$C$6,Settings!$C$7))*100)</f>
        <v/>
      </c>
      <c r="AJ482" s="7" t="n"/>
      <c r="AM482" s="11" t="n"/>
      <c r="AO482">
        <f>IF($E482="","",IF(COUNTIF($E$2:$E482,$E482)=1,1,0))</f>
        <v/>
      </c>
      <c r="AP482">
        <f>IF($AO482=1,SUMPRODUCT(--($AS$2:$AS$1001&lt;$AS482))+1,"")</f>
        <v/>
      </c>
      <c r="AQ482">
        <f>IF($E482="","",IF(OR($V482=TRUE(),$V482="TRUE"),1,0))</f>
        <v/>
      </c>
      <c r="AR482">
        <f>IF($E482="","",IF($AE482="Yes",1,0))</f>
        <v/>
      </c>
      <c r="AS482">
        <f>IF($AO482=1,IFERROR(IF(VALUE($E482)&lt;100000000,VALUE($E482),1000000000),IFERROR(IF(VALUE(MID($E482,2,20))&lt;100000000,VALUE(MID($E482,2,20)),1000000000),1000000000))+ROW()/100000,"")</f>
        <v/>
      </c>
    </row>
    <row r="483">
      <c r="D483">
        <f>IF($E483="","",IFERROR(IF(INDEX('Per Invoice'!$A$2:$A$301,MATCH($E483,'Per Invoice'!$B$2:$B$301,0))=0,"",INDEX('Per Invoice'!$A$2:$A$301,MATCH($E483,'Per Invoice'!$B$2:$B$301,0))),""))</f>
        <v/>
      </c>
      <c r="H483" s="11" t="n"/>
      <c r="R483" s="7">
        <f>IF($E483="","",Q483*Z483/100)</f>
        <v/>
      </c>
      <c r="S483" s="7" t="n"/>
      <c r="Y483" s="7" t="n"/>
      <c r="Z483" s="7" t="n"/>
      <c r="AA483" s="7">
        <f>IF($E483="","",Z483*AF483/100)</f>
        <v/>
      </c>
      <c r="AB483" s="7">
        <f>IF($E483="","",Z483-AA483)</f>
        <v/>
      </c>
      <c r="AC483" s="7">
        <f>IF($E483="","",AB483-R483)</f>
        <v/>
      </c>
      <c r="AF483">
        <f>IF($E483="","",IF($AR483=1,0,IF($AQ483=1,Settings!$C$6,Settings!$C$7))*100)</f>
        <v/>
      </c>
      <c r="AJ483" s="7" t="n"/>
      <c r="AM483" s="11" t="n"/>
      <c r="AO483">
        <f>IF($E483="","",IF(COUNTIF($E$2:$E483,$E483)=1,1,0))</f>
        <v/>
      </c>
      <c r="AP483">
        <f>IF($AO483=1,SUMPRODUCT(--($AS$2:$AS$1001&lt;$AS483))+1,"")</f>
        <v/>
      </c>
      <c r="AQ483">
        <f>IF($E483="","",IF(OR($V483=TRUE(),$V483="TRUE"),1,0))</f>
        <v/>
      </c>
      <c r="AR483">
        <f>IF($E483="","",IF($AE483="Yes",1,0))</f>
        <v/>
      </c>
      <c r="AS483">
        <f>IF($AO483=1,IFERROR(IF(VALUE($E483)&lt;100000000,VALUE($E483),1000000000),IFERROR(IF(VALUE(MID($E483,2,20))&lt;100000000,VALUE(MID($E483,2,20)),1000000000),1000000000))+ROW()/100000,"")</f>
        <v/>
      </c>
    </row>
    <row r="484">
      <c r="D484">
        <f>IF($E484="","",IFERROR(IF(INDEX('Per Invoice'!$A$2:$A$301,MATCH($E484,'Per Invoice'!$B$2:$B$301,0))=0,"",INDEX('Per Invoice'!$A$2:$A$301,MATCH($E484,'Per Invoice'!$B$2:$B$301,0))),""))</f>
        <v/>
      </c>
      <c r="H484" s="11" t="n"/>
      <c r="R484" s="7">
        <f>IF($E484="","",Q484*Z484/100)</f>
        <v/>
      </c>
      <c r="S484" s="7" t="n"/>
      <c r="Y484" s="7" t="n"/>
      <c r="Z484" s="7" t="n"/>
      <c r="AA484" s="7">
        <f>IF($E484="","",Z484*AF484/100)</f>
        <v/>
      </c>
      <c r="AB484" s="7">
        <f>IF($E484="","",Z484-AA484)</f>
        <v/>
      </c>
      <c r="AC484" s="7">
        <f>IF($E484="","",AB484-R484)</f>
        <v/>
      </c>
      <c r="AF484">
        <f>IF($E484="","",IF($AR484=1,0,IF($AQ484=1,Settings!$C$6,Settings!$C$7))*100)</f>
        <v/>
      </c>
      <c r="AJ484" s="7" t="n"/>
      <c r="AM484" s="11" t="n"/>
      <c r="AO484">
        <f>IF($E484="","",IF(COUNTIF($E$2:$E484,$E484)=1,1,0))</f>
        <v/>
      </c>
      <c r="AP484">
        <f>IF($AO484=1,SUMPRODUCT(--($AS$2:$AS$1001&lt;$AS484))+1,"")</f>
        <v/>
      </c>
      <c r="AQ484">
        <f>IF($E484="","",IF(OR($V484=TRUE(),$V484="TRUE"),1,0))</f>
        <v/>
      </c>
      <c r="AR484">
        <f>IF($E484="","",IF($AE484="Yes",1,0))</f>
        <v/>
      </c>
      <c r="AS484">
        <f>IF($AO484=1,IFERROR(IF(VALUE($E484)&lt;100000000,VALUE($E484),1000000000),IFERROR(IF(VALUE(MID($E484,2,20))&lt;100000000,VALUE(MID($E484,2,20)),1000000000),1000000000))+ROW()/100000,"")</f>
        <v/>
      </c>
    </row>
    <row r="485">
      <c r="D485">
        <f>IF($E485="","",IFERROR(IF(INDEX('Per Invoice'!$A$2:$A$301,MATCH($E485,'Per Invoice'!$B$2:$B$301,0))=0,"",INDEX('Per Invoice'!$A$2:$A$301,MATCH($E485,'Per Invoice'!$B$2:$B$301,0))),""))</f>
        <v/>
      </c>
      <c r="H485" s="11" t="n"/>
      <c r="R485" s="7">
        <f>IF($E485="","",Q485*Z485/100)</f>
        <v/>
      </c>
      <c r="S485" s="7" t="n"/>
      <c r="Y485" s="7" t="n"/>
      <c r="Z485" s="7" t="n"/>
      <c r="AA485" s="7">
        <f>IF($E485="","",Z485*AF485/100)</f>
        <v/>
      </c>
      <c r="AB485" s="7">
        <f>IF($E485="","",Z485-AA485)</f>
        <v/>
      </c>
      <c r="AC485" s="7">
        <f>IF($E485="","",AB485-R485)</f>
        <v/>
      </c>
      <c r="AF485">
        <f>IF($E485="","",IF($AR485=1,0,IF($AQ485=1,Settings!$C$6,Settings!$C$7))*100)</f>
        <v/>
      </c>
      <c r="AJ485" s="7" t="n"/>
      <c r="AM485" s="11" t="n"/>
      <c r="AO485">
        <f>IF($E485="","",IF(COUNTIF($E$2:$E485,$E485)=1,1,0))</f>
        <v/>
      </c>
      <c r="AP485">
        <f>IF($AO485=1,SUMPRODUCT(--($AS$2:$AS$1001&lt;$AS485))+1,"")</f>
        <v/>
      </c>
      <c r="AQ485">
        <f>IF($E485="","",IF(OR($V485=TRUE(),$V485="TRUE"),1,0))</f>
        <v/>
      </c>
      <c r="AR485">
        <f>IF($E485="","",IF($AE485="Yes",1,0))</f>
        <v/>
      </c>
      <c r="AS485">
        <f>IF($AO485=1,IFERROR(IF(VALUE($E485)&lt;100000000,VALUE($E485),1000000000),IFERROR(IF(VALUE(MID($E485,2,20))&lt;100000000,VALUE(MID($E485,2,20)),1000000000),1000000000))+ROW()/100000,"")</f>
        <v/>
      </c>
    </row>
    <row r="486">
      <c r="D486">
        <f>IF($E486="","",IFERROR(IF(INDEX('Per Invoice'!$A$2:$A$301,MATCH($E486,'Per Invoice'!$B$2:$B$301,0))=0,"",INDEX('Per Invoice'!$A$2:$A$301,MATCH($E486,'Per Invoice'!$B$2:$B$301,0))),""))</f>
        <v/>
      </c>
      <c r="H486" s="11" t="n"/>
      <c r="R486" s="7">
        <f>IF($E486="","",Q486*Z486/100)</f>
        <v/>
      </c>
      <c r="S486" s="7" t="n"/>
      <c r="Y486" s="7" t="n"/>
      <c r="Z486" s="7" t="n"/>
      <c r="AA486" s="7">
        <f>IF($E486="","",Z486*AF486/100)</f>
        <v/>
      </c>
      <c r="AB486" s="7">
        <f>IF($E486="","",Z486-AA486)</f>
        <v/>
      </c>
      <c r="AC486" s="7">
        <f>IF($E486="","",AB486-R486)</f>
        <v/>
      </c>
      <c r="AF486">
        <f>IF($E486="","",IF($AR486=1,0,IF($AQ486=1,Settings!$C$6,Settings!$C$7))*100)</f>
        <v/>
      </c>
      <c r="AJ486" s="7" t="n"/>
      <c r="AM486" s="11" t="n"/>
      <c r="AO486">
        <f>IF($E486="","",IF(COUNTIF($E$2:$E486,$E486)=1,1,0))</f>
        <v/>
      </c>
      <c r="AP486">
        <f>IF($AO486=1,SUMPRODUCT(--($AS$2:$AS$1001&lt;$AS486))+1,"")</f>
        <v/>
      </c>
      <c r="AQ486">
        <f>IF($E486="","",IF(OR($V486=TRUE(),$V486="TRUE"),1,0))</f>
        <v/>
      </c>
      <c r="AR486">
        <f>IF($E486="","",IF($AE486="Yes",1,0))</f>
        <v/>
      </c>
      <c r="AS486">
        <f>IF($AO486=1,IFERROR(IF(VALUE($E486)&lt;100000000,VALUE($E486),1000000000),IFERROR(IF(VALUE(MID($E486,2,20))&lt;100000000,VALUE(MID($E486,2,20)),1000000000),1000000000))+ROW()/100000,"")</f>
        <v/>
      </c>
    </row>
    <row r="487">
      <c r="D487">
        <f>IF($E487="","",IFERROR(IF(INDEX('Per Invoice'!$A$2:$A$301,MATCH($E487,'Per Invoice'!$B$2:$B$301,0))=0,"",INDEX('Per Invoice'!$A$2:$A$301,MATCH($E487,'Per Invoice'!$B$2:$B$301,0))),""))</f>
        <v/>
      </c>
      <c r="H487" s="11" t="n"/>
      <c r="R487" s="7">
        <f>IF($E487="","",Q487*Z487/100)</f>
        <v/>
      </c>
      <c r="S487" s="7" t="n"/>
      <c r="Y487" s="7" t="n"/>
      <c r="Z487" s="7" t="n"/>
      <c r="AA487" s="7">
        <f>IF($E487="","",Z487*AF487/100)</f>
        <v/>
      </c>
      <c r="AB487" s="7">
        <f>IF($E487="","",Z487-AA487)</f>
        <v/>
      </c>
      <c r="AC487" s="7">
        <f>IF($E487="","",AB487-R487)</f>
        <v/>
      </c>
      <c r="AF487">
        <f>IF($E487="","",IF($AR487=1,0,IF($AQ487=1,Settings!$C$6,Settings!$C$7))*100)</f>
        <v/>
      </c>
      <c r="AJ487" s="7" t="n"/>
      <c r="AM487" s="11" t="n"/>
      <c r="AO487">
        <f>IF($E487="","",IF(COUNTIF($E$2:$E487,$E487)=1,1,0))</f>
        <v/>
      </c>
      <c r="AP487">
        <f>IF($AO487=1,SUMPRODUCT(--($AS$2:$AS$1001&lt;$AS487))+1,"")</f>
        <v/>
      </c>
      <c r="AQ487">
        <f>IF($E487="","",IF(OR($V487=TRUE(),$V487="TRUE"),1,0))</f>
        <v/>
      </c>
      <c r="AR487">
        <f>IF($E487="","",IF($AE487="Yes",1,0))</f>
        <v/>
      </c>
      <c r="AS487">
        <f>IF($AO487=1,IFERROR(IF(VALUE($E487)&lt;100000000,VALUE($E487),1000000000),IFERROR(IF(VALUE(MID($E487,2,20))&lt;100000000,VALUE(MID($E487,2,20)),1000000000),1000000000))+ROW()/100000,"")</f>
        <v/>
      </c>
    </row>
    <row r="488">
      <c r="D488">
        <f>IF($E488="","",IFERROR(IF(INDEX('Per Invoice'!$A$2:$A$301,MATCH($E488,'Per Invoice'!$B$2:$B$301,0))=0,"",INDEX('Per Invoice'!$A$2:$A$301,MATCH($E488,'Per Invoice'!$B$2:$B$301,0))),""))</f>
        <v/>
      </c>
      <c r="H488" s="11" t="n"/>
      <c r="R488" s="7">
        <f>IF($E488="","",Q488*Z488/100)</f>
        <v/>
      </c>
      <c r="S488" s="7" t="n"/>
      <c r="Y488" s="7" t="n"/>
      <c r="Z488" s="7" t="n"/>
      <c r="AA488" s="7">
        <f>IF($E488="","",Z488*AF488/100)</f>
        <v/>
      </c>
      <c r="AB488" s="7">
        <f>IF($E488="","",Z488-AA488)</f>
        <v/>
      </c>
      <c r="AC488" s="7">
        <f>IF($E488="","",AB488-R488)</f>
        <v/>
      </c>
      <c r="AF488">
        <f>IF($E488="","",IF($AR488=1,0,IF($AQ488=1,Settings!$C$6,Settings!$C$7))*100)</f>
        <v/>
      </c>
      <c r="AJ488" s="7" t="n"/>
      <c r="AM488" s="11" t="n"/>
      <c r="AO488">
        <f>IF($E488="","",IF(COUNTIF($E$2:$E488,$E488)=1,1,0))</f>
        <v/>
      </c>
      <c r="AP488">
        <f>IF($AO488=1,SUMPRODUCT(--($AS$2:$AS$1001&lt;$AS488))+1,"")</f>
        <v/>
      </c>
      <c r="AQ488">
        <f>IF($E488="","",IF(OR($V488=TRUE(),$V488="TRUE"),1,0))</f>
        <v/>
      </c>
      <c r="AR488">
        <f>IF($E488="","",IF($AE488="Yes",1,0))</f>
        <v/>
      </c>
      <c r="AS488">
        <f>IF($AO488=1,IFERROR(IF(VALUE($E488)&lt;100000000,VALUE($E488),1000000000),IFERROR(IF(VALUE(MID($E488,2,20))&lt;100000000,VALUE(MID($E488,2,20)),1000000000),1000000000))+ROW()/100000,"")</f>
        <v/>
      </c>
    </row>
    <row r="489">
      <c r="D489">
        <f>IF($E489="","",IFERROR(IF(INDEX('Per Invoice'!$A$2:$A$301,MATCH($E489,'Per Invoice'!$B$2:$B$301,0))=0,"",INDEX('Per Invoice'!$A$2:$A$301,MATCH($E489,'Per Invoice'!$B$2:$B$301,0))),""))</f>
        <v/>
      </c>
      <c r="H489" s="11" t="n"/>
      <c r="R489" s="7">
        <f>IF($E489="","",Q489*Z489/100)</f>
        <v/>
      </c>
      <c r="S489" s="7" t="n"/>
      <c r="Y489" s="7" t="n"/>
      <c r="Z489" s="7" t="n"/>
      <c r="AA489" s="7">
        <f>IF($E489="","",Z489*AF489/100)</f>
        <v/>
      </c>
      <c r="AB489" s="7">
        <f>IF($E489="","",Z489-AA489)</f>
        <v/>
      </c>
      <c r="AC489" s="7">
        <f>IF($E489="","",AB489-R489)</f>
        <v/>
      </c>
      <c r="AF489">
        <f>IF($E489="","",IF($AR489=1,0,IF($AQ489=1,Settings!$C$6,Settings!$C$7))*100)</f>
        <v/>
      </c>
      <c r="AJ489" s="7" t="n"/>
      <c r="AM489" s="11" t="n"/>
      <c r="AO489">
        <f>IF($E489="","",IF(COUNTIF($E$2:$E489,$E489)=1,1,0))</f>
        <v/>
      </c>
      <c r="AP489">
        <f>IF($AO489=1,SUMPRODUCT(--($AS$2:$AS$1001&lt;$AS489))+1,"")</f>
        <v/>
      </c>
      <c r="AQ489">
        <f>IF($E489="","",IF(OR($V489=TRUE(),$V489="TRUE"),1,0))</f>
        <v/>
      </c>
      <c r="AR489">
        <f>IF($E489="","",IF($AE489="Yes",1,0))</f>
        <v/>
      </c>
      <c r="AS489">
        <f>IF($AO489=1,IFERROR(IF(VALUE($E489)&lt;100000000,VALUE($E489),1000000000),IFERROR(IF(VALUE(MID($E489,2,20))&lt;100000000,VALUE(MID($E489,2,20)),1000000000),1000000000))+ROW()/100000,"")</f>
        <v/>
      </c>
    </row>
    <row r="490">
      <c r="D490">
        <f>IF($E490="","",IFERROR(IF(INDEX('Per Invoice'!$A$2:$A$301,MATCH($E490,'Per Invoice'!$B$2:$B$301,0))=0,"",INDEX('Per Invoice'!$A$2:$A$301,MATCH($E490,'Per Invoice'!$B$2:$B$301,0))),""))</f>
        <v/>
      </c>
      <c r="H490" s="11" t="n"/>
      <c r="R490" s="7">
        <f>IF($E490="","",Q490*Z490/100)</f>
        <v/>
      </c>
      <c r="S490" s="7" t="n"/>
      <c r="Y490" s="7" t="n"/>
      <c r="Z490" s="7" t="n"/>
      <c r="AA490" s="7">
        <f>IF($E490="","",Z490*AF490/100)</f>
        <v/>
      </c>
      <c r="AB490" s="7">
        <f>IF($E490="","",Z490-AA490)</f>
        <v/>
      </c>
      <c r="AC490" s="7">
        <f>IF($E490="","",AB490-R490)</f>
        <v/>
      </c>
      <c r="AF490">
        <f>IF($E490="","",IF($AR490=1,0,IF($AQ490=1,Settings!$C$6,Settings!$C$7))*100)</f>
        <v/>
      </c>
      <c r="AJ490" s="7" t="n"/>
      <c r="AM490" s="11" t="n"/>
      <c r="AO490">
        <f>IF($E490="","",IF(COUNTIF($E$2:$E490,$E490)=1,1,0))</f>
        <v/>
      </c>
      <c r="AP490">
        <f>IF($AO490=1,SUMPRODUCT(--($AS$2:$AS$1001&lt;$AS490))+1,"")</f>
        <v/>
      </c>
      <c r="AQ490">
        <f>IF($E490="","",IF(OR($V490=TRUE(),$V490="TRUE"),1,0))</f>
        <v/>
      </c>
      <c r="AR490">
        <f>IF($E490="","",IF($AE490="Yes",1,0))</f>
        <v/>
      </c>
      <c r="AS490">
        <f>IF($AO490=1,IFERROR(IF(VALUE($E490)&lt;100000000,VALUE($E490),1000000000),IFERROR(IF(VALUE(MID($E490,2,20))&lt;100000000,VALUE(MID($E490,2,20)),1000000000),1000000000))+ROW()/100000,"")</f>
        <v/>
      </c>
    </row>
    <row r="491">
      <c r="D491">
        <f>IF($E491="","",IFERROR(IF(INDEX('Per Invoice'!$A$2:$A$301,MATCH($E491,'Per Invoice'!$B$2:$B$301,0))=0,"",INDEX('Per Invoice'!$A$2:$A$301,MATCH($E491,'Per Invoice'!$B$2:$B$301,0))),""))</f>
        <v/>
      </c>
      <c r="H491" s="11" t="n"/>
      <c r="R491" s="7">
        <f>IF($E491="","",Q491*Z491/100)</f>
        <v/>
      </c>
      <c r="S491" s="7" t="n"/>
      <c r="Y491" s="7" t="n"/>
      <c r="Z491" s="7" t="n"/>
      <c r="AA491" s="7">
        <f>IF($E491="","",Z491*AF491/100)</f>
        <v/>
      </c>
      <c r="AB491" s="7">
        <f>IF($E491="","",Z491-AA491)</f>
        <v/>
      </c>
      <c r="AC491" s="7">
        <f>IF($E491="","",AB491-R491)</f>
        <v/>
      </c>
      <c r="AF491">
        <f>IF($E491="","",IF($AR491=1,0,IF($AQ491=1,Settings!$C$6,Settings!$C$7))*100)</f>
        <v/>
      </c>
      <c r="AJ491" s="7" t="n"/>
      <c r="AM491" s="11" t="n"/>
      <c r="AO491">
        <f>IF($E491="","",IF(COUNTIF($E$2:$E491,$E491)=1,1,0))</f>
        <v/>
      </c>
      <c r="AP491">
        <f>IF($AO491=1,SUMPRODUCT(--($AS$2:$AS$1001&lt;$AS491))+1,"")</f>
        <v/>
      </c>
      <c r="AQ491">
        <f>IF($E491="","",IF(OR($V491=TRUE(),$V491="TRUE"),1,0))</f>
        <v/>
      </c>
      <c r="AR491">
        <f>IF($E491="","",IF($AE491="Yes",1,0))</f>
        <v/>
      </c>
      <c r="AS491">
        <f>IF($AO491=1,IFERROR(IF(VALUE($E491)&lt;100000000,VALUE($E491),1000000000),IFERROR(IF(VALUE(MID($E491,2,20))&lt;100000000,VALUE(MID($E491,2,20)),1000000000),1000000000))+ROW()/100000,"")</f>
        <v/>
      </c>
    </row>
    <row r="492">
      <c r="D492">
        <f>IF($E492="","",IFERROR(IF(INDEX('Per Invoice'!$A$2:$A$301,MATCH($E492,'Per Invoice'!$B$2:$B$301,0))=0,"",INDEX('Per Invoice'!$A$2:$A$301,MATCH($E492,'Per Invoice'!$B$2:$B$301,0))),""))</f>
        <v/>
      </c>
      <c r="H492" s="11" t="n"/>
      <c r="R492" s="7">
        <f>IF($E492="","",Q492*Z492/100)</f>
        <v/>
      </c>
      <c r="S492" s="7" t="n"/>
      <c r="Y492" s="7" t="n"/>
      <c r="Z492" s="7" t="n"/>
      <c r="AA492" s="7">
        <f>IF($E492="","",Z492*AF492/100)</f>
        <v/>
      </c>
      <c r="AB492" s="7">
        <f>IF($E492="","",Z492-AA492)</f>
        <v/>
      </c>
      <c r="AC492" s="7">
        <f>IF($E492="","",AB492-R492)</f>
        <v/>
      </c>
      <c r="AF492">
        <f>IF($E492="","",IF($AR492=1,0,IF($AQ492=1,Settings!$C$6,Settings!$C$7))*100)</f>
        <v/>
      </c>
      <c r="AJ492" s="7" t="n"/>
      <c r="AM492" s="11" t="n"/>
      <c r="AO492">
        <f>IF($E492="","",IF(COUNTIF($E$2:$E492,$E492)=1,1,0))</f>
        <v/>
      </c>
      <c r="AP492">
        <f>IF($AO492=1,SUMPRODUCT(--($AS$2:$AS$1001&lt;$AS492))+1,"")</f>
        <v/>
      </c>
      <c r="AQ492">
        <f>IF($E492="","",IF(OR($V492=TRUE(),$V492="TRUE"),1,0))</f>
        <v/>
      </c>
      <c r="AR492">
        <f>IF($E492="","",IF($AE492="Yes",1,0))</f>
        <v/>
      </c>
      <c r="AS492">
        <f>IF($AO492=1,IFERROR(IF(VALUE($E492)&lt;100000000,VALUE($E492),1000000000),IFERROR(IF(VALUE(MID($E492,2,20))&lt;100000000,VALUE(MID($E492,2,20)),1000000000),1000000000))+ROW()/100000,"")</f>
        <v/>
      </c>
    </row>
    <row r="493">
      <c r="D493">
        <f>IF($E493="","",IFERROR(IF(INDEX('Per Invoice'!$A$2:$A$301,MATCH($E493,'Per Invoice'!$B$2:$B$301,0))=0,"",INDEX('Per Invoice'!$A$2:$A$301,MATCH($E493,'Per Invoice'!$B$2:$B$301,0))),""))</f>
        <v/>
      </c>
      <c r="H493" s="11" t="n"/>
      <c r="R493" s="7">
        <f>IF($E493="","",Q493*Z493/100)</f>
        <v/>
      </c>
      <c r="S493" s="7" t="n"/>
      <c r="Y493" s="7" t="n"/>
      <c r="Z493" s="7" t="n"/>
      <c r="AA493" s="7">
        <f>IF($E493="","",Z493*AF493/100)</f>
        <v/>
      </c>
      <c r="AB493" s="7">
        <f>IF($E493="","",Z493-AA493)</f>
        <v/>
      </c>
      <c r="AC493" s="7">
        <f>IF($E493="","",AB493-R493)</f>
        <v/>
      </c>
      <c r="AF493">
        <f>IF($E493="","",IF($AR493=1,0,IF($AQ493=1,Settings!$C$6,Settings!$C$7))*100)</f>
        <v/>
      </c>
      <c r="AJ493" s="7" t="n"/>
      <c r="AM493" s="11" t="n"/>
      <c r="AO493">
        <f>IF($E493="","",IF(COUNTIF($E$2:$E493,$E493)=1,1,0))</f>
        <v/>
      </c>
      <c r="AP493">
        <f>IF($AO493=1,SUMPRODUCT(--($AS$2:$AS$1001&lt;$AS493))+1,"")</f>
        <v/>
      </c>
      <c r="AQ493">
        <f>IF($E493="","",IF(OR($V493=TRUE(),$V493="TRUE"),1,0))</f>
        <v/>
      </c>
      <c r="AR493">
        <f>IF($E493="","",IF($AE493="Yes",1,0))</f>
        <v/>
      </c>
      <c r="AS493">
        <f>IF($AO493=1,IFERROR(IF(VALUE($E493)&lt;100000000,VALUE($E493),1000000000),IFERROR(IF(VALUE(MID($E493,2,20))&lt;100000000,VALUE(MID($E493,2,20)),1000000000),1000000000))+ROW()/100000,"")</f>
        <v/>
      </c>
    </row>
    <row r="494">
      <c r="D494">
        <f>IF($E494="","",IFERROR(IF(INDEX('Per Invoice'!$A$2:$A$301,MATCH($E494,'Per Invoice'!$B$2:$B$301,0))=0,"",INDEX('Per Invoice'!$A$2:$A$301,MATCH($E494,'Per Invoice'!$B$2:$B$301,0))),""))</f>
        <v/>
      </c>
      <c r="H494" s="11" t="n"/>
      <c r="R494" s="7">
        <f>IF($E494="","",Q494*Z494/100)</f>
        <v/>
      </c>
      <c r="S494" s="7" t="n"/>
      <c r="Y494" s="7" t="n"/>
      <c r="Z494" s="7" t="n"/>
      <c r="AA494" s="7">
        <f>IF($E494="","",Z494*AF494/100)</f>
        <v/>
      </c>
      <c r="AB494" s="7">
        <f>IF($E494="","",Z494-AA494)</f>
        <v/>
      </c>
      <c r="AC494" s="7">
        <f>IF($E494="","",AB494-R494)</f>
        <v/>
      </c>
      <c r="AF494">
        <f>IF($E494="","",IF($AR494=1,0,IF($AQ494=1,Settings!$C$6,Settings!$C$7))*100)</f>
        <v/>
      </c>
      <c r="AJ494" s="7" t="n"/>
      <c r="AM494" s="11" t="n"/>
      <c r="AO494">
        <f>IF($E494="","",IF(COUNTIF($E$2:$E494,$E494)=1,1,0))</f>
        <v/>
      </c>
      <c r="AP494">
        <f>IF($AO494=1,SUMPRODUCT(--($AS$2:$AS$1001&lt;$AS494))+1,"")</f>
        <v/>
      </c>
      <c r="AQ494">
        <f>IF($E494="","",IF(OR($V494=TRUE(),$V494="TRUE"),1,0))</f>
        <v/>
      </c>
      <c r="AR494">
        <f>IF($E494="","",IF($AE494="Yes",1,0))</f>
        <v/>
      </c>
      <c r="AS494">
        <f>IF($AO494=1,IFERROR(IF(VALUE($E494)&lt;100000000,VALUE($E494),1000000000),IFERROR(IF(VALUE(MID($E494,2,20))&lt;100000000,VALUE(MID($E494,2,20)),1000000000),1000000000))+ROW()/100000,"")</f>
        <v/>
      </c>
    </row>
    <row r="495">
      <c r="D495">
        <f>IF($E495="","",IFERROR(IF(INDEX('Per Invoice'!$A$2:$A$301,MATCH($E495,'Per Invoice'!$B$2:$B$301,0))=0,"",INDEX('Per Invoice'!$A$2:$A$301,MATCH($E495,'Per Invoice'!$B$2:$B$301,0))),""))</f>
        <v/>
      </c>
      <c r="H495" s="11" t="n"/>
      <c r="R495" s="7">
        <f>IF($E495="","",Q495*Z495/100)</f>
        <v/>
      </c>
      <c r="S495" s="7" t="n"/>
      <c r="Y495" s="7" t="n"/>
      <c r="Z495" s="7" t="n"/>
      <c r="AA495" s="7">
        <f>IF($E495="","",Z495*AF495/100)</f>
        <v/>
      </c>
      <c r="AB495" s="7">
        <f>IF($E495="","",Z495-AA495)</f>
        <v/>
      </c>
      <c r="AC495" s="7">
        <f>IF($E495="","",AB495-R495)</f>
        <v/>
      </c>
      <c r="AF495">
        <f>IF($E495="","",IF($AR495=1,0,IF($AQ495=1,Settings!$C$6,Settings!$C$7))*100)</f>
        <v/>
      </c>
      <c r="AJ495" s="7" t="n"/>
      <c r="AM495" s="11" t="n"/>
      <c r="AO495">
        <f>IF($E495="","",IF(COUNTIF($E$2:$E495,$E495)=1,1,0))</f>
        <v/>
      </c>
      <c r="AP495">
        <f>IF($AO495=1,SUMPRODUCT(--($AS$2:$AS$1001&lt;$AS495))+1,"")</f>
        <v/>
      </c>
      <c r="AQ495">
        <f>IF($E495="","",IF(OR($V495=TRUE(),$V495="TRUE"),1,0))</f>
        <v/>
      </c>
      <c r="AR495">
        <f>IF($E495="","",IF($AE495="Yes",1,0))</f>
        <v/>
      </c>
      <c r="AS495">
        <f>IF($AO495=1,IFERROR(IF(VALUE($E495)&lt;100000000,VALUE($E495),1000000000),IFERROR(IF(VALUE(MID($E495,2,20))&lt;100000000,VALUE(MID($E495,2,20)),1000000000),1000000000))+ROW()/100000,"")</f>
        <v/>
      </c>
    </row>
    <row r="496">
      <c r="D496">
        <f>IF($E496="","",IFERROR(IF(INDEX('Per Invoice'!$A$2:$A$301,MATCH($E496,'Per Invoice'!$B$2:$B$301,0))=0,"",INDEX('Per Invoice'!$A$2:$A$301,MATCH($E496,'Per Invoice'!$B$2:$B$301,0))),""))</f>
        <v/>
      </c>
      <c r="H496" s="11" t="n"/>
      <c r="R496" s="7">
        <f>IF($E496="","",Q496*Z496/100)</f>
        <v/>
      </c>
      <c r="S496" s="7" t="n"/>
      <c r="Y496" s="7" t="n"/>
      <c r="Z496" s="7" t="n"/>
      <c r="AA496" s="7">
        <f>IF($E496="","",Z496*AF496/100)</f>
        <v/>
      </c>
      <c r="AB496" s="7">
        <f>IF($E496="","",Z496-AA496)</f>
        <v/>
      </c>
      <c r="AC496" s="7">
        <f>IF($E496="","",AB496-R496)</f>
        <v/>
      </c>
      <c r="AF496">
        <f>IF($E496="","",IF($AR496=1,0,IF($AQ496=1,Settings!$C$6,Settings!$C$7))*100)</f>
        <v/>
      </c>
      <c r="AJ496" s="7" t="n"/>
      <c r="AM496" s="11" t="n"/>
      <c r="AO496">
        <f>IF($E496="","",IF(COUNTIF($E$2:$E496,$E496)=1,1,0))</f>
        <v/>
      </c>
      <c r="AP496">
        <f>IF($AO496=1,SUMPRODUCT(--($AS$2:$AS$1001&lt;$AS496))+1,"")</f>
        <v/>
      </c>
      <c r="AQ496">
        <f>IF($E496="","",IF(OR($V496=TRUE(),$V496="TRUE"),1,0))</f>
        <v/>
      </c>
      <c r="AR496">
        <f>IF($E496="","",IF($AE496="Yes",1,0))</f>
        <v/>
      </c>
      <c r="AS496">
        <f>IF($AO496=1,IFERROR(IF(VALUE($E496)&lt;100000000,VALUE($E496),1000000000),IFERROR(IF(VALUE(MID($E496,2,20))&lt;100000000,VALUE(MID($E496,2,20)),1000000000),1000000000))+ROW()/100000,"")</f>
        <v/>
      </c>
    </row>
    <row r="497">
      <c r="D497">
        <f>IF($E497="","",IFERROR(IF(INDEX('Per Invoice'!$A$2:$A$301,MATCH($E497,'Per Invoice'!$B$2:$B$301,0))=0,"",INDEX('Per Invoice'!$A$2:$A$301,MATCH($E497,'Per Invoice'!$B$2:$B$301,0))),""))</f>
        <v/>
      </c>
      <c r="H497" s="11" t="n"/>
      <c r="R497" s="7">
        <f>IF($E497="","",Q497*Z497/100)</f>
        <v/>
      </c>
      <c r="S497" s="7" t="n"/>
      <c r="Y497" s="7" t="n"/>
      <c r="Z497" s="7" t="n"/>
      <c r="AA497" s="7">
        <f>IF($E497="","",Z497*AF497/100)</f>
        <v/>
      </c>
      <c r="AB497" s="7">
        <f>IF($E497="","",Z497-AA497)</f>
        <v/>
      </c>
      <c r="AC497" s="7">
        <f>IF($E497="","",AB497-R497)</f>
        <v/>
      </c>
      <c r="AF497">
        <f>IF($E497="","",IF($AR497=1,0,IF($AQ497=1,Settings!$C$6,Settings!$C$7))*100)</f>
        <v/>
      </c>
      <c r="AJ497" s="7" t="n"/>
      <c r="AM497" s="11" t="n"/>
      <c r="AO497">
        <f>IF($E497="","",IF(COUNTIF($E$2:$E497,$E497)=1,1,0))</f>
        <v/>
      </c>
      <c r="AP497">
        <f>IF($AO497=1,SUMPRODUCT(--($AS$2:$AS$1001&lt;$AS497))+1,"")</f>
        <v/>
      </c>
      <c r="AQ497">
        <f>IF($E497="","",IF(OR($V497=TRUE(),$V497="TRUE"),1,0))</f>
        <v/>
      </c>
      <c r="AR497">
        <f>IF($E497="","",IF($AE497="Yes",1,0))</f>
        <v/>
      </c>
      <c r="AS497">
        <f>IF($AO497=1,IFERROR(IF(VALUE($E497)&lt;100000000,VALUE($E497),1000000000),IFERROR(IF(VALUE(MID($E497,2,20))&lt;100000000,VALUE(MID($E497,2,20)),1000000000),1000000000))+ROW()/100000,"")</f>
        <v/>
      </c>
    </row>
    <row r="498">
      <c r="D498">
        <f>IF($E498="","",IFERROR(IF(INDEX('Per Invoice'!$A$2:$A$301,MATCH($E498,'Per Invoice'!$B$2:$B$301,0))=0,"",INDEX('Per Invoice'!$A$2:$A$301,MATCH($E498,'Per Invoice'!$B$2:$B$301,0))),""))</f>
        <v/>
      </c>
      <c r="H498" s="11" t="n"/>
      <c r="R498" s="7">
        <f>IF($E498="","",Q498*Z498/100)</f>
        <v/>
      </c>
      <c r="S498" s="7" t="n"/>
      <c r="Y498" s="7" t="n"/>
      <c r="Z498" s="7" t="n"/>
      <c r="AA498" s="7">
        <f>IF($E498="","",Z498*AF498/100)</f>
        <v/>
      </c>
      <c r="AB498" s="7">
        <f>IF($E498="","",Z498-AA498)</f>
        <v/>
      </c>
      <c r="AC498" s="7">
        <f>IF($E498="","",AB498-R498)</f>
        <v/>
      </c>
      <c r="AF498">
        <f>IF($E498="","",IF($AR498=1,0,IF($AQ498=1,Settings!$C$6,Settings!$C$7))*100)</f>
        <v/>
      </c>
      <c r="AJ498" s="7" t="n"/>
      <c r="AM498" s="11" t="n"/>
      <c r="AO498">
        <f>IF($E498="","",IF(COUNTIF($E$2:$E498,$E498)=1,1,0))</f>
        <v/>
      </c>
      <c r="AP498">
        <f>IF($AO498=1,SUMPRODUCT(--($AS$2:$AS$1001&lt;$AS498))+1,"")</f>
        <v/>
      </c>
      <c r="AQ498">
        <f>IF($E498="","",IF(OR($V498=TRUE(),$V498="TRUE"),1,0))</f>
        <v/>
      </c>
      <c r="AR498">
        <f>IF($E498="","",IF($AE498="Yes",1,0))</f>
        <v/>
      </c>
      <c r="AS498">
        <f>IF($AO498=1,IFERROR(IF(VALUE($E498)&lt;100000000,VALUE($E498),1000000000),IFERROR(IF(VALUE(MID($E498,2,20))&lt;100000000,VALUE(MID($E498,2,20)),1000000000),1000000000))+ROW()/100000,"")</f>
        <v/>
      </c>
    </row>
    <row r="499">
      <c r="D499">
        <f>IF($E499="","",IFERROR(IF(INDEX('Per Invoice'!$A$2:$A$301,MATCH($E499,'Per Invoice'!$B$2:$B$301,0))=0,"",INDEX('Per Invoice'!$A$2:$A$301,MATCH($E499,'Per Invoice'!$B$2:$B$301,0))),""))</f>
        <v/>
      </c>
      <c r="H499" s="11" t="n"/>
      <c r="R499" s="7">
        <f>IF($E499="","",Q499*Z499/100)</f>
        <v/>
      </c>
      <c r="S499" s="7" t="n"/>
      <c r="Y499" s="7" t="n"/>
      <c r="Z499" s="7" t="n"/>
      <c r="AA499" s="7">
        <f>IF($E499="","",Z499*AF499/100)</f>
        <v/>
      </c>
      <c r="AB499" s="7">
        <f>IF($E499="","",Z499-AA499)</f>
        <v/>
      </c>
      <c r="AC499" s="7">
        <f>IF($E499="","",AB499-R499)</f>
        <v/>
      </c>
      <c r="AF499">
        <f>IF($E499="","",IF($AR499=1,0,IF($AQ499=1,Settings!$C$6,Settings!$C$7))*100)</f>
        <v/>
      </c>
      <c r="AJ499" s="7" t="n"/>
      <c r="AM499" s="11" t="n"/>
      <c r="AO499">
        <f>IF($E499="","",IF(COUNTIF($E$2:$E499,$E499)=1,1,0))</f>
        <v/>
      </c>
      <c r="AP499">
        <f>IF($AO499=1,SUMPRODUCT(--($AS$2:$AS$1001&lt;$AS499))+1,"")</f>
        <v/>
      </c>
      <c r="AQ499">
        <f>IF($E499="","",IF(OR($V499=TRUE(),$V499="TRUE"),1,0))</f>
        <v/>
      </c>
      <c r="AR499">
        <f>IF($E499="","",IF($AE499="Yes",1,0))</f>
        <v/>
      </c>
      <c r="AS499">
        <f>IF($AO499=1,IFERROR(IF(VALUE($E499)&lt;100000000,VALUE($E499),1000000000),IFERROR(IF(VALUE(MID($E499,2,20))&lt;100000000,VALUE(MID($E499,2,20)),1000000000),1000000000))+ROW()/100000,"")</f>
        <v/>
      </c>
    </row>
    <row r="500">
      <c r="D500">
        <f>IF($E500="","",IFERROR(IF(INDEX('Per Invoice'!$A$2:$A$301,MATCH($E500,'Per Invoice'!$B$2:$B$301,0))=0,"",INDEX('Per Invoice'!$A$2:$A$301,MATCH($E500,'Per Invoice'!$B$2:$B$301,0))),""))</f>
        <v/>
      </c>
      <c r="H500" s="11" t="n"/>
      <c r="R500" s="7">
        <f>IF($E500="","",Q500*Z500/100)</f>
        <v/>
      </c>
      <c r="S500" s="7" t="n"/>
      <c r="Y500" s="7" t="n"/>
      <c r="Z500" s="7" t="n"/>
      <c r="AA500" s="7">
        <f>IF($E500="","",Z500*AF500/100)</f>
        <v/>
      </c>
      <c r="AB500" s="7">
        <f>IF($E500="","",Z500-AA500)</f>
        <v/>
      </c>
      <c r="AC500" s="7">
        <f>IF($E500="","",AB500-R500)</f>
        <v/>
      </c>
      <c r="AF500">
        <f>IF($E500="","",IF($AR500=1,0,IF($AQ500=1,Settings!$C$6,Settings!$C$7))*100)</f>
        <v/>
      </c>
      <c r="AJ500" s="7" t="n"/>
      <c r="AM500" s="11" t="n"/>
      <c r="AO500">
        <f>IF($E500="","",IF(COUNTIF($E$2:$E500,$E500)=1,1,0))</f>
        <v/>
      </c>
      <c r="AP500">
        <f>IF($AO500=1,SUMPRODUCT(--($AS$2:$AS$1001&lt;$AS500))+1,"")</f>
        <v/>
      </c>
      <c r="AQ500">
        <f>IF($E500="","",IF(OR($V500=TRUE(),$V500="TRUE"),1,0))</f>
        <v/>
      </c>
      <c r="AR500">
        <f>IF($E500="","",IF($AE500="Yes",1,0))</f>
        <v/>
      </c>
      <c r="AS500">
        <f>IF($AO500=1,IFERROR(IF(VALUE($E500)&lt;100000000,VALUE($E500),1000000000),IFERROR(IF(VALUE(MID($E500,2,20))&lt;100000000,VALUE(MID($E500,2,20)),1000000000),1000000000))+ROW()/100000,"")</f>
        <v/>
      </c>
    </row>
    <row r="501">
      <c r="D501">
        <f>IF($E501="","",IFERROR(IF(INDEX('Per Invoice'!$A$2:$A$301,MATCH($E501,'Per Invoice'!$B$2:$B$301,0))=0,"",INDEX('Per Invoice'!$A$2:$A$301,MATCH($E501,'Per Invoice'!$B$2:$B$301,0))),""))</f>
        <v/>
      </c>
      <c r="H501" s="11" t="n"/>
      <c r="R501" s="7">
        <f>IF($E501="","",Q501*Z501/100)</f>
        <v/>
      </c>
      <c r="S501" s="7" t="n"/>
      <c r="Y501" s="7" t="n"/>
      <c r="Z501" s="7" t="n"/>
      <c r="AA501" s="7">
        <f>IF($E501="","",Z501*AF501/100)</f>
        <v/>
      </c>
      <c r="AB501" s="7">
        <f>IF($E501="","",Z501-AA501)</f>
        <v/>
      </c>
      <c r="AC501" s="7">
        <f>IF($E501="","",AB501-R501)</f>
        <v/>
      </c>
      <c r="AF501">
        <f>IF($E501="","",IF($AR501=1,0,IF($AQ501=1,Settings!$C$6,Settings!$C$7))*100)</f>
        <v/>
      </c>
      <c r="AJ501" s="7" t="n"/>
      <c r="AM501" s="11" t="n"/>
      <c r="AO501">
        <f>IF($E501="","",IF(COUNTIF($E$2:$E501,$E501)=1,1,0))</f>
        <v/>
      </c>
      <c r="AP501">
        <f>IF($AO501=1,SUMPRODUCT(--($AS$2:$AS$1001&lt;$AS501))+1,"")</f>
        <v/>
      </c>
      <c r="AQ501">
        <f>IF($E501="","",IF(OR($V501=TRUE(),$V501="TRUE"),1,0))</f>
        <v/>
      </c>
      <c r="AR501">
        <f>IF($E501="","",IF($AE501="Yes",1,0))</f>
        <v/>
      </c>
      <c r="AS501">
        <f>IF($AO501=1,IFERROR(IF(VALUE($E501)&lt;100000000,VALUE($E501),1000000000),IFERROR(IF(VALUE(MID($E501,2,20))&lt;100000000,VALUE(MID($E501,2,20)),1000000000),1000000000))+ROW()/100000,"")</f>
        <v/>
      </c>
    </row>
    <row r="502">
      <c r="D502">
        <f>IF($E502="","",IFERROR(IF(INDEX('Per Invoice'!$A$2:$A$301,MATCH($E502,'Per Invoice'!$B$2:$B$301,0))=0,"",INDEX('Per Invoice'!$A$2:$A$301,MATCH($E502,'Per Invoice'!$B$2:$B$301,0))),""))</f>
        <v/>
      </c>
      <c r="H502" s="11" t="n"/>
      <c r="R502" s="7">
        <f>IF($E502="","",Q502*Z502/100)</f>
        <v/>
      </c>
      <c r="S502" s="7" t="n"/>
      <c r="Y502" s="7" t="n"/>
      <c r="Z502" s="7" t="n"/>
      <c r="AA502" s="7">
        <f>IF($E502="","",Z502*AF502/100)</f>
        <v/>
      </c>
      <c r="AB502" s="7">
        <f>IF($E502="","",Z502-AA502)</f>
        <v/>
      </c>
      <c r="AC502" s="7">
        <f>IF($E502="","",AB502-R502)</f>
        <v/>
      </c>
      <c r="AF502">
        <f>IF($E502="","",IF($AR502=1,0,IF($AQ502=1,Settings!$C$6,Settings!$C$7))*100)</f>
        <v/>
      </c>
      <c r="AJ502" s="7" t="n"/>
      <c r="AM502" s="11" t="n"/>
      <c r="AO502">
        <f>IF($E502="","",IF(COUNTIF($E$2:$E502,$E502)=1,1,0))</f>
        <v/>
      </c>
      <c r="AP502">
        <f>IF($AO502=1,SUMPRODUCT(--($AS$2:$AS$1001&lt;$AS502))+1,"")</f>
        <v/>
      </c>
      <c r="AQ502">
        <f>IF($E502="","",IF(OR($V502=TRUE(),$V502="TRUE"),1,0))</f>
        <v/>
      </c>
      <c r="AR502">
        <f>IF($E502="","",IF($AE502="Yes",1,0))</f>
        <v/>
      </c>
      <c r="AS502">
        <f>IF($AO502=1,IFERROR(IF(VALUE($E502)&lt;100000000,VALUE($E502),1000000000),IFERROR(IF(VALUE(MID($E502,2,20))&lt;100000000,VALUE(MID($E502,2,20)),1000000000),1000000000))+ROW()/100000,"")</f>
        <v/>
      </c>
    </row>
    <row r="503">
      <c r="D503">
        <f>IF($E503="","",IFERROR(IF(INDEX('Per Invoice'!$A$2:$A$301,MATCH($E503,'Per Invoice'!$B$2:$B$301,0))=0,"",INDEX('Per Invoice'!$A$2:$A$301,MATCH($E503,'Per Invoice'!$B$2:$B$301,0))),""))</f>
        <v/>
      </c>
      <c r="H503" s="11" t="n"/>
      <c r="R503" s="7">
        <f>IF($E503="","",Q503*Z503/100)</f>
        <v/>
      </c>
      <c r="S503" s="7" t="n"/>
      <c r="Y503" s="7" t="n"/>
      <c r="Z503" s="7" t="n"/>
      <c r="AA503" s="7">
        <f>IF($E503="","",Z503*AF503/100)</f>
        <v/>
      </c>
      <c r="AB503" s="7">
        <f>IF($E503="","",Z503-AA503)</f>
        <v/>
      </c>
      <c r="AC503" s="7">
        <f>IF($E503="","",AB503-R503)</f>
        <v/>
      </c>
      <c r="AF503">
        <f>IF($E503="","",IF($AR503=1,0,IF($AQ503=1,Settings!$C$6,Settings!$C$7))*100)</f>
        <v/>
      </c>
      <c r="AJ503" s="7" t="n"/>
      <c r="AM503" s="11" t="n"/>
      <c r="AO503">
        <f>IF($E503="","",IF(COUNTIF($E$2:$E503,$E503)=1,1,0))</f>
        <v/>
      </c>
      <c r="AP503">
        <f>IF($AO503=1,SUMPRODUCT(--($AS$2:$AS$1001&lt;$AS503))+1,"")</f>
        <v/>
      </c>
      <c r="AQ503">
        <f>IF($E503="","",IF(OR($V503=TRUE(),$V503="TRUE"),1,0))</f>
        <v/>
      </c>
      <c r="AR503">
        <f>IF($E503="","",IF($AE503="Yes",1,0))</f>
        <v/>
      </c>
      <c r="AS503">
        <f>IF($AO503=1,IFERROR(IF(VALUE($E503)&lt;100000000,VALUE($E503),1000000000),IFERROR(IF(VALUE(MID($E503,2,20))&lt;100000000,VALUE(MID($E503,2,20)),1000000000),1000000000))+ROW()/100000,"")</f>
        <v/>
      </c>
    </row>
    <row r="504">
      <c r="D504">
        <f>IF($E504="","",IFERROR(IF(INDEX('Per Invoice'!$A$2:$A$301,MATCH($E504,'Per Invoice'!$B$2:$B$301,0))=0,"",INDEX('Per Invoice'!$A$2:$A$301,MATCH($E504,'Per Invoice'!$B$2:$B$301,0))),""))</f>
        <v/>
      </c>
      <c r="H504" s="11" t="n"/>
      <c r="R504" s="7">
        <f>IF($E504="","",Q504*Z504/100)</f>
        <v/>
      </c>
      <c r="S504" s="7" t="n"/>
      <c r="Y504" s="7" t="n"/>
      <c r="Z504" s="7" t="n"/>
      <c r="AA504" s="7">
        <f>IF($E504="","",Z504*AF504/100)</f>
        <v/>
      </c>
      <c r="AB504" s="7">
        <f>IF($E504="","",Z504-AA504)</f>
        <v/>
      </c>
      <c r="AC504" s="7">
        <f>IF($E504="","",AB504-R504)</f>
        <v/>
      </c>
      <c r="AF504">
        <f>IF($E504="","",IF($AR504=1,0,IF($AQ504=1,Settings!$C$6,Settings!$C$7))*100)</f>
        <v/>
      </c>
      <c r="AJ504" s="7" t="n"/>
      <c r="AM504" s="11" t="n"/>
      <c r="AO504">
        <f>IF($E504="","",IF(COUNTIF($E$2:$E504,$E504)=1,1,0))</f>
        <v/>
      </c>
      <c r="AP504">
        <f>IF($AO504=1,SUMPRODUCT(--($AS$2:$AS$1001&lt;$AS504))+1,"")</f>
        <v/>
      </c>
      <c r="AQ504">
        <f>IF($E504="","",IF(OR($V504=TRUE(),$V504="TRUE"),1,0))</f>
        <v/>
      </c>
      <c r="AR504">
        <f>IF($E504="","",IF($AE504="Yes",1,0))</f>
        <v/>
      </c>
      <c r="AS504">
        <f>IF($AO504=1,IFERROR(IF(VALUE($E504)&lt;100000000,VALUE($E504),1000000000),IFERROR(IF(VALUE(MID($E504,2,20))&lt;100000000,VALUE(MID($E504,2,20)),1000000000),1000000000))+ROW()/100000,"")</f>
        <v/>
      </c>
    </row>
    <row r="505">
      <c r="D505">
        <f>IF($E505="","",IFERROR(IF(INDEX('Per Invoice'!$A$2:$A$301,MATCH($E505,'Per Invoice'!$B$2:$B$301,0))=0,"",INDEX('Per Invoice'!$A$2:$A$301,MATCH($E505,'Per Invoice'!$B$2:$B$301,0))),""))</f>
        <v/>
      </c>
      <c r="H505" s="11" t="n"/>
      <c r="R505" s="7">
        <f>IF($E505="","",Q505*Z505/100)</f>
        <v/>
      </c>
      <c r="S505" s="7" t="n"/>
      <c r="Y505" s="7" t="n"/>
      <c r="Z505" s="7" t="n"/>
      <c r="AA505" s="7">
        <f>IF($E505="","",Z505*AF505/100)</f>
        <v/>
      </c>
      <c r="AB505" s="7">
        <f>IF($E505="","",Z505-AA505)</f>
        <v/>
      </c>
      <c r="AC505" s="7">
        <f>IF($E505="","",AB505-R505)</f>
        <v/>
      </c>
      <c r="AF505">
        <f>IF($E505="","",IF($AR505=1,0,IF($AQ505=1,Settings!$C$6,Settings!$C$7))*100)</f>
        <v/>
      </c>
      <c r="AJ505" s="7" t="n"/>
      <c r="AM505" s="11" t="n"/>
      <c r="AO505">
        <f>IF($E505="","",IF(COUNTIF($E$2:$E505,$E505)=1,1,0))</f>
        <v/>
      </c>
      <c r="AP505">
        <f>IF($AO505=1,SUMPRODUCT(--($AS$2:$AS$1001&lt;$AS505))+1,"")</f>
        <v/>
      </c>
      <c r="AQ505">
        <f>IF($E505="","",IF(OR($V505=TRUE(),$V505="TRUE"),1,0))</f>
        <v/>
      </c>
      <c r="AR505">
        <f>IF($E505="","",IF($AE505="Yes",1,0))</f>
        <v/>
      </c>
      <c r="AS505">
        <f>IF($AO505=1,IFERROR(IF(VALUE($E505)&lt;100000000,VALUE($E505),1000000000),IFERROR(IF(VALUE(MID($E505,2,20))&lt;100000000,VALUE(MID($E505,2,20)),1000000000),1000000000))+ROW()/100000,"")</f>
        <v/>
      </c>
    </row>
    <row r="506">
      <c r="D506">
        <f>IF($E506="","",IFERROR(IF(INDEX('Per Invoice'!$A$2:$A$301,MATCH($E506,'Per Invoice'!$B$2:$B$301,0))=0,"",INDEX('Per Invoice'!$A$2:$A$301,MATCH($E506,'Per Invoice'!$B$2:$B$301,0))),""))</f>
        <v/>
      </c>
      <c r="H506" s="11" t="n"/>
      <c r="R506" s="7">
        <f>IF($E506="","",Q506*Z506/100)</f>
        <v/>
      </c>
      <c r="S506" s="7" t="n"/>
      <c r="Y506" s="7" t="n"/>
      <c r="Z506" s="7" t="n"/>
      <c r="AA506" s="7">
        <f>IF($E506="","",Z506*AF506/100)</f>
        <v/>
      </c>
      <c r="AB506" s="7">
        <f>IF($E506="","",Z506-AA506)</f>
        <v/>
      </c>
      <c r="AC506" s="7">
        <f>IF($E506="","",AB506-R506)</f>
        <v/>
      </c>
      <c r="AF506">
        <f>IF($E506="","",IF($AR506=1,0,IF($AQ506=1,Settings!$C$6,Settings!$C$7))*100)</f>
        <v/>
      </c>
      <c r="AJ506" s="7" t="n"/>
      <c r="AM506" s="11" t="n"/>
      <c r="AO506">
        <f>IF($E506="","",IF(COUNTIF($E$2:$E506,$E506)=1,1,0))</f>
        <v/>
      </c>
      <c r="AP506">
        <f>IF($AO506=1,SUMPRODUCT(--($AS$2:$AS$1001&lt;$AS506))+1,"")</f>
        <v/>
      </c>
      <c r="AQ506">
        <f>IF($E506="","",IF(OR($V506=TRUE(),$V506="TRUE"),1,0))</f>
        <v/>
      </c>
      <c r="AR506">
        <f>IF($E506="","",IF($AE506="Yes",1,0))</f>
        <v/>
      </c>
      <c r="AS506">
        <f>IF($AO506=1,IFERROR(IF(VALUE($E506)&lt;100000000,VALUE($E506),1000000000),IFERROR(IF(VALUE(MID($E506,2,20))&lt;100000000,VALUE(MID($E506,2,20)),1000000000),1000000000))+ROW()/100000,"")</f>
        <v/>
      </c>
    </row>
    <row r="507">
      <c r="D507">
        <f>IF($E507="","",IFERROR(IF(INDEX('Per Invoice'!$A$2:$A$301,MATCH($E507,'Per Invoice'!$B$2:$B$301,0))=0,"",INDEX('Per Invoice'!$A$2:$A$301,MATCH($E507,'Per Invoice'!$B$2:$B$301,0))),""))</f>
        <v/>
      </c>
      <c r="H507" s="11" t="n"/>
      <c r="R507" s="7">
        <f>IF($E507="","",Q507*Z507/100)</f>
        <v/>
      </c>
      <c r="S507" s="7" t="n"/>
      <c r="Y507" s="7" t="n"/>
      <c r="Z507" s="7" t="n"/>
      <c r="AA507" s="7">
        <f>IF($E507="","",Z507*AF507/100)</f>
        <v/>
      </c>
      <c r="AB507" s="7">
        <f>IF($E507="","",Z507-AA507)</f>
        <v/>
      </c>
      <c r="AC507" s="7">
        <f>IF($E507="","",AB507-R507)</f>
        <v/>
      </c>
      <c r="AF507">
        <f>IF($E507="","",IF($AR507=1,0,IF($AQ507=1,Settings!$C$6,Settings!$C$7))*100)</f>
        <v/>
      </c>
      <c r="AJ507" s="7" t="n"/>
      <c r="AM507" s="11" t="n"/>
      <c r="AO507">
        <f>IF($E507="","",IF(COUNTIF($E$2:$E507,$E507)=1,1,0))</f>
        <v/>
      </c>
      <c r="AP507">
        <f>IF($AO507=1,SUMPRODUCT(--($AS$2:$AS$1001&lt;$AS507))+1,"")</f>
        <v/>
      </c>
      <c r="AQ507">
        <f>IF($E507="","",IF(OR($V507=TRUE(),$V507="TRUE"),1,0))</f>
        <v/>
      </c>
      <c r="AR507">
        <f>IF($E507="","",IF($AE507="Yes",1,0))</f>
        <v/>
      </c>
      <c r="AS507">
        <f>IF($AO507=1,IFERROR(IF(VALUE($E507)&lt;100000000,VALUE($E507),1000000000),IFERROR(IF(VALUE(MID($E507,2,20))&lt;100000000,VALUE(MID($E507,2,20)),1000000000),1000000000))+ROW()/100000,"")</f>
        <v/>
      </c>
    </row>
    <row r="508">
      <c r="D508">
        <f>IF($E508="","",IFERROR(IF(INDEX('Per Invoice'!$A$2:$A$301,MATCH($E508,'Per Invoice'!$B$2:$B$301,0))=0,"",INDEX('Per Invoice'!$A$2:$A$301,MATCH($E508,'Per Invoice'!$B$2:$B$301,0))),""))</f>
        <v/>
      </c>
      <c r="H508" s="11" t="n"/>
      <c r="R508" s="7">
        <f>IF($E508="","",Q508*Z508/100)</f>
        <v/>
      </c>
      <c r="S508" s="7" t="n"/>
      <c r="Y508" s="7" t="n"/>
      <c r="Z508" s="7" t="n"/>
      <c r="AA508" s="7">
        <f>IF($E508="","",Z508*AF508/100)</f>
        <v/>
      </c>
      <c r="AB508" s="7">
        <f>IF($E508="","",Z508-AA508)</f>
        <v/>
      </c>
      <c r="AC508" s="7">
        <f>IF($E508="","",AB508-R508)</f>
        <v/>
      </c>
      <c r="AF508">
        <f>IF($E508="","",IF($AR508=1,0,IF($AQ508=1,Settings!$C$6,Settings!$C$7))*100)</f>
        <v/>
      </c>
      <c r="AJ508" s="7" t="n"/>
      <c r="AM508" s="11" t="n"/>
      <c r="AO508">
        <f>IF($E508="","",IF(COUNTIF($E$2:$E508,$E508)=1,1,0))</f>
        <v/>
      </c>
      <c r="AP508">
        <f>IF($AO508=1,SUMPRODUCT(--($AS$2:$AS$1001&lt;$AS508))+1,"")</f>
        <v/>
      </c>
      <c r="AQ508">
        <f>IF($E508="","",IF(OR($V508=TRUE(),$V508="TRUE"),1,0))</f>
        <v/>
      </c>
      <c r="AR508">
        <f>IF($E508="","",IF($AE508="Yes",1,0))</f>
        <v/>
      </c>
      <c r="AS508">
        <f>IF($AO508=1,IFERROR(IF(VALUE($E508)&lt;100000000,VALUE($E508),1000000000),IFERROR(IF(VALUE(MID($E508,2,20))&lt;100000000,VALUE(MID($E508,2,20)),1000000000),1000000000))+ROW()/100000,"")</f>
        <v/>
      </c>
    </row>
    <row r="509">
      <c r="D509">
        <f>IF($E509="","",IFERROR(IF(INDEX('Per Invoice'!$A$2:$A$301,MATCH($E509,'Per Invoice'!$B$2:$B$301,0))=0,"",INDEX('Per Invoice'!$A$2:$A$301,MATCH($E509,'Per Invoice'!$B$2:$B$301,0))),""))</f>
        <v/>
      </c>
      <c r="H509" s="11" t="n"/>
      <c r="R509" s="7">
        <f>IF($E509="","",Q509*Z509/100)</f>
        <v/>
      </c>
      <c r="S509" s="7" t="n"/>
      <c r="Y509" s="7" t="n"/>
      <c r="Z509" s="7" t="n"/>
      <c r="AA509" s="7">
        <f>IF($E509="","",Z509*AF509/100)</f>
        <v/>
      </c>
      <c r="AB509" s="7">
        <f>IF($E509="","",Z509-AA509)</f>
        <v/>
      </c>
      <c r="AC509" s="7">
        <f>IF($E509="","",AB509-R509)</f>
        <v/>
      </c>
      <c r="AF509">
        <f>IF($E509="","",IF($AR509=1,0,IF($AQ509=1,Settings!$C$6,Settings!$C$7))*100)</f>
        <v/>
      </c>
      <c r="AJ509" s="7" t="n"/>
      <c r="AM509" s="11" t="n"/>
      <c r="AO509">
        <f>IF($E509="","",IF(COUNTIF($E$2:$E509,$E509)=1,1,0))</f>
        <v/>
      </c>
      <c r="AP509">
        <f>IF($AO509=1,SUMPRODUCT(--($AS$2:$AS$1001&lt;$AS509))+1,"")</f>
        <v/>
      </c>
      <c r="AQ509">
        <f>IF($E509="","",IF(OR($V509=TRUE(),$V509="TRUE"),1,0))</f>
        <v/>
      </c>
      <c r="AR509">
        <f>IF($E509="","",IF($AE509="Yes",1,0))</f>
        <v/>
      </c>
      <c r="AS509">
        <f>IF($AO509=1,IFERROR(IF(VALUE($E509)&lt;100000000,VALUE($E509),1000000000),IFERROR(IF(VALUE(MID($E509,2,20))&lt;100000000,VALUE(MID($E509,2,20)),1000000000),1000000000))+ROW()/100000,"")</f>
        <v/>
      </c>
    </row>
    <row r="510">
      <c r="D510">
        <f>IF($E510="","",IFERROR(IF(INDEX('Per Invoice'!$A$2:$A$301,MATCH($E510,'Per Invoice'!$B$2:$B$301,0))=0,"",INDEX('Per Invoice'!$A$2:$A$301,MATCH($E510,'Per Invoice'!$B$2:$B$301,0))),""))</f>
        <v/>
      </c>
      <c r="H510" s="11" t="n"/>
      <c r="R510" s="7">
        <f>IF($E510="","",Q510*Z510/100)</f>
        <v/>
      </c>
      <c r="S510" s="7" t="n"/>
      <c r="Y510" s="7" t="n"/>
      <c r="Z510" s="7" t="n"/>
      <c r="AA510" s="7">
        <f>IF($E510="","",Z510*AF510/100)</f>
        <v/>
      </c>
      <c r="AB510" s="7">
        <f>IF($E510="","",Z510-AA510)</f>
        <v/>
      </c>
      <c r="AC510" s="7">
        <f>IF($E510="","",AB510-R510)</f>
        <v/>
      </c>
      <c r="AF510">
        <f>IF($E510="","",IF($AR510=1,0,IF($AQ510=1,Settings!$C$6,Settings!$C$7))*100)</f>
        <v/>
      </c>
      <c r="AJ510" s="7" t="n"/>
      <c r="AM510" s="11" t="n"/>
      <c r="AO510">
        <f>IF($E510="","",IF(COUNTIF($E$2:$E510,$E510)=1,1,0))</f>
        <v/>
      </c>
      <c r="AP510">
        <f>IF($AO510=1,SUMPRODUCT(--($AS$2:$AS$1001&lt;$AS510))+1,"")</f>
        <v/>
      </c>
      <c r="AQ510">
        <f>IF($E510="","",IF(OR($V510=TRUE(),$V510="TRUE"),1,0))</f>
        <v/>
      </c>
      <c r="AR510">
        <f>IF($E510="","",IF($AE510="Yes",1,0))</f>
        <v/>
      </c>
      <c r="AS510">
        <f>IF($AO510=1,IFERROR(IF(VALUE($E510)&lt;100000000,VALUE($E510),1000000000),IFERROR(IF(VALUE(MID($E510,2,20))&lt;100000000,VALUE(MID($E510,2,20)),1000000000),1000000000))+ROW()/100000,"")</f>
        <v/>
      </c>
    </row>
    <row r="511">
      <c r="D511">
        <f>IF($E511="","",IFERROR(IF(INDEX('Per Invoice'!$A$2:$A$301,MATCH($E511,'Per Invoice'!$B$2:$B$301,0))=0,"",INDEX('Per Invoice'!$A$2:$A$301,MATCH($E511,'Per Invoice'!$B$2:$B$301,0))),""))</f>
        <v/>
      </c>
      <c r="H511" s="11" t="n"/>
      <c r="R511" s="7">
        <f>IF($E511="","",Q511*Z511/100)</f>
        <v/>
      </c>
      <c r="S511" s="7" t="n"/>
      <c r="Y511" s="7" t="n"/>
      <c r="Z511" s="7" t="n"/>
      <c r="AA511" s="7">
        <f>IF($E511="","",Z511*AF511/100)</f>
        <v/>
      </c>
      <c r="AB511" s="7">
        <f>IF($E511="","",Z511-AA511)</f>
        <v/>
      </c>
      <c r="AC511" s="7">
        <f>IF($E511="","",AB511-R511)</f>
        <v/>
      </c>
      <c r="AF511">
        <f>IF($E511="","",IF($AR511=1,0,IF($AQ511=1,Settings!$C$6,Settings!$C$7))*100)</f>
        <v/>
      </c>
      <c r="AJ511" s="7" t="n"/>
      <c r="AM511" s="11" t="n"/>
      <c r="AO511">
        <f>IF($E511="","",IF(COUNTIF($E$2:$E511,$E511)=1,1,0))</f>
        <v/>
      </c>
      <c r="AP511">
        <f>IF($AO511=1,SUMPRODUCT(--($AS$2:$AS$1001&lt;$AS511))+1,"")</f>
        <v/>
      </c>
      <c r="AQ511">
        <f>IF($E511="","",IF(OR($V511=TRUE(),$V511="TRUE"),1,0))</f>
        <v/>
      </c>
      <c r="AR511">
        <f>IF($E511="","",IF($AE511="Yes",1,0))</f>
        <v/>
      </c>
      <c r="AS511">
        <f>IF($AO511=1,IFERROR(IF(VALUE($E511)&lt;100000000,VALUE($E511),1000000000),IFERROR(IF(VALUE(MID($E511,2,20))&lt;100000000,VALUE(MID($E511,2,20)),1000000000),1000000000))+ROW()/100000,"")</f>
        <v/>
      </c>
    </row>
    <row r="512">
      <c r="D512">
        <f>IF($E512="","",IFERROR(IF(INDEX('Per Invoice'!$A$2:$A$301,MATCH($E512,'Per Invoice'!$B$2:$B$301,0))=0,"",INDEX('Per Invoice'!$A$2:$A$301,MATCH($E512,'Per Invoice'!$B$2:$B$301,0))),""))</f>
        <v/>
      </c>
      <c r="H512" s="11" t="n"/>
      <c r="R512" s="7">
        <f>IF($E512="","",Q512*Z512/100)</f>
        <v/>
      </c>
      <c r="S512" s="7" t="n"/>
      <c r="Y512" s="7" t="n"/>
      <c r="Z512" s="7" t="n"/>
      <c r="AA512" s="7">
        <f>IF($E512="","",Z512*AF512/100)</f>
        <v/>
      </c>
      <c r="AB512" s="7">
        <f>IF($E512="","",Z512-AA512)</f>
        <v/>
      </c>
      <c r="AC512" s="7">
        <f>IF($E512="","",AB512-R512)</f>
        <v/>
      </c>
      <c r="AF512">
        <f>IF($E512="","",IF($AR512=1,0,IF($AQ512=1,Settings!$C$6,Settings!$C$7))*100)</f>
        <v/>
      </c>
      <c r="AJ512" s="7" t="n"/>
      <c r="AM512" s="11" t="n"/>
      <c r="AO512">
        <f>IF($E512="","",IF(COUNTIF($E$2:$E512,$E512)=1,1,0))</f>
        <v/>
      </c>
      <c r="AP512">
        <f>IF($AO512=1,SUMPRODUCT(--($AS$2:$AS$1001&lt;$AS512))+1,"")</f>
        <v/>
      </c>
      <c r="AQ512">
        <f>IF($E512="","",IF(OR($V512=TRUE(),$V512="TRUE"),1,0))</f>
        <v/>
      </c>
      <c r="AR512">
        <f>IF($E512="","",IF($AE512="Yes",1,0))</f>
        <v/>
      </c>
      <c r="AS512">
        <f>IF($AO512=1,IFERROR(IF(VALUE($E512)&lt;100000000,VALUE($E512),1000000000),IFERROR(IF(VALUE(MID($E512,2,20))&lt;100000000,VALUE(MID($E512,2,20)),1000000000),1000000000))+ROW()/100000,"")</f>
        <v/>
      </c>
    </row>
    <row r="513">
      <c r="D513">
        <f>IF($E513="","",IFERROR(IF(INDEX('Per Invoice'!$A$2:$A$301,MATCH($E513,'Per Invoice'!$B$2:$B$301,0))=0,"",INDEX('Per Invoice'!$A$2:$A$301,MATCH($E513,'Per Invoice'!$B$2:$B$301,0))),""))</f>
        <v/>
      </c>
      <c r="H513" s="11" t="n"/>
      <c r="R513" s="7">
        <f>IF($E513="","",Q513*Z513/100)</f>
        <v/>
      </c>
      <c r="S513" s="7" t="n"/>
      <c r="Y513" s="7" t="n"/>
      <c r="Z513" s="7" t="n"/>
      <c r="AA513" s="7">
        <f>IF($E513="","",Z513*AF513/100)</f>
        <v/>
      </c>
      <c r="AB513" s="7">
        <f>IF($E513="","",Z513-AA513)</f>
        <v/>
      </c>
      <c r="AC513" s="7">
        <f>IF($E513="","",AB513-R513)</f>
        <v/>
      </c>
      <c r="AF513">
        <f>IF($E513="","",IF($AR513=1,0,IF($AQ513=1,Settings!$C$6,Settings!$C$7))*100)</f>
        <v/>
      </c>
      <c r="AJ513" s="7" t="n"/>
      <c r="AM513" s="11" t="n"/>
      <c r="AO513">
        <f>IF($E513="","",IF(COUNTIF($E$2:$E513,$E513)=1,1,0))</f>
        <v/>
      </c>
      <c r="AP513">
        <f>IF($AO513=1,SUMPRODUCT(--($AS$2:$AS$1001&lt;$AS513))+1,"")</f>
        <v/>
      </c>
      <c r="AQ513">
        <f>IF($E513="","",IF(OR($V513=TRUE(),$V513="TRUE"),1,0))</f>
        <v/>
      </c>
      <c r="AR513">
        <f>IF($E513="","",IF($AE513="Yes",1,0))</f>
        <v/>
      </c>
      <c r="AS513">
        <f>IF($AO513=1,IFERROR(IF(VALUE($E513)&lt;100000000,VALUE($E513),1000000000),IFERROR(IF(VALUE(MID($E513,2,20))&lt;100000000,VALUE(MID($E513,2,20)),1000000000),1000000000))+ROW()/100000,"")</f>
        <v/>
      </c>
    </row>
    <row r="514">
      <c r="D514">
        <f>IF($E514="","",IFERROR(IF(INDEX('Per Invoice'!$A$2:$A$301,MATCH($E514,'Per Invoice'!$B$2:$B$301,0))=0,"",INDEX('Per Invoice'!$A$2:$A$301,MATCH($E514,'Per Invoice'!$B$2:$B$301,0))),""))</f>
        <v/>
      </c>
      <c r="H514" s="11" t="n"/>
      <c r="R514" s="7">
        <f>IF($E514="","",Q514*Z514/100)</f>
        <v/>
      </c>
      <c r="S514" s="7" t="n"/>
      <c r="Y514" s="7" t="n"/>
      <c r="Z514" s="7" t="n"/>
      <c r="AA514" s="7">
        <f>IF($E514="","",Z514*AF514/100)</f>
        <v/>
      </c>
      <c r="AB514" s="7">
        <f>IF($E514="","",Z514-AA514)</f>
        <v/>
      </c>
      <c r="AC514" s="7">
        <f>IF($E514="","",AB514-R514)</f>
        <v/>
      </c>
      <c r="AF514">
        <f>IF($E514="","",IF($AR514=1,0,IF($AQ514=1,Settings!$C$6,Settings!$C$7))*100)</f>
        <v/>
      </c>
      <c r="AJ514" s="7" t="n"/>
      <c r="AM514" s="11" t="n"/>
      <c r="AO514">
        <f>IF($E514="","",IF(COUNTIF($E$2:$E514,$E514)=1,1,0))</f>
        <v/>
      </c>
      <c r="AP514">
        <f>IF($AO514=1,SUMPRODUCT(--($AS$2:$AS$1001&lt;$AS514))+1,"")</f>
        <v/>
      </c>
      <c r="AQ514">
        <f>IF($E514="","",IF(OR($V514=TRUE(),$V514="TRUE"),1,0))</f>
        <v/>
      </c>
      <c r="AR514">
        <f>IF($E514="","",IF($AE514="Yes",1,0))</f>
        <v/>
      </c>
      <c r="AS514">
        <f>IF($AO514=1,IFERROR(IF(VALUE($E514)&lt;100000000,VALUE($E514),1000000000),IFERROR(IF(VALUE(MID($E514,2,20))&lt;100000000,VALUE(MID($E514,2,20)),1000000000),1000000000))+ROW()/100000,"")</f>
        <v/>
      </c>
    </row>
    <row r="515">
      <c r="D515">
        <f>IF($E515="","",IFERROR(IF(INDEX('Per Invoice'!$A$2:$A$301,MATCH($E515,'Per Invoice'!$B$2:$B$301,0))=0,"",INDEX('Per Invoice'!$A$2:$A$301,MATCH($E515,'Per Invoice'!$B$2:$B$301,0))),""))</f>
        <v/>
      </c>
      <c r="H515" s="11" t="n"/>
      <c r="R515" s="7">
        <f>IF($E515="","",Q515*Z515/100)</f>
        <v/>
      </c>
      <c r="S515" s="7" t="n"/>
      <c r="Y515" s="7" t="n"/>
      <c r="Z515" s="7" t="n"/>
      <c r="AA515" s="7">
        <f>IF($E515="","",Z515*AF515/100)</f>
        <v/>
      </c>
      <c r="AB515" s="7">
        <f>IF($E515="","",Z515-AA515)</f>
        <v/>
      </c>
      <c r="AC515" s="7">
        <f>IF($E515="","",AB515-R515)</f>
        <v/>
      </c>
      <c r="AF515">
        <f>IF($E515="","",IF($AR515=1,0,IF($AQ515=1,Settings!$C$6,Settings!$C$7))*100)</f>
        <v/>
      </c>
      <c r="AJ515" s="7" t="n"/>
      <c r="AM515" s="11" t="n"/>
      <c r="AO515">
        <f>IF($E515="","",IF(COUNTIF($E$2:$E515,$E515)=1,1,0))</f>
        <v/>
      </c>
      <c r="AP515">
        <f>IF($AO515=1,SUMPRODUCT(--($AS$2:$AS$1001&lt;$AS515))+1,"")</f>
        <v/>
      </c>
      <c r="AQ515">
        <f>IF($E515="","",IF(OR($V515=TRUE(),$V515="TRUE"),1,0))</f>
        <v/>
      </c>
      <c r="AR515">
        <f>IF($E515="","",IF($AE515="Yes",1,0))</f>
        <v/>
      </c>
      <c r="AS515">
        <f>IF($AO515=1,IFERROR(IF(VALUE($E515)&lt;100000000,VALUE($E515),1000000000),IFERROR(IF(VALUE(MID($E515,2,20))&lt;100000000,VALUE(MID($E515,2,20)),1000000000),1000000000))+ROW()/100000,"")</f>
        <v/>
      </c>
    </row>
    <row r="516">
      <c r="D516">
        <f>IF($E516="","",IFERROR(IF(INDEX('Per Invoice'!$A$2:$A$301,MATCH($E516,'Per Invoice'!$B$2:$B$301,0))=0,"",INDEX('Per Invoice'!$A$2:$A$301,MATCH($E516,'Per Invoice'!$B$2:$B$301,0))),""))</f>
        <v/>
      </c>
      <c r="H516" s="11" t="n"/>
      <c r="R516" s="7">
        <f>IF($E516="","",Q516*Z516/100)</f>
        <v/>
      </c>
      <c r="S516" s="7" t="n"/>
      <c r="Y516" s="7" t="n"/>
      <c r="Z516" s="7" t="n"/>
      <c r="AA516" s="7">
        <f>IF($E516="","",Z516*AF516/100)</f>
        <v/>
      </c>
      <c r="AB516" s="7">
        <f>IF($E516="","",Z516-AA516)</f>
        <v/>
      </c>
      <c r="AC516" s="7">
        <f>IF($E516="","",AB516-R516)</f>
        <v/>
      </c>
      <c r="AF516">
        <f>IF($E516="","",IF($AR516=1,0,IF($AQ516=1,Settings!$C$6,Settings!$C$7))*100)</f>
        <v/>
      </c>
      <c r="AJ516" s="7" t="n"/>
      <c r="AM516" s="11" t="n"/>
      <c r="AO516">
        <f>IF($E516="","",IF(COUNTIF($E$2:$E516,$E516)=1,1,0))</f>
        <v/>
      </c>
      <c r="AP516">
        <f>IF($AO516=1,SUMPRODUCT(--($AS$2:$AS$1001&lt;$AS516))+1,"")</f>
        <v/>
      </c>
      <c r="AQ516">
        <f>IF($E516="","",IF(OR($V516=TRUE(),$V516="TRUE"),1,0))</f>
        <v/>
      </c>
      <c r="AR516">
        <f>IF($E516="","",IF($AE516="Yes",1,0))</f>
        <v/>
      </c>
      <c r="AS516">
        <f>IF($AO516=1,IFERROR(IF(VALUE($E516)&lt;100000000,VALUE($E516),1000000000),IFERROR(IF(VALUE(MID($E516,2,20))&lt;100000000,VALUE(MID($E516,2,20)),1000000000),1000000000))+ROW()/100000,"")</f>
        <v/>
      </c>
    </row>
    <row r="517">
      <c r="D517">
        <f>IF($E517="","",IFERROR(IF(INDEX('Per Invoice'!$A$2:$A$301,MATCH($E517,'Per Invoice'!$B$2:$B$301,0))=0,"",INDEX('Per Invoice'!$A$2:$A$301,MATCH($E517,'Per Invoice'!$B$2:$B$301,0))),""))</f>
        <v/>
      </c>
      <c r="H517" s="11" t="n"/>
      <c r="R517" s="7">
        <f>IF($E517="","",Q517*Z517/100)</f>
        <v/>
      </c>
      <c r="S517" s="7" t="n"/>
      <c r="Y517" s="7" t="n"/>
      <c r="Z517" s="7" t="n"/>
      <c r="AA517" s="7">
        <f>IF($E517="","",Z517*AF517/100)</f>
        <v/>
      </c>
      <c r="AB517" s="7">
        <f>IF($E517="","",Z517-AA517)</f>
        <v/>
      </c>
      <c r="AC517" s="7">
        <f>IF($E517="","",AB517-R517)</f>
        <v/>
      </c>
      <c r="AF517">
        <f>IF($E517="","",IF($AR517=1,0,IF($AQ517=1,Settings!$C$6,Settings!$C$7))*100)</f>
        <v/>
      </c>
      <c r="AJ517" s="7" t="n"/>
      <c r="AM517" s="11" t="n"/>
      <c r="AO517">
        <f>IF($E517="","",IF(COUNTIF($E$2:$E517,$E517)=1,1,0))</f>
        <v/>
      </c>
      <c r="AP517">
        <f>IF($AO517=1,SUMPRODUCT(--($AS$2:$AS$1001&lt;$AS517))+1,"")</f>
        <v/>
      </c>
      <c r="AQ517">
        <f>IF($E517="","",IF(OR($V517=TRUE(),$V517="TRUE"),1,0))</f>
        <v/>
      </c>
      <c r="AR517">
        <f>IF($E517="","",IF($AE517="Yes",1,0))</f>
        <v/>
      </c>
      <c r="AS517">
        <f>IF($AO517=1,IFERROR(IF(VALUE($E517)&lt;100000000,VALUE($E517),1000000000),IFERROR(IF(VALUE(MID($E517,2,20))&lt;100000000,VALUE(MID($E517,2,20)),1000000000),1000000000))+ROW()/100000,"")</f>
        <v/>
      </c>
    </row>
    <row r="518">
      <c r="D518">
        <f>IF($E518="","",IFERROR(IF(INDEX('Per Invoice'!$A$2:$A$301,MATCH($E518,'Per Invoice'!$B$2:$B$301,0))=0,"",INDEX('Per Invoice'!$A$2:$A$301,MATCH($E518,'Per Invoice'!$B$2:$B$301,0))),""))</f>
        <v/>
      </c>
      <c r="H518" s="11" t="n"/>
      <c r="R518" s="7">
        <f>IF($E518="","",Q518*Z518/100)</f>
        <v/>
      </c>
      <c r="S518" s="7" t="n"/>
      <c r="Y518" s="7" t="n"/>
      <c r="Z518" s="7" t="n"/>
      <c r="AA518" s="7">
        <f>IF($E518="","",Z518*AF518/100)</f>
        <v/>
      </c>
      <c r="AB518" s="7">
        <f>IF($E518="","",Z518-AA518)</f>
        <v/>
      </c>
      <c r="AC518" s="7">
        <f>IF($E518="","",AB518-R518)</f>
        <v/>
      </c>
      <c r="AF518">
        <f>IF($E518="","",IF($AR518=1,0,IF($AQ518=1,Settings!$C$6,Settings!$C$7))*100)</f>
        <v/>
      </c>
      <c r="AJ518" s="7" t="n"/>
      <c r="AM518" s="11" t="n"/>
      <c r="AO518">
        <f>IF($E518="","",IF(COUNTIF($E$2:$E518,$E518)=1,1,0))</f>
        <v/>
      </c>
      <c r="AP518">
        <f>IF($AO518=1,SUMPRODUCT(--($AS$2:$AS$1001&lt;$AS518))+1,"")</f>
        <v/>
      </c>
      <c r="AQ518">
        <f>IF($E518="","",IF(OR($V518=TRUE(),$V518="TRUE"),1,0))</f>
        <v/>
      </c>
      <c r="AR518">
        <f>IF($E518="","",IF($AE518="Yes",1,0))</f>
        <v/>
      </c>
      <c r="AS518">
        <f>IF($AO518=1,IFERROR(IF(VALUE($E518)&lt;100000000,VALUE($E518),1000000000),IFERROR(IF(VALUE(MID($E518,2,20))&lt;100000000,VALUE(MID($E518,2,20)),1000000000),1000000000))+ROW()/100000,"")</f>
        <v/>
      </c>
    </row>
    <row r="519">
      <c r="D519">
        <f>IF($E519="","",IFERROR(IF(INDEX('Per Invoice'!$A$2:$A$301,MATCH($E519,'Per Invoice'!$B$2:$B$301,0))=0,"",INDEX('Per Invoice'!$A$2:$A$301,MATCH($E519,'Per Invoice'!$B$2:$B$301,0))),""))</f>
        <v/>
      </c>
      <c r="H519" s="11" t="n"/>
      <c r="R519" s="7">
        <f>IF($E519="","",Q519*Z519/100)</f>
        <v/>
      </c>
      <c r="S519" s="7" t="n"/>
      <c r="Y519" s="7" t="n"/>
      <c r="Z519" s="7" t="n"/>
      <c r="AA519" s="7">
        <f>IF($E519="","",Z519*AF519/100)</f>
        <v/>
      </c>
      <c r="AB519" s="7">
        <f>IF($E519="","",Z519-AA519)</f>
        <v/>
      </c>
      <c r="AC519" s="7">
        <f>IF($E519="","",AB519-R519)</f>
        <v/>
      </c>
      <c r="AF519">
        <f>IF($E519="","",IF($AR519=1,0,IF($AQ519=1,Settings!$C$6,Settings!$C$7))*100)</f>
        <v/>
      </c>
      <c r="AJ519" s="7" t="n"/>
      <c r="AM519" s="11" t="n"/>
      <c r="AO519">
        <f>IF($E519="","",IF(COUNTIF($E$2:$E519,$E519)=1,1,0))</f>
        <v/>
      </c>
      <c r="AP519">
        <f>IF($AO519=1,SUMPRODUCT(--($AS$2:$AS$1001&lt;$AS519))+1,"")</f>
        <v/>
      </c>
      <c r="AQ519">
        <f>IF($E519="","",IF(OR($V519=TRUE(),$V519="TRUE"),1,0))</f>
        <v/>
      </c>
      <c r="AR519">
        <f>IF($E519="","",IF($AE519="Yes",1,0))</f>
        <v/>
      </c>
      <c r="AS519">
        <f>IF($AO519=1,IFERROR(IF(VALUE($E519)&lt;100000000,VALUE($E519),1000000000),IFERROR(IF(VALUE(MID($E519,2,20))&lt;100000000,VALUE(MID($E519,2,20)),1000000000),1000000000))+ROW()/100000,"")</f>
        <v/>
      </c>
    </row>
    <row r="520">
      <c r="D520">
        <f>IF($E520="","",IFERROR(IF(INDEX('Per Invoice'!$A$2:$A$301,MATCH($E520,'Per Invoice'!$B$2:$B$301,0))=0,"",INDEX('Per Invoice'!$A$2:$A$301,MATCH($E520,'Per Invoice'!$B$2:$B$301,0))),""))</f>
        <v/>
      </c>
      <c r="H520" s="11" t="n"/>
      <c r="R520" s="7">
        <f>IF($E520="","",Q520*Z520/100)</f>
        <v/>
      </c>
      <c r="S520" s="7" t="n"/>
      <c r="Y520" s="7" t="n"/>
      <c r="Z520" s="7" t="n"/>
      <c r="AA520" s="7">
        <f>IF($E520="","",Z520*AF520/100)</f>
        <v/>
      </c>
      <c r="AB520" s="7">
        <f>IF($E520="","",Z520-AA520)</f>
        <v/>
      </c>
      <c r="AC520" s="7">
        <f>IF($E520="","",AB520-R520)</f>
        <v/>
      </c>
      <c r="AF520">
        <f>IF($E520="","",IF($AR520=1,0,IF($AQ520=1,Settings!$C$6,Settings!$C$7))*100)</f>
        <v/>
      </c>
      <c r="AJ520" s="7" t="n"/>
      <c r="AM520" s="11" t="n"/>
      <c r="AO520">
        <f>IF($E520="","",IF(COUNTIF($E$2:$E520,$E520)=1,1,0))</f>
        <v/>
      </c>
      <c r="AP520">
        <f>IF($AO520=1,SUMPRODUCT(--($AS$2:$AS$1001&lt;$AS520))+1,"")</f>
        <v/>
      </c>
      <c r="AQ520">
        <f>IF($E520="","",IF(OR($V520=TRUE(),$V520="TRUE"),1,0))</f>
        <v/>
      </c>
      <c r="AR520">
        <f>IF($E520="","",IF($AE520="Yes",1,0))</f>
        <v/>
      </c>
      <c r="AS520">
        <f>IF($AO520=1,IFERROR(IF(VALUE($E520)&lt;100000000,VALUE($E520),1000000000),IFERROR(IF(VALUE(MID($E520,2,20))&lt;100000000,VALUE(MID($E520,2,20)),1000000000),1000000000))+ROW()/100000,"")</f>
        <v/>
      </c>
    </row>
    <row r="521">
      <c r="D521">
        <f>IF($E521="","",IFERROR(IF(INDEX('Per Invoice'!$A$2:$A$301,MATCH($E521,'Per Invoice'!$B$2:$B$301,0))=0,"",INDEX('Per Invoice'!$A$2:$A$301,MATCH($E521,'Per Invoice'!$B$2:$B$301,0))),""))</f>
        <v/>
      </c>
      <c r="H521" s="11" t="n"/>
      <c r="R521" s="7">
        <f>IF($E521="","",Q521*Z521/100)</f>
        <v/>
      </c>
      <c r="S521" s="7" t="n"/>
      <c r="Y521" s="7" t="n"/>
      <c r="Z521" s="7" t="n"/>
      <c r="AA521" s="7">
        <f>IF($E521="","",Z521*AF521/100)</f>
        <v/>
      </c>
      <c r="AB521" s="7">
        <f>IF($E521="","",Z521-AA521)</f>
        <v/>
      </c>
      <c r="AC521" s="7">
        <f>IF($E521="","",AB521-R521)</f>
        <v/>
      </c>
      <c r="AF521">
        <f>IF($E521="","",IF($AR521=1,0,IF($AQ521=1,Settings!$C$6,Settings!$C$7))*100)</f>
        <v/>
      </c>
      <c r="AJ521" s="7" t="n"/>
      <c r="AM521" s="11" t="n"/>
      <c r="AO521">
        <f>IF($E521="","",IF(COUNTIF($E$2:$E521,$E521)=1,1,0))</f>
        <v/>
      </c>
      <c r="AP521">
        <f>IF($AO521=1,SUMPRODUCT(--($AS$2:$AS$1001&lt;$AS521))+1,"")</f>
        <v/>
      </c>
      <c r="AQ521">
        <f>IF($E521="","",IF(OR($V521=TRUE(),$V521="TRUE"),1,0))</f>
        <v/>
      </c>
      <c r="AR521">
        <f>IF($E521="","",IF($AE521="Yes",1,0))</f>
        <v/>
      </c>
      <c r="AS521">
        <f>IF($AO521=1,IFERROR(IF(VALUE($E521)&lt;100000000,VALUE($E521),1000000000),IFERROR(IF(VALUE(MID($E521,2,20))&lt;100000000,VALUE(MID($E521,2,20)),1000000000),1000000000))+ROW()/100000,"")</f>
        <v/>
      </c>
    </row>
    <row r="522">
      <c r="D522">
        <f>IF($E522="","",IFERROR(IF(INDEX('Per Invoice'!$A$2:$A$301,MATCH($E522,'Per Invoice'!$B$2:$B$301,0))=0,"",INDEX('Per Invoice'!$A$2:$A$301,MATCH($E522,'Per Invoice'!$B$2:$B$301,0))),""))</f>
        <v/>
      </c>
      <c r="H522" s="11" t="n"/>
      <c r="R522" s="7">
        <f>IF($E522="","",Q522*Z522/100)</f>
        <v/>
      </c>
      <c r="S522" s="7" t="n"/>
      <c r="Y522" s="7" t="n"/>
      <c r="Z522" s="7" t="n"/>
      <c r="AA522" s="7">
        <f>IF($E522="","",Z522*AF522/100)</f>
        <v/>
      </c>
      <c r="AB522" s="7">
        <f>IF($E522="","",Z522-AA522)</f>
        <v/>
      </c>
      <c r="AC522" s="7">
        <f>IF($E522="","",AB522-R522)</f>
        <v/>
      </c>
      <c r="AF522">
        <f>IF($E522="","",IF($AR522=1,0,IF($AQ522=1,Settings!$C$6,Settings!$C$7))*100)</f>
        <v/>
      </c>
      <c r="AJ522" s="7" t="n"/>
      <c r="AM522" s="11" t="n"/>
      <c r="AO522">
        <f>IF($E522="","",IF(COUNTIF($E$2:$E522,$E522)=1,1,0))</f>
        <v/>
      </c>
      <c r="AP522">
        <f>IF($AO522=1,SUMPRODUCT(--($AS$2:$AS$1001&lt;$AS522))+1,"")</f>
        <v/>
      </c>
      <c r="AQ522">
        <f>IF($E522="","",IF(OR($V522=TRUE(),$V522="TRUE"),1,0))</f>
        <v/>
      </c>
      <c r="AR522">
        <f>IF($E522="","",IF($AE522="Yes",1,0))</f>
        <v/>
      </c>
      <c r="AS522">
        <f>IF($AO522=1,IFERROR(IF(VALUE($E522)&lt;100000000,VALUE($E522),1000000000),IFERROR(IF(VALUE(MID($E522,2,20))&lt;100000000,VALUE(MID($E522,2,20)),1000000000),1000000000))+ROW()/100000,"")</f>
        <v/>
      </c>
    </row>
    <row r="523">
      <c r="D523">
        <f>IF($E523="","",IFERROR(IF(INDEX('Per Invoice'!$A$2:$A$301,MATCH($E523,'Per Invoice'!$B$2:$B$301,0))=0,"",INDEX('Per Invoice'!$A$2:$A$301,MATCH($E523,'Per Invoice'!$B$2:$B$301,0))),""))</f>
        <v/>
      </c>
      <c r="H523" s="11" t="n"/>
      <c r="R523" s="7">
        <f>IF($E523="","",Q523*Z523/100)</f>
        <v/>
      </c>
      <c r="S523" s="7" t="n"/>
      <c r="Y523" s="7" t="n"/>
      <c r="Z523" s="7" t="n"/>
      <c r="AA523" s="7">
        <f>IF($E523="","",Z523*AF523/100)</f>
        <v/>
      </c>
      <c r="AB523" s="7">
        <f>IF($E523="","",Z523-AA523)</f>
        <v/>
      </c>
      <c r="AC523" s="7">
        <f>IF($E523="","",AB523-R523)</f>
        <v/>
      </c>
      <c r="AF523">
        <f>IF($E523="","",IF($AR523=1,0,IF($AQ523=1,Settings!$C$6,Settings!$C$7))*100)</f>
        <v/>
      </c>
      <c r="AJ523" s="7" t="n"/>
      <c r="AM523" s="11" t="n"/>
      <c r="AO523">
        <f>IF($E523="","",IF(COUNTIF($E$2:$E523,$E523)=1,1,0))</f>
        <v/>
      </c>
      <c r="AP523">
        <f>IF($AO523=1,SUMPRODUCT(--($AS$2:$AS$1001&lt;$AS523))+1,"")</f>
        <v/>
      </c>
      <c r="AQ523">
        <f>IF($E523="","",IF(OR($V523=TRUE(),$V523="TRUE"),1,0))</f>
        <v/>
      </c>
      <c r="AR523">
        <f>IF($E523="","",IF($AE523="Yes",1,0))</f>
        <v/>
      </c>
      <c r="AS523">
        <f>IF($AO523=1,IFERROR(IF(VALUE($E523)&lt;100000000,VALUE($E523),1000000000),IFERROR(IF(VALUE(MID($E523,2,20))&lt;100000000,VALUE(MID($E523,2,20)),1000000000),1000000000))+ROW()/100000,"")</f>
        <v/>
      </c>
    </row>
    <row r="524">
      <c r="D524">
        <f>IF($E524="","",IFERROR(IF(INDEX('Per Invoice'!$A$2:$A$301,MATCH($E524,'Per Invoice'!$B$2:$B$301,0))=0,"",INDEX('Per Invoice'!$A$2:$A$301,MATCH($E524,'Per Invoice'!$B$2:$B$301,0))),""))</f>
        <v/>
      </c>
      <c r="H524" s="11" t="n"/>
      <c r="R524" s="7">
        <f>IF($E524="","",Q524*Z524/100)</f>
        <v/>
      </c>
      <c r="S524" s="7" t="n"/>
      <c r="Y524" s="7" t="n"/>
      <c r="Z524" s="7" t="n"/>
      <c r="AA524" s="7">
        <f>IF($E524="","",Z524*AF524/100)</f>
        <v/>
      </c>
      <c r="AB524" s="7">
        <f>IF($E524="","",Z524-AA524)</f>
        <v/>
      </c>
      <c r="AC524" s="7">
        <f>IF($E524="","",AB524-R524)</f>
        <v/>
      </c>
      <c r="AF524">
        <f>IF($E524="","",IF($AR524=1,0,IF($AQ524=1,Settings!$C$6,Settings!$C$7))*100)</f>
        <v/>
      </c>
      <c r="AJ524" s="7" t="n"/>
      <c r="AM524" s="11" t="n"/>
      <c r="AO524">
        <f>IF($E524="","",IF(COUNTIF($E$2:$E524,$E524)=1,1,0))</f>
        <v/>
      </c>
      <c r="AP524">
        <f>IF($AO524=1,SUMPRODUCT(--($AS$2:$AS$1001&lt;$AS524))+1,"")</f>
        <v/>
      </c>
      <c r="AQ524">
        <f>IF($E524="","",IF(OR($V524=TRUE(),$V524="TRUE"),1,0))</f>
        <v/>
      </c>
      <c r="AR524">
        <f>IF($E524="","",IF($AE524="Yes",1,0))</f>
        <v/>
      </c>
      <c r="AS524">
        <f>IF($AO524=1,IFERROR(IF(VALUE($E524)&lt;100000000,VALUE($E524),1000000000),IFERROR(IF(VALUE(MID($E524,2,20))&lt;100000000,VALUE(MID($E524,2,20)),1000000000),1000000000))+ROW()/100000,"")</f>
        <v/>
      </c>
    </row>
    <row r="525">
      <c r="D525">
        <f>IF($E525="","",IFERROR(IF(INDEX('Per Invoice'!$A$2:$A$301,MATCH($E525,'Per Invoice'!$B$2:$B$301,0))=0,"",INDEX('Per Invoice'!$A$2:$A$301,MATCH($E525,'Per Invoice'!$B$2:$B$301,0))),""))</f>
        <v/>
      </c>
      <c r="H525" s="11" t="n"/>
      <c r="R525" s="7">
        <f>IF($E525="","",Q525*Z525/100)</f>
        <v/>
      </c>
      <c r="S525" s="7" t="n"/>
      <c r="Y525" s="7" t="n"/>
      <c r="Z525" s="7" t="n"/>
      <c r="AA525" s="7">
        <f>IF($E525="","",Z525*AF525/100)</f>
        <v/>
      </c>
      <c r="AB525" s="7">
        <f>IF($E525="","",Z525-AA525)</f>
        <v/>
      </c>
      <c r="AC525" s="7">
        <f>IF($E525="","",AB525-R525)</f>
        <v/>
      </c>
      <c r="AF525">
        <f>IF($E525="","",IF($AR525=1,0,IF($AQ525=1,Settings!$C$6,Settings!$C$7))*100)</f>
        <v/>
      </c>
      <c r="AJ525" s="7" t="n"/>
      <c r="AM525" s="11" t="n"/>
      <c r="AO525">
        <f>IF($E525="","",IF(COUNTIF($E$2:$E525,$E525)=1,1,0))</f>
        <v/>
      </c>
      <c r="AP525">
        <f>IF($AO525=1,SUMPRODUCT(--($AS$2:$AS$1001&lt;$AS525))+1,"")</f>
        <v/>
      </c>
      <c r="AQ525">
        <f>IF($E525="","",IF(OR($V525=TRUE(),$V525="TRUE"),1,0))</f>
        <v/>
      </c>
      <c r="AR525">
        <f>IF($E525="","",IF($AE525="Yes",1,0))</f>
        <v/>
      </c>
      <c r="AS525">
        <f>IF($AO525=1,IFERROR(IF(VALUE($E525)&lt;100000000,VALUE($E525),1000000000),IFERROR(IF(VALUE(MID($E525,2,20))&lt;100000000,VALUE(MID($E525,2,20)),1000000000),1000000000))+ROW()/100000,"")</f>
        <v/>
      </c>
    </row>
    <row r="526">
      <c r="D526">
        <f>IF($E526="","",IFERROR(IF(INDEX('Per Invoice'!$A$2:$A$301,MATCH($E526,'Per Invoice'!$B$2:$B$301,0))=0,"",INDEX('Per Invoice'!$A$2:$A$301,MATCH($E526,'Per Invoice'!$B$2:$B$301,0))),""))</f>
        <v/>
      </c>
      <c r="H526" s="11" t="n"/>
      <c r="R526" s="7">
        <f>IF($E526="","",Q526*Z526/100)</f>
        <v/>
      </c>
      <c r="S526" s="7" t="n"/>
      <c r="Y526" s="7" t="n"/>
      <c r="Z526" s="7" t="n"/>
      <c r="AA526" s="7">
        <f>IF($E526="","",Z526*AF526/100)</f>
        <v/>
      </c>
      <c r="AB526" s="7">
        <f>IF($E526="","",Z526-AA526)</f>
        <v/>
      </c>
      <c r="AC526" s="7">
        <f>IF($E526="","",AB526-R526)</f>
        <v/>
      </c>
      <c r="AF526">
        <f>IF($E526="","",IF($AR526=1,0,IF($AQ526=1,Settings!$C$6,Settings!$C$7))*100)</f>
        <v/>
      </c>
      <c r="AJ526" s="7" t="n"/>
      <c r="AM526" s="11" t="n"/>
      <c r="AO526">
        <f>IF($E526="","",IF(COUNTIF($E$2:$E526,$E526)=1,1,0))</f>
        <v/>
      </c>
      <c r="AP526">
        <f>IF($AO526=1,SUMPRODUCT(--($AS$2:$AS$1001&lt;$AS526))+1,"")</f>
        <v/>
      </c>
      <c r="AQ526">
        <f>IF($E526="","",IF(OR($V526=TRUE(),$V526="TRUE"),1,0))</f>
        <v/>
      </c>
      <c r="AR526">
        <f>IF($E526="","",IF($AE526="Yes",1,0))</f>
        <v/>
      </c>
      <c r="AS526">
        <f>IF($AO526=1,IFERROR(IF(VALUE($E526)&lt;100000000,VALUE($E526),1000000000),IFERROR(IF(VALUE(MID($E526,2,20))&lt;100000000,VALUE(MID($E526,2,20)),1000000000),1000000000))+ROW()/100000,"")</f>
        <v/>
      </c>
    </row>
    <row r="527">
      <c r="D527">
        <f>IF($E527="","",IFERROR(IF(INDEX('Per Invoice'!$A$2:$A$301,MATCH($E527,'Per Invoice'!$B$2:$B$301,0))=0,"",INDEX('Per Invoice'!$A$2:$A$301,MATCH($E527,'Per Invoice'!$B$2:$B$301,0))),""))</f>
        <v/>
      </c>
      <c r="H527" s="11" t="n"/>
      <c r="R527" s="7">
        <f>IF($E527="","",Q527*Z527/100)</f>
        <v/>
      </c>
      <c r="S527" s="7" t="n"/>
      <c r="Y527" s="7" t="n"/>
      <c r="Z527" s="7" t="n"/>
      <c r="AA527" s="7">
        <f>IF($E527="","",Z527*AF527/100)</f>
        <v/>
      </c>
      <c r="AB527" s="7">
        <f>IF($E527="","",Z527-AA527)</f>
        <v/>
      </c>
      <c r="AC527" s="7">
        <f>IF($E527="","",AB527-R527)</f>
        <v/>
      </c>
      <c r="AF527">
        <f>IF($E527="","",IF($AR527=1,0,IF($AQ527=1,Settings!$C$6,Settings!$C$7))*100)</f>
        <v/>
      </c>
      <c r="AJ527" s="7" t="n"/>
      <c r="AM527" s="11" t="n"/>
      <c r="AO527">
        <f>IF($E527="","",IF(COUNTIF($E$2:$E527,$E527)=1,1,0))</f>
        <v/>
      </c>
      <c r="AP527">
        <f>IF($AO527=1,SUMPRODUCT(--($AS$2:$AS$1001&lt;$AS527))+1,"")</f>
        <v/>
      </c>
      <c r="AQ527">
        <f>IF($E527="","",IF(OR($V527=TRUE(),$V527="TRUE"),1,0))</f>
        <v/>
      </c>
      <c r="AR527">
        <f>IF($E527="","",IF($AE527="Yes",1,0))</f>
        <v/>
      </c>
      <c r="AS527">
        <f>IF($AO527=1,IFERROR(IF(VALUE($E527)&lt;100000000,VALUE($E527),1000000000),IFERROR(IF(VALUE(MID($E527,2,20))&lt;100000000,VALUE(MID($E527,2,20)),1000000000),1000000000))+ROW()/100000,"")</f>
        <v/>
      </c>
    </row>
    <row r="528">
      <c r="D528">
        <f>IF($E528="","",IFERROR(IF(INDEX('Per Invoice'!$A$2:$A$301,MATCH($E528,'Per Invoice'!$B$2:$B$301,0))=0,"",INDEX('Per Invoice'!$A$2:$A$301,MATCH($E528,'Per Invoice'!$B$2:$B$301,0))),""))</f>
        <v/>
      </c>
      <c r="H528" s="11" t="n"/>
      <c r="R528" s="7">
        <f>IF($E528="","",Q528*Z528/100)</f>
        <v/>
      </c>
      <c r="S528" s="7" t="n"/>
      <c r="Y528" s="7" t="n"/>
      <c r="Z528" s="7" t="n"/>
      <c r="AA528" s="7">
        <f>IF($E528="","",Z528*AF528/100)</f>
        <v/>
      </c>
      <c r="AB528" s="7">
        <f>IF($E528="","",Z528-AA528)</f>
        <v/>
      </c>
      <c r="AC528" s="7">
        <f>IF($E528="","",AB528-R528)</f>
        <v/>
      </c>
      <c r="AF528">
        <f>IF($E528="","",IF($AR528=1,0,IF($AQ528=1,Settings!$C$6,Settings!$C$7))*100)</f>
        <v/>
      </c>
      <c r="AJ528" s="7" t="n"/>
      <c r="AM528" s="11" t="n"/>
      <c r="AO528">
        <f>IF($E528="","",IF(COUNTIF($E$2:$E528,$E528)=1,1,0))</f>
        <v/>
      </c>
      <c r="AP528">
        <f>IF($AO528=1,SUMPRODUCT(--($AS$2:$AS$1001&lt;$AS528))+1,"")</f>
        <v/>
      </c>
      <c r="AQ528">
        <f>IF($E528="","",IF(OR($V528=TRUE(),$V528="TRUE"),1,0))</f>
        <v/>
      </c>
      <c r="AR528">
        <f>IF($E528="","",IF($AE528="Yes",1,0))</f>
        <v/>
      </c>
      <c r="AS528">
        <f>IF($AO528=1,IFERROR(IF(VALUE($E528)&lt;100000000,VALUE($E528),1000000000),IFERROR(IF(VALUE(MID($E528,2,20))&lt;100000000,VALUE(MID($E528,2,20)),1000000000),1000000000))+ROW()/100000,"")</f>
        <v/>
      </c>
    </row>
    <row r="529">
      <c r="D529">
        <f>IF($E529="","",IFERROR(IF(INDEX('Per Invoice'!$A$2:$A$301,MATCH($E529,'Per Invoice'!$B$2:$B$301,0))=0,"",INDEX('Per Invoice'!$A$2:$A$301,MATCH($E529,'Per Invoice'!$B$2:$B$301,0))),""))</f>
        <v/>
      </c>
      <c r="H529" s="11" t="n"/>
      <c r="R529" s="7">
        <f>IF($E529="","",Q529*Z529/100)</f>
        <v/>
      </c>
      <c r="S529" s="7" t="n"/>
      <c r="Y529" s="7" t="n"/>
      <c r="Z529" s="7" t="n"/>
      <c r="AA529" s="7">
        <f>IF($E529="","",Z529*AF529/100)</f>
        <v/>
      </c>
      <c r="AB529" s="7">
        <f>IF($E529="","",Z529-AA529)</f>
        <v/>
      </c>
      <c r="AC529" s="7">
        <f>IF($E529="","",AB529-R529)</f>
        <v/>
      </c>
      <c r="AF529">
        <f>IF($E529="","",IF($AR529=1,0,IF($AQ529=1,Settings!$C$6,Settings!$C$7))*100)</f>
        <v/>
      </c>
      <c r="AJ529" s="7" t="n"/>
      <c r="AM529" s="11" t="n"/>
      <c r="AO529">
        <f>IF($E529="","",IF(COUNTIF($E$2:$E529,$E529)=1,1,0))</f>
        <v/>
      </c>
      <c r="AP529">
        <f>IF($AO529=1,SUMPRODUCT(--($AS$2:$AS$1001&lt;$AS529))+1,"")</f>
        <v/>
      </c>
      <c r="AQ529">
        <f>IF($E529="","",IF(OR($V529=TRUE(),$V529="TRUE"),1,0))</f>
        <v/>
      </c>
      <c r="AR529">
        <f>IF($E529="","",IF($AE529="Yes",1,0))</f>
        <v/>
      </c>
      <c r="AS529">
        <f>IF($AO529=1,IFERROR(IF(VALUE($E529)&lt;100000000,VALUE($E529),1000000000),IFERROR(IF(VALUE(MID($E529,2,20))&lt;100000000,VALUE(MID($E529,2,20)),1000000000),1000000000))+ROW()/100000,"")</f>
        <v/>
      </c>
    </row>
    <row r="530">
      <c r="D530">
        <f>IF($E530="","",IFERROR(IF(INDEX('Per Invoice'!$A$2:$A$301,MATCH($E530,'Per Invoice'!$B$2:$B$301,0))=0,"",INDEX('Per Invoice'!$A$2:$A$301,MATCH($E530,'Per Invoice'!$B$2:$B$301,0))),""))</f>
        <v/>
      </c>
      <c r="H530" s="11" t="n"/>
      <c r="R530" s="7">
        <f>IF($E530="","",Q530*Z530/100)</f>
        <v/>
      </c>
      <c r="S530" s="7" t="n"/>
      <c r="Y530" s="7" t="n"/>
      <c r="Z530" s="7" t="n"/>
      <c r="AA530" s="7">
        <f>IF($E530="","",Z530*AF530/100)</f>
        <v/>
      </c>
      <c r="AB530" s="7">
        <f>IF($E530="","",Z530-AA530)</f>
        <v/>
      </c>
      <c r="AC530" s="7">
        <f>IF($E530="","",AB530-R530)</f>
        <v/>
      </c>
      <c r="AF530">
        <f>IF($E530="","",IF($AR530=1,0,IF($AQ530=1,Settings!$C$6,Settings!$C$7))*100)</f>
        <v/>
      </c>
      <c r="AJ530" s="7" t="n"/>
      <c r="AM530" s="11" t="n"/>
      <c r="AO530">
        <f>IF($E530="","",IF(COUNTIF($E$2:$E530,$E530)=1,1,0))</f>
        <v/>
      </c>
      <c r="AP530">
        <f>IF($AO530=1,SUMPRODUCT(--($AS$2:$AS$1001&lt;$AS530))+1,"")</f>
        <v/>
      </c>
      <c r="AQ530">
        <f>IF($E530="","",IF(OR($V530=TRUE(),$V530="TRUE"),1,0))</f>
        <v/>
      </c>
      <c r="AR530">
        <f>IF($E530="","",IF($AE530="Yes",1,0))</f>
        <v/>
      </c>
      <c r="AS530">
        <f>IF($AO530=1,IFERROR(IF(VALUE($E530)&lt;100000000,VALUE($E530),1000000000),IFERROR(IF(VALUE(MID($E530,2,20))&lt;100000000,VALUE(MID($E530,2,20)),1000000000),1000000000))+ROW()/100000,"")</f>
        <v/>
      </c>
    </row>
    <row r="531">
      <c r="D531">
        <f>IF($E531="","",IFERROR(IF(INDEX('Per Invoice'!$A$2:$A$301,MATCH($E531,'Per Invoice'!$B$2:$B$301,0))=0,"",INDEX('Per Invoice'!$A$2:$A$301,MATCH($E531,'Per Invoice'!$B$2:$B$301,0))),""))</f>
        <v/>
      </c>
      <c r="H531" s="11" t="n"/>
      <c r="R531" s="7">
        <f>IF($E531="","",Q531*Z531/100)</f>
        <v/>
      </c>
      <c r="S531" s="7" t="n"/>
      <c r="Y531" s="7" t="n"/>
      <c r="Z531" s="7" t="n"/>
      <c r="AA531" s="7">
        <f>IF($E531="","",Z531*AF531/100)</f>
        <v/>
      </c>
      <c r="AB531" s="7">
        <f>IF($E531="","",Z531-AA531)</f>
        <v/>
      </c>
      <c r="AC531" s="7">
        <f>IF($E531="","",AB531-R531)</f>
        <v/>
      </c>
      <c r="AF531">
        <f>IF($E531="","",IF($AR531=1,0,IF($AQ531=1,Settings!$C$6,Settings!$C$7))*100)</f>
        <v/>
      </c>
      <c r="AJ531" s="7" t="n"/>
      <c r="AM531" s="11" t="n"/>
      <c r="AO531">
        <f>IF($E531="","",IF(COUNTIF($E$2:$E531,$E531)=1,1,0))</f>
        <v/>
      </c>
      <c r="AP531">
        <f>IF($AO531=1,SUMPRODUCT(--($AS$2:$AS$1001&lt;$AS531))+1,"")</f>
        <v/>
      </c>
      <c r="AQ531">
        <f>IF($E531="","",IF(OR($V531=TRUE(),$V531="TRUE"),1,0))</f>
        <v/>
      </c>
      <c r="AR531">
        <f>IF($E531="","",IF($AE531="Yes",1,0))</f>
        <v/>
      </c>
      <c r="AS531">
        <f>IF($AO531=1,IFERROR(IF(VALUE($E531)&lt;100000000,VALUE($E531),1000000000),IFERROR(IF(VALUE(MID($E531,2,20))&lt;100000000,VALUE(MID($E531,2,20)),1000000000),1000000000))+ROW()/100000,"")</f>
        <v/>
      </c>
    </row>
    <row r="532">
      <c r="D532">
        <f>IF($E532="","",IFERROR(IF(INDEX('Per Invoice'!$A$2:$A$301,MATCH($E532,'Per Invoice'!$B$2:$B$301,0))=0,"",INDEX('Per Invoice'!$A$2:$A$301,MATCH($E532,'Per Invoice'!$B$2:$B$301,0))),""))</f>
        <v/>
      </c>
      <c r="H532" s="11" t="n"/>
      <c r="R532" s="7">
        <f>IF($E532="","",Q532*Z532/100)</f>
        <v/>
      </c>
      <c r="S532" s="7" t="n"/>
      <c r="Y532" s="7" t="n"/>
      <c r="Z532" s="7" t="n"/>
      <c r="AA532" s="7">
        <f>IF($E532="","",Z532*AF532/100)</f>
        <v/>
      </c>
      <c r="AB532" s="7">
        <f>IF($E532="","",Z532-AA532)</f>
        <v/>
      </c>
      <c r="AC532" s="7">
        <f>IF($E532="","",AB532-R532)</f>
        <v/>
      </c>
      <c r="AF532">
        <f>IF($E532="","",IF($AR532=1,0,IF($AQ532=1,Settings!$C$6,Settings!$C$7))*100)</f>
        <v/>
      </c>
      <c r="AJ532" s="7" t="n"/>
      <c r="AM532" s="11" t="n"/>
      <c r="AO532">
        <f>IF($E532="","",IF(COUNTIF($E$2:$E532,$E532)=1,1,0))</f>
        <v/>
      </c>
      <c r="AP532">
        <f>IF($AO532=1,SUMPRODUCT(--($AS$2:$AS$1001&lt;$AS532))+1,"")</f>
        <v/>
      </c>
      <c r="AQ532">
        <f>IF($E532="","",IF(OR($V532=TRUE(),$V532="TRUE"),1,0))</f>
        <v/>
      </c>
      <c r="AR532">
        <f>IF($E532="","",IF($AE532="Yes",1,0))</f>
        <v/>
      </c>
      <c r="AS532">
        <f>IF($AO532=1,IFERROR(IF(VALUE($E532)&lt;100000000,VALUE($E532),1000000000),IFERROR(IF(VALUE(MID($E532,2,20))&lt;100000000,VALUE(MID($E532,2,20)),1000000000),1000000000))+ROW()/100000,"")</f>
        <v/>
      </c>
    </row>
    <row r="533">
      <c r="D533">
        <f>IF($E533="","",IFERROR(IF(INDEX('Per Invoice'!$A$2:$A$301,MATCH($E533,'Per Invoice'!$B$2:$B$301,0))=0,"",INDEX('Per Invoice'!$A$2:$A$301,MATCH($E533,'Per Invoice'!$B$2:$B$301,0))),""))</f>
        <v/>
      </c>
      <c r="H533" s="11" t="n"/>
      <c r="R533" s="7">
        <f>IF($E533="","",Q533*Z533/100)</f>
        <v/>
      </c>
      <c r="S533" s="7" t="n"/>
      <c r="Y533" s="7" t="n"/>
      <c r="Z533" s="7" t="n"/>
      <c r="AA533" s="7">
        <f>IF($E533="","",Z533*AF533/100)</f>
        <v/>
      </c>
      <c r="AB533" s="7">
        <f>IF($E533="","",Z533-AA533)</f>
        <v/>
      </c>
      <c r="AC533" s="7">
        <f>IF($E533="","",AB533-R533)</f>
        <v/>
      </c>
      <c r="AF533">
        <f>IF($E533="","",IF($AR533=1,0,IF($AQ533=1,Settings!$C$6,Settings!$C$7))*100)</f>
        <v/>
      </c>
      <c r="AJ533" s="7" t="n"/>
      <c r="AM533" s="11" t="n"/>
      <c r="AO533">
        <f>IF($E533="","",IF(COUNTIF($E$2:$E533,$E533)=1,1,0))</f>
        <v/>
      </c>
      <c r="AP533">
        <f>IF($AO533=1,SUMPRODUCT(--($AS$2:$AS$1001&lt;$AS533))+1,"")</f>
        <v/>
      </c>
      <c r="AQ533">
        <f>IF($E533="","",IF(OR($V533=TRUE(),$V533="TRUE"),1,0))</f>
        <v/>
      </c>
      <c r="AR533">
        <f>IF($E533="","",IF($AE533="Yes",1,0))</f>
        <v/>
      </c>
      <c r="AS533">
        <f>IF($AO533=1,IFERROR(IF(VALUE($E533)&lt;100000000,VALUE($E533),1000000000),IFERROR(IF(VALUE(MID($E533,2,20))&lt;100000000,VALUE(MID($E533,2,20)),1000000000),1000000000))+ROW()/100000,"")</f>
        <v/>
      </c>
    </row>
    <row r="534">
      <c r="D534">
        <f>IF($E534="","",IFERROR(IF(INDEX('Per Invoice'!$A$2:$A$301,MATCH($E534,'Per Invoice'!$B$2:$B$301,0))=0,"",INDEX('Per Invoice'!$A$2:$A$301,MATCH($E534,'Per Invoice'!$B$2:$B$301,0))),""))</f>
        <v/>
      </c>
      <c r="H534" s="11" t="n"/>
      <c r="R534" s="7">
        <f>IF($E534="","",Q534*Z534/100)</f>
        <v/>
      </c>
      <c r="S534" s="7" t="n"/>
      <c r="Y534" s="7" t="n"/>
      <c r="Z534" s="7" t="n"/>
      <c r="AA534" s="7">
        <f>IF($E534="","",Z534*AF534/100)</f>
        <v/>
      </c>
      <c r="AB534" s="7">
        <f>IF($E534="","",Z534-AA534)</f>
        <v/>
      </c>
      <c r="AC534" s="7">
        <f>IF($E534="","",AB534-R534)</f>
        <v/>
      </c>
      <c r="AF534">
        <f>IF($E534="","",IF($AR534=1,0,IF($AQ534=1,Settings!$C$6,Settings!$C$7))*100)</f>
        <v/>
      </c>
      <c r="AJ534" s="7" t="n"/>
      <c r="AM534" s="11" t="n"/>
      <c r="AO534">
        <f>IF($E534="","",IF(COUNTIF($E$2:$E534,$E534)=1,1,0))</f>
        <v/>
      </c>
      <c r="AP534">
        <f>IF($AO534=1,SUMPRODUCT(--($AS$2:$AS$1001&lt;$AS534))+1,"")</f>
        <v/>
      </c>
      <c r="AQ534">
        <f>IF($E534="","",IF(OR($V534=TRUE(),$V534="TRUE"),1,0))</f>
        <v/>
      </c>
      <c r="AR534">
        <f>IF($E534="","",IF($AE534="Yes",1,0))</f>
        <v/>
      </c>
      <c r="AS534">
        <f>IF($AO534=1,IFERROR(IF(VALUE($E534)&lt;100000000,VALUE($E534),1000000000),IFERROR(IF(VALUE(MID($E534,2,20))&lt;100000000,VALUE(MID($E534,2,20)),1000000000),1000000000))+ROW()/100000,"")</f>
        <v/>
      </c>
    </row>
    <row r="535">
      <c r="D535">
        <f>IF($E535="","",IFERROR(IF(INDEX('Per Invoice'!$A$2:$A$301,MATCH($E535,'Per Invoice'!$B$2:$B$301,0))=0,"",INDEX('Per Invoice'!$A$2:$A$301,MATCH($E535,'Per Invoice'!$B$2:$B$301,0))),""))</f>
        <v/>
      </c>
      <c r="H535" s="11" t="n"/>
      <c r="R535" s="7">
        <f>IF($E535="","",Q535*Z535/100)</f>
        <v/>
      </c>
      <c r="S535" s="7" t="n"/>
      <c r="Y535" s="7" t="n"/>
      <c r="Z535" s="7" t="n"/>
      <c r="AA535" s="7">
        <f>IF($E535="","",Z535*AF535/100)</f>
        <v/>
      </c>
      <c r="AB535" s="7">
        <f>IF($E535="","",Z535-AA535)</f>
        <v/>
      </c>
      <c r="AC535" s="7">
        <f>IF($E535="","",AB535-R535)</f>
        <v/>
      </c>
      <c r="AF535">
        <f>IF($E535="","",IF($AR535=1,0,IF($AQ535=1,Settings!$C$6,Settings!$C$7))*100)</f>
        <v/>
      </c>
      <c r="AJ535" s="7" t="n"/>
      <c r="AM535" s="11" t="n"/>
      <c r="AO535">
        <f>IF($E535="","",IF(COUNTIF($E$2:$E535,$E535)=1,1,0))</f>
        <v/>
      </c>
      <c r="AP535">
        <f>IF($AO535=1,SUMPRODUCT(--($AS$2:$AS$1001&lt;$AS535))+1,"")</f>
        <v/>
      </c>
      <c r="AQ535">
        <f>IF($E535="","",IF(OR($V535=TRUE(),$V535="TRUE"),1,0))</f>
        <v/>
      </c>
      <c r="AR535">
        <f>IF($E535="","",IF($AE535="Yes",1,0))</f>
        <v/>
      </c>
      <c r="AS535">
        <f>IF($AO535=1,IFERROR(IF(VALUE($E535)&lt;100000000,VALUE($E535),1000000000),IFERROR(IF(VALUE(MID($E535,2,20))&lt;100000000,VALUE(MID($E535,2,20)),1000000000),1000000000))+ROW()/100000,"")</f>
        <v/>
      </c>
    </row>
    <row r="536">
      <c r="D536">
        <f>IF($E536="","",IFERROR(IF(INDEX('Per Invoice'!$A$2:$A$301,MATCH($E536,'Per Invoice'!$B$2:$B$301,0))=0,"",INDEX('Per Invoice'!$A$2:$A$301,MATCH($E536,'Per Invoice'!$B$2:$B$301,0))),""))</f>
        <v/>
      </c>
      <c r="H536" s="11" t="n"/>
      <c r="R536" s="7">
        <f>IF($E536="","",Q536*Z536/100)</f>
        <v/>
      </c>
      <c r="S536" s="7" t="n"/>
      <c r="Y536" s="7" t="n"/>
      <c r="Z536" s="7" t="n"/>
      <c r="AA536" s="7">
        <f>IF($E536="","",Z536*AF536/100)</f>
        <v/>
      </c>
      <c r="AB536" s="7">
        <f>IF($E536="","",Z536-AA536)</f>
        <v/>
      </c>
      <c r="AC536" s="7">
        <f>IF($E536="","",AB536-R536)</f>
        <v/>
      </c>
      <c r="AF536">
        <f>IF($E536="","",IF($AR536=1,0,IF($AQ536=1,Settings!$C$6,Settings!$C$7))*100)</f>
        <v/>
      </c>
      <c r="AJ536" s="7" t="n"/>
      <c r="AM536" s="11" t="n"/>
      <c r="AO536">
        <f>IF($E536="","",IF(COUNTIF($E$2:$E536,$E536)=1,1,0))</f>
        <v/>
      </c>
      <c r="AP536">
        <f>IF($AO536=1,SUMPRODUCT(--($AS$2:$AS$1001&lt;$AS536))+1,"")</f>
        <v/>
      </c>
      <c r="AQ536">
        <f>IF($E536="","",IF(OR($V536=TRUE(),$V536="TRUE"),1,0))</f>
        <v/>
      </c>
      <c r="AR536">
        <f>IF($E536="","",IF($AE536="Yes",1,0))</f>
        <v/>
      </c>
      <c r="AS536">
        <f>IF($AO536=1,IFERROR(IF(VALUE($E536)&lt;100000000,VALUE($E536),1000000000),IFERROR(IF(VALUE(MID($E536,2,20))&lt;100000000,VALUE(MID($E536,2,20)),1000000000),1000000000))+ROW()/100000,"")</f>
        <v/>
      </c>
    </row>
    <row r="537">
      <c r="D537">
        <f>IF($E537="","",IFERROR(IF(INDEX('Per Invoice'!$A$2:$A$301,MATCH($E537,'Per Invoice'!$B$2:$B$301,0))=0,"",INDEX('Per Invoice'!$A$2:$A$301,MATCH($E537,'Per Invoice'!$B$2:$B$301,0))),""))</f>
        <v/>
      </c>
      <c r="H537" s="11" t="n"/>
      <c r="R537" s="7">
        <f>IF($E537="","",Q537*Z537/100)</f>
        <v/>
      </c>
      <c r="S537" s="7" t="n"/>
      <c r="Y537" s="7" t="n"/>
      <c r="Z537" s="7" t="n"/>
      <c r="AA537" s="7">
        <f>IF($E537="","",Z537*AF537/100)</f>
        <v/>
      </c>
      <c r="AB537" s="7">
        <f>IF($E537="","",Z537-AA537)</f>
        <v/>
      </c>
      <c r="AC537" s="7">
        <f>IF($E537="","",AB537-R537)</f>
        <v/>
      </c>
      <c r="AF537">
        <f>IF($E537="","",IF($AR537=1,0,IF($AQ537=1,Settings!$C$6,Settings!$C$7))*100)</f>
        <v/>
      </c>
      <c r="AJ537" s="7" t="n"/>
      <c r="AM537" s="11" t="n"/>
      <c r="AO537">
        <f>IF($E537="","",IF(COUNTIF($E$2:$E537,$E537)=1,1,0))</f>
        <v/>
      </c>
      <c r="AP537">
        <f>IF($AO537=1,SUMPRODUCT(--($AS$2:$AS$1001&lt;$AS537))+1,"")</f>
        <v/>
      </c>
      <c r="AQ537">
        <f>IF($E537="","",IF(OR($V537=TRUE(),$V537="TRUE"),1,0))</f>
        <v/>
      </c>
      <c r="AR537">
        <f>IF($E537="","",IF($AE537="Yes",1,0))</f>
        <v/>
      </c>
      <c r="AS537">
        <f>IF($AO537=1,IFERROR(IF(VALUE($E537)&lt;100000000,VALUE($E537),1000000000),IFERROR(IF(VALUE(MID($E537,2,20))&lt;100000000,VALUE(MID($E537,2,20)),1000000000),1000000000))+ROW()/100000,"")</f>
        <v/>
      </c>
    </row>
    <row r="538">
      <c r="D538">
        <f>IF($E538="","",IFERROR(IF(INDEX('Per Invoice'!$A$2:$A$301,MATCH($E538,'Per Invoice'!$B$2:$B$301,0))=0,"",INDEX('Per Invoice'!$A$2:$A$301,MATCH($E538,'Per Invoice'!$B$2:$B$301,0))),""))</f>
        <v/>
      </c>
      <c r="H538" s="11" t="n"/>
      <c r="R538" s="7">
        <f>IF($E538="","",Q538*Z538/100)</f>
        <v/>
      </c>
      <c r="S538" s="7" t="n"/>
      <c r="Y538" s="7" t="n"/>
      <c r="Z538" s="7" t="n"/>
      <c r="AA538" s="7">
        <f>IF($E538="","",Z538*AF538/100)</f>
        <v/>
      </c>
      <c r="AB538" s="7">
        <f>IF($E538="","",Z538-AA538)</f>
        <v/>
      </c>
      <c r="AC538" s="7">
        <f>IF($E538="","",AB538-R538)</f>
        <v/>
      </c>
      <c r="AF538">
        <f>IF($E538="","",IF($AR538=1,0,IF($AQ538=1,Settings!$C$6,Settings!$C$7))*100)</f>
        <v/>
      </c>
      <c r="AJ538" s="7" t="n"/>
      <c r="AM538" s="11" t="n"/>
      <c r="AO538">
        <f>IF($E538="","",IF(COUNTIF($E$2:$E538,$E538)=1,1,0))</f>
        <v/>
      </c>
      <c r="AP538">
        <f>IF($AO538=1,SUMPRODUCT(--($AS$2:$AS$1001&lt;$AS538))+1,"")</f>
        <v/>
      </c>
      <c r="AQ538">
        <f>IF($E538="","",IF(OR($V538=TRUE(),$V538="TRUE"),1,0))</f>
        <v/>
      </c>
      <c r="AR538">
        <f>IF($E538="","",IF($AE538="Yes",1,0))</f>
        <v/>
      </c>
      <c r="AS538">
        <f>IF($AO538=1,IFERROR(IF(VALUE($E538)&lt;100000000,VALUE($E538),1000000000),IFERROR(IF(VALUE(MID($E538,2,20))&lt;100000000,VALUE(MID($E538,2,20)),1000000000),1000000000))+ROW()/100000,"")</f>
        <v/>
      </c>
    </row>
    <row r="539">
      <c r="D539">
        <f>IF($E539="","",IFERROR(IF(INDEX('Per Invoice'!$A$2:$A$301,MATCH($E539,'Per Invoice'!$B$2:$B$301,0))=0,"",INDEX('Per Invoice'!$A$2:$A$301,MATCH($E539,'Per Invoice'!$B$2:$B$301,0))),""))</f>
        <v/>
      </c>
      <c r="H539" s="11" t="n"/>
      <c r="R539" s="7">
        <f>IF($E539="","",Q539*Z539/100)</f>
        <v/>
      </c>
      <c r="S539" s="7" t="n"/>
      <c r="Y539" s="7" t="n"/>
      <c r="Z539" s="7" t="n"/>
      <c r="AA539" s="7">
        <f>IF($E539="","",Z539*AF539/100)</f>
        <v/>
      </c>
      <c r="AB539" s="7">
        <f>IF($E539="","",Z539-AA539)</f>
        <v/>
      </c>
      <c r="AC539" s="7">
        <f>IF($E539="","",AB539-R539)</f>
        <v/>
      </c>
      <c r="AF539">
        <f>IF($E539="","",IF($AR539=1,0,IF($AQ539=1,Settings!$C$6,Settings!$C$7))*100)</f>
        <v/>
      </c>
      <c r="AJ539" s="7" t="n"/>
      <c r="AM539" s="11" t="n"/>
      <c r="AO539">
        <f>IF($E539="","",IF(COUNTIF($E$2:$E539,$E539)=1,1,0))</f>
        <v/>
      </c>
      <c r="AP539">
        <f>IF($AO539=1,SUMPRODUCT(--($AS$2:$AS$1001&lt;$AS539))+1,"")</f>
        <v/>
      </c>
      <c r="AQ539">
        <f>IF($E539="","",IF(OR($V539=TRUE(),$V539="TRUE"),1,0))</f>
        <v/>
      </c>
      <c r="AR539">
        <f>IF($E539="","",IF($AE539="Yes",1,0))</f>
        <v/>
      </c>
      <c r="AS539">
        <f>IF($AO539=1,IFERROR(IF(VALUE($E539)&lt;100000000,VALUE($E539),1000000000),IFERROR(IF(VALUE(MID($E539,2,20))&lt;100000000,VALUE(MID($E539,2,20)),1000000000),1000000000))+ROW()/100000,"")</f>
        <v/>
      </c>
    </row>
    <row r="540">
      <c r="D540">
        <f>IF($E540="","",IFERROR(IF(INDEX('Per Invoice'!$A$2:$A$301,MATCH($E540,'Per Invoice'!$B$2:$B$301,0))=0,"",INDEX('Per Invoice'!$A$2:$A$301,MATCH($E540,'Per Invoice'!$B$2:$B$301,0))),""))</f>
        <v/>
      </c>
      <c r="H540" s="11" t="n"/>
      <c r="R540" s="7">
        <f>IF($E540="","",Q540*Z540/100)</f>
        <v/>
      </c>
      <c r="S540" s="7" t="n"/>
      <c r="Y540" s="7" t="n"/>
      <c r="Z540" s="7" t="n"/>
      <c r="AA540" s="7">
        <f>IF($E540="","",Z540*AF540/100)</f>
        <v/>
      </c>
      <c r="AB540" s="7">
        <f>IF($E540="","",Z540-AA540)</f>
        <v/>
      </c>
      <c r="AC540" s="7">
        <f>IF($E540="","",AB540-R540)</f>
        <v/>
      </c>
      <c r="AF540">
        <f>IF($E540="","",IF($AR540=1,0,IF($AQ540=1,Settings!$C$6,Settings!$C$7))*100)</f>
        <v/>
      </c>
      <c r="AJ540" s="7" t="n"/>
      <c r="AM540" s="11" t="n"/>
      <c r="AO540">
        <f>IF($E540="","",IF(COUNTIF($E$2:$E540,$E540)=1,1,0))</f>
        <v/>
      </c>
      <c r="AP540">
        <f>IF($AO540=1,SUMPRODUCT(--($AS$2:$AS$1001&lt;$AS540))+1,"")</f>
        <v/>
      </c>
      <c r="AQ540">
        <f>IF($E540="","",IF(OR($V540=TRUE(),$V540="TRUE"),1,0))</f>
        <v/>
      </c>
      <c r="AR540">
        <f>IF($E540="","",IF($AE540="Yes",1,0))</f>
        <v/>
      </c>
      <c r="AS540">
        <f>IF($AO540=1,IFERROR(IF(VALUE($E540)&lt;100000000,VALUE($E540),1000000000),IFERROR(IF(VALUE(MID($E540,2,20))&lt;100000000,VALUE(MID($E540,2,20)),1000000000),1000000000))+ROW()/100000,"")</f>
        <v/>
      </c>
    </row>
    <row r="541">
      <c r="D541">
        <f>IF($E541="","",IFERROR(IF(INDEX('Per Invoice'!$A$2:$A$301,MATCH($E541,'Per Invoice'!$B$2:$B$301,0))=0,"",INDEX('Per Invoice'!$A$2:$A$301,MATCH($E541,'Per Invoice'!$B$2:$B$301,0))),""))</f>
        <v/>
      </c>
      <c r="H541" s="11" t="n"/>
      <c r="R541" s="7">
        <f>IF($E541="","",Q541*Z541/100)</f>
        <v/>
      </c>
      <c r="S541" s="7" t="n"/>
      <c r="Y541" s="7" t="n"/>
      <c r="Z541" s="7" t="n"/>
      <c r="AA541" s="7">
        <f>IF($E541="","",Z541*AF541/100)</f>
        <v/>
      </c>
      <c r="AB541" s="7">
        <f>IF($E541="","",Z541-AA541)</f>
        <v/>
      </c>
      <c r="AC541" s="7">
        <f>IF($E541="","",AB541-R541)</f>
        <v/>
      </c>
      <c r="AF541">
        <f>IF($E541="","",IF($AR541=1,0,IF($AQ541=1,Settings!$C$6,Settings!$C$7))*100)</f>
        <v/>
      </c>
      <c r="AJ541" s="7" t="n"/>
      <c r="AM541" s="11" t="n"/>
      <c r="AO541">
        <f>IF($E541="","",IF(COUNTIF($E$2:$E541,$E541)=1,1,0))</f>
        <v/>
      </c>
      <c r="AP541">
        <f>IF($AO541=1,SUMPRODUCT(--($AS$2:$AS$1001&lt;$AS541))+1,"")</f>
        <v/>
      </c>
      <c r="AQ541">
        <f>IF($E541="","",IF(OR($V541=TRUE(),$V541="TRUE"),1,0))</f>
        <v/>
      </c>
      <c r="AR541">
        <f>IF($E541="","",IF($AE541="Yes",1,0))</f>
        <v/>
      </c>
      <c r="AS541">
        <f>IF($AO541=1,IFERROR(IF(VALUE($E541)&lt;100000000,VALUE($E541),1000000000),IFERROR(IF(VALUE(MID($E541,2,20))&lt;100000000,VALUE(MID($E541,2,20)),1000000000),1000000000))+ROW()/100000,"")</f>
        <v/>
      </c>
    </row>
    <row r="542">
      <c r="D542">
        <f>IF($E542="","",IFERROR(IF(INDEX('Per Invoice'!$A$2:$A$301,MATCH($E542,'Per Invoice'!$B$2:$B$301,0))=0,"",INDEX('Per Invoice'!$A$2:$A$301,MATCH($E542,'Per Invoice'!$B$2:$B$301,0))),""))</f>
        <v/>
      </c>
      <c r="H542" s="11" t="n"/>
      <c r="R542" s="7">
        <f>IF($E542="","",Q542*Z542/100)</f>
        <v/>
      </c>
      <c r="S542" s="7" t="n"/>
      <c r="Y542" s="7" t="n"/>
      <c r="Z542" s="7" t="n"/>
      <c r="AA542" s="7">
        <f>IF($E542="","",Z542*AF542/100)</f>
        <v/>
      </c>
      <c r="AB542" s="7">
        <f>IF($E542="","",Z542-AA542)</f>
        <v/>
      </c>
      <c r="AC542" s="7">
        <f>IF($E542="","",AB542-R542)</f>
        <v/>
      </c>
      <c r="AF542">
        <f>IF($E542="","",IF($AR542=1,0,IF($AQ542=1,Settings!$C$6,Settings!$C$7))*100)</f>
        <v/>
      </c>
      <c r="AJ542" s="7" t="n"/>
      <c r="AM542" s="11" t="n"/>
      <c r="AO542">
        <f>IF($E542="","",IF(COUNTIF($E$2:$E542,$E542)=1,1,0))</f>
        <v/>
      </c>
      <c r="AP542">
        <f>IF($AO542=1,SUMPRODUCT(--($AS$2:$AS$1001&lt;$AS542))+1,"")</f>
        <v/>
      </c>
      <c r="AQ542">
        <f>IF($E542="","",IF(OR($V542=TRUE(),$V542="TRUE"),1,0))</f>
        <v/>
      </c>
      <c r="AR542">
        <f>IF($E542="","",IF($AE542="Yes",1,0))</f>
        <v/>
      </c>
      <c r="AS542">
        <f>IF($AO542=1,IFERROR(IF(VALUE($E542)&lt;100000000,VALUE($E542),1000000000),IFERROR(IF(VALUE(MID($E542,2,20))&lt;100000000,VALUE(MID($E542,2,20)),1000000000),1000000000))+ROW()/100000,"")</f>
        <v/>
      </c>
    </row>
    <row r="543">
      <c r="D543">
        <f>IF($E543="","",IFERROR(IF(INDEX('Per Invoice'!$A$2:$A$301,MATCH($E543,'Per Invoice'!$B$2:$B$301,0))=0,"",INDEX('Per Invoice'!$A$2:$A$301,MATCH($E543,'Per Invoice'!$B$2:$B$301,0))),""))</f>
        <v/>
      </c>
      <c r="H543" s="11" t="n"/>
      <c r="R543" s="7">
        <f>IF($E543="","",Q543*Z543/100)</f>
        <v/>
      </c>
      <c r="S543" s="7" t="n"/>
      <c r="Y543" s="7" t="n"/>
      <c r="Z543" s="7" t="n"/>
      <c r="AA543" s="7">
        <f>IF($E543="","",Z543*AF543/100)</f>
        <v/>
      </c>
      <c r="AB543" s="7">
        <f>IF($E543="","",Z543-AA543)</f>
        <v/>
      </c>
      <c r="AC543" s="7">
        <f>IF($E543="","",AB543-R543)</f>
        <v/>
      </c>
      <c r="AF543">
        <f>IF($E543="","",IF($AR543=1,0,IF($AQ543=1,Settings!$C$6,Settings!$C$7))*100)</f>
        <v/>
      </c>
      <c r="AJ543" s="7" t="n"/>
      <c r="AM543" s="11" t="n"/>
      <c r="AO543">
        <f>IF($E543="","",IF(COUNTIF($E$2:$E543,$E543)=1,1,0))</f>
        <v/>
      </c>
      <c r="AP543">
        <f>IF($AO543=1,SUMPRODUCT(--($AS$2:$AS$1001&lt;$AS543))+1,"")</f>
        <v/>
      </c>
      <c r="AQ543">
        <f>IF($E543="","",IF(OR($V543=TRUE(),$V543="TRUE"),1,0))</f>
        <v/>
      </c>
      <c r="AR543">
        <f>IF($E543="","",IF($AE543="Yes",1,0))</f>
        <v/>
      </c>
      <c r="AS543">
        <f>IF($AO543=1,IFERROR(IF(VALUE($E543)&lt;100000000,VALUE($E543),1000000000),IFERROR(IF(VALUE(MID($E543,2,20))&lt;100000000,VALUE(MID($E543,2,20)),1000000000),1000000000))+ROW()/100000,"")</f>
        <v/>
      </c>
    </row>
    <row r="544">
      <c r="D544">
        <f>IF($E544="","",IFERROR(IF(INDEX('Per Invoice'!$A$2:$A$301,MATCH($E544,'Per Invoice'!$B$2:$B$301,0))=0,"",INDEX('Per Invoice'!$A$2:$A$301,MATCH($E544,'Per Invoice'!$B$2:$B$301,0))),""))</f>
        <v/>
      </c>
      <c r="H544" s="11" t="n"/>
      <c r="R544" s="7">
        <f>IF($E544="","",Q544*Z544/100)</f>
        <v/>
      </c>
      <c r="S544" s="7" t="n"/>
      <c r="Y544" s="7" t="n"/>
      <c r="Z544" s="7" t="n"/>
      <c r="AA544" s="7">
        <f>IF($E544="","",Z544*AF544/100)</f>
        <v/>
      </c>
      <c r="AB544" s="7">
        <f>IF($E544="","",Z544-AA544)</f>
        <v/>
      </c>
      <c r="AC544" s="7">
        <f>IF($E544="","",AB544-R544)</f>
        <v/>
      </c>
      <c r="AF544">
        <f>IF($E544="","",IF($AR544=1,0,IF($AQ544=1,Settings!$C$6,Settings!$C$7))*100)</f>
        <v/>
      </c>
      <c r="AJ544" s="7" t="n"/>
      <c r="AM544" s="11" t="n"/>
      <c r="AO544">
        <f>IF($E544="","",IF(COUNTIF($E$2:$E544,$E544)=1,1,0))</f>
        <v/>
      </c>
      <c r="AP544">
        <f>IF($AO544=1,SUMPRODUCT(--($AS$2:$AS$1001&lt;$AS544))+1,"")</f>
        <v/>
      </c>
      <c r="AQ544">
        <f>IF($E544="","",IF(OR($V544=TRUE(),$V544="TRUE"),1,0))</f>
        <v/>
      </c>
      <c r="AR544">
        <f>IF($E544="","",IF($AE544="Yes",1,0))</f>
        <v/>
      </c>
      <c r="AS544">
        <f>IF($AO544=1,IFERROR(IF(VALUE($E544)&lt;100000000,VALUE($E544),1000000000),IFERROR(IF(VALUE(MID($E544,2,20))&lt;100000000,VALUE(MID($E544,2,20)),1000000000),1000000000))+ROW()/100000,"")</f>
        <v/>
      </c>
    </row>
    <row r="545">
      <c r="D545">
        <f>IF($E545="","",IFERROR(IF(INDEX('Per Invoice'!$A$2:$A$301,MATCH($E545,'Per Invoice'!$B$2:$B$301,0))=0,"",INDEX('Per Invoice'!$A$2:$A$301,MATCH($E545,'Per Invoice'!$B$2:$B$301,0))),""))</f>
        <v/>
      </c>
      <c r="H545" s="11" t="n"/>
      <c r="R545" s="7">
        <f>IF($E545="","",Q545*Z545/100)</f>
        <v/>
      </c>
      <c r="S545" s="7" t="n"/>
      <c r="Y545" s="7" t="n"/>
      <c r="Z545" s="7" t="n"/>
      <c r="AA545" s="7">
        <f>IF($E545="","",Z545*AF545/100)</f>
        <v/>
      </c>
      <c r="AB545" s="7">
        <f>IF($E545="","",Z545-AA545)</f>
        <v/>
      </c>
      <c r="AC545" s="7">
        <f>IF($E545="","",AB545-R545)</f>
        <v/>
      </c>
      <c r="AF545">
        <f>IF($E545="","",IF($AR545=1,0,IF($AQ545=1,Settings!$C$6,Settings!$C$7))*100)</f>
        <v/>
      </c>
      <c r="AJ545" s="7" t="n"/>
      <c r="AM545" s="11" t="n"/>
      <c r="AO545">
        <f>IF($E545="","",IF(COUNTIF($E$2:$E545,$E545)=1,1,0))</f>
        <v/>
      </c>
      <c r="AP545">
        <f>IF($AO545=1,SUMPRODUCT(--($AS$2:$AS$1001&lt;$AS545))+1,"")</f>
        <v/>
      </c>
      <c r="AQ545">
        <f>IF($E545="","",IF(OR($V545=TRUE(),$V545="TRUE"),1,0))</f>
        <v/>
      </c>
      <c r="AR545">
        <f>IF($E545="","",IF($AE545="Yes",1,0))</f>
        <v/>
      </c>
      <c r="AS545">
        <f>IF($AO545=1,IFERROR(IF(VALUE($E545)&lt;100000000,VALUE($E545),1000000000),IFERROR(IF(VALUE(MID($E545,2,20))&lt;100000000,VALUE(MID($E545,2,20)),1000000000),1000000000))+ROW()/100000,"")</f>
        <v/>
      </c>
    </row>
    <row r="546">
      <c r="D546">
        <f>IF($E546="","",IFERROR(IF(INDEX('Per Invoice'!$A$2:$A$301,MATCH($E546,'Per Invoice'!$B$2:$B$301,0))=0,"",INDEX('Per Invoice'!$A$2:$A$301,MATCH($E546,'Per Invoice'!$B$2:$B$301,0))),""))</f>
        <v/>
      </c>
      <c r="H546" s="11" t="n"/>
      <c r="R546" s="7">
        <f>IF($E546="","",Q546*Z546/100)</f>
        <v/>
      </c>
      <c r="S546" s="7" t="n"/>
      <c r="Y546" s="7" t="n"/>
      <c r="Z546" s="7" t="n"/>
      <c r="AA546" s="7">
        <f>IF($E546="","",Z546*AF546/100)</f>
        <v/>
      </c>
      <c r="AB546" s="7">
        <f>IF($E546="","",Z546-AA546)</f>
        <v/>
      </c>
      <c r="AC546" s="7">
        <f>IF($E546="","",AB546-R546)</f>
        <v/>
      </c>
      <c r="AF546">
        <f>IF($E546="","",IF($AR546=1,0,IF($AQ546=1,Settings!$C$6,Settings!$C$7))*100)</f>
        <v/>
      </c>
      <c r="AJ546" s="7" t="n"/>
      <c r="AM546" s="11" t="n"/>
      <c r="AO546">
        <f>IF($E546="","",IF(COUNTIF($E$2:$E546,$E546)=1,1,0))</f>
        <v/>
      </c>
      <c r="AP546">
        <f>IF($AO546=1,SUMPRODUCT(--($AS$2:$AS$1001&lt;$AS546))+1,"")</f>
        <v/>
      </c>
      <c r="AQ546">
        <f>IF($E546="","",IF(OR($V546=TRUE(),$V546="TRUE"),1,0))</f>
        <v/>
      </c>
      <c r="AR546">
        <f>IF($E546="","",IF($AE546="Yes",1,0))</f>
        <v/>
      </c>
      <c r="AS546">
        <f>IF($AO546=1,IFERROR(IF(VALUE($E546)&lt;100000000,VALUE($E546),1000000000),IFERROR(IF(VALUE(MID($E546,2,20))&lt;100000000,VALUE(MID($E546,2,20)),1000000000),1000000000))+ROW()/100000,"")</f>
        <v/>
      </c>
    </row>
    <row r="547">
      <c r="D547">
        <f>IF($E547="","",IFERROR(IF(INDEX('Per Invoice'!$A$2:$A$301,MATCH($E547,'Per Invoice'!$B$2:$B$301,0))=0,"",INDEX('Per Invoice'!$A$2:$A$301,MATCH($E547,'Per Invoice'!$B$2:$B$301,0))),""))</f>
        <v/>
      </c>
      <c r="H547" s="11" t="n"/>
      <c r="R547" s="7">
        <f>IF($E547="","",Q547*Z547/100)</f>
        <v/>
      </c>
      <c r="S547" s="7" t="n"/>
      <c r="Y547" s="7" t="n"/>
      <c r="Z547" s="7" t="n"/>
      <c r="AA547" s="7">
        <f>IF($E547="","",Z547*AF547/100)</f>
        <v/>
      </c>
      <c r="AB547" s="7">
        <f>IF($E547="","",Z547-AA547)</f>
        <v/>
      </c>
      <c r="AC547" s="7">
        <f>IF($E547="","",AB547-R547)</f>
        <v/>
      </c>
      <c r="AF547">
        <f>IF($E547="","",IF($AR547=1,0,IF($AQ547=1,Settings!$C$6,Settings!$C$7))*100)</f>
        <v/>
      </c>
      <c r="AJ547" s="7" t="n"/>
      <c r="AM547" s="11" t="n"/>
      <c r="AO547">
        <f>IF($E547="","",IF(COUNTIF($E$2:$E547,$E547)=1,1,0))</f>
        <v/>
      </c>
      <c r="AP547">
        <f>IF($AO547=1,SUMPRODUCT(--($AS$2:$AS$1001&lt;$AS547))+1,"")</f>
        <v/>
      </c>
      <c r="AQ547">
        <f>IF($E547="","",IF(OR($V547=TRUE(),$V547="TRUE"),1,0))</f>
        <v/>
      </c>
      <c r="AR547">
        <f>IF($E547="","",IF($AE547="Yes",1,0))</f>
        <v/>
      </c>
      <c r="AS547">
        <f>IF($AO547=1,IFERROR(IF(VALUE($E547)&lt;100000000,VALUE($E547),1000000000),IFERROR(IF(VALUE(MID($E547,2,20))&lt;100000000,VALUE(MID($E547,2,20)),1000000000),1000000000))+ROW()/100000,"")</f>
        <v/>
      </c>
    </row>
    <row r="548">
      <c r="D548">
        <f>IF($E548="","",IFERROR(IF(INDEX('Per Invoice'!$A$2:$A$301,MATCH($E548,'Per Invoice'!$B$2:$B$301,0))=0,"",INDEX('Per Invoice'!$A$2:$A$301,MATCH($E548,'Per Invoice'!$B$2:$B$301,0))),""))</f>
        <v/>
      </c>
      <c r="H548" s="11" t="n"/>
      <c r="R548" s="7">
        <f>IF($E548="","",Q548*Z548/100)</f>
        <v/>
      </c>
      <c r="S548" s="7" t="n"/>
      <c r="Y548" s="7" t="n"/>
      <c r="Z548" s="7" t="n"/>
      <c r="AA548" s="7">
        <f>IF($E548="","",Z548*AF548/100)</f>
        <v/>
      </c>
      <c r="AB548" s="7">
        <f>IF($E548="","",Z548-AA548)</f>
        <v/>
      </c>
      <c r="AC548" s="7">
        <f>IF($E548="","",AB548-R548)</f>
        <v/>
      </c>
      <c r="AF548">
        <f>IF($E548="","",IF($AR548=1,0,IF($AQ548=1,Settings!$C$6,Settings!$C$7))*100)</f>
        <v/>
      </c>
      <c r="AJ548" s="7" t="n"/>
      <c r="AM548" s="11" t="n"/>
      <c r="AO548">
        <f>IF($E548="","",IF(COUNTIF($E$2:$E548,$E548)=1,1,0))</f>
        <v/>
      </c>
      <c r="AP548">
        <f>IF($AO548=1,SUMPRODUCT(--($AS$2:$AS$1001&lt;$AS548))+1,"")</f>
        <v/>
      </c>
      <c r="AQ548">
        <f>IF($E548="","",IF(OR($V548=TRUE(),$V548="TRUE"),1,0))</f>
        <v/>
      </c>
      <c r="AR548">
        <f>IF($E548="","",IF($AE548="Yes",1,0))</f>
        <v/>
      </c>
      <c r="AS548">
        <f>IF($AO548=1,IFERROR(IF(VALUE($E548)&lt;100000000,VALUE($E548),1000000000),IFERROR(IF(VALUE(MID($E548,2,20))&lt;100000000,VALUE(MID($E548,2,20)),1000000000),1000000000))+ROW()/100000,"")</f>
        <v/>
      </c>
    </row>
    <row r="549">
      <c r="D549">
        <f>IF($E549="","",IFERROR(IF(INDEX('Per Invoice'!$A$2:$A$301,MATCH($E549,'Per Invoice'!$B$2:$B$301,0))=0,"",INDEX('Per Invoice'!$A$2:$A$301,MATCH($E549,'Per Invoice'!$B$2:$B$301,0))),""))</f>
        <v/>
      </c>
      <c r="H549" s="11" t="n"/>
      <c r="R549" s="7">
        <f>IF($E549="","",Q549*Z549/100)</f>
        <v/>
      </c>
      <c r="S549" s="7" t="n"/>
      <c r="Y549" s="7" t="n"/>
      <c r="Z549" s="7" t="n"/>
      <c r="AA549" s="7">
        <f>IF($E549="","",Z549*AF549/100)</f>
        <v/>
      </c>
      <c r="AB549" s="7">
        <f>IF($E549="","",Z549-AA549)</f>
        <v/>
      </c>
      <c r="AC549" s="7">
        <f>IF($E549="","",AB549-R549)</f>
        <v/>
      </c>
      <c r="AF549">
        <f>IF($E549="","",IF($AR549=1,0,IF($AQ549=1,Settings!$C$6,Settings!$C$7))*100)</f>
        <v/>
      </c>
      <c r="AJ549" s="7" t="n"/>
      <c r="AM549" s="11" t="n"/>
      <c r="AO549">
        <f>IF($E549="","",IF(COUNTIF($E$2:$E549,$E549)=1,1,0))</f>
        <v/>
      </c>
      <c r="AP549">
        <f>IF($AO549=1,SUMPRODUCT(--($AS$2:$AS$1001&lt;$AS549))+1,"")</f>
        <v/>
      </c>
      <c r="AQ549">
        <f>IF($E549="","",IF(OR($V549=TRUE(),$V549="TRUE"),1,0))</f>
        <v/>
      </c>
      <c r="AR549">
        <f>IF($E549="","",IF($AE549="Yes",1,0))</f>
        <v/>
      </c>
      <c r="AS549">
        <f>IF($AO549=1,IFERROR(IF(VALUE($E549)&lt;100000000,VALUE($E549),1000000000),IFERROR(IF(VALUE(MID($E549,2,20))&lt;100000000,VALUE(MID($E549,2,20)),1000000000),1000000000))+ROW()/100000,"")</f>
        <v/>
      </c>
    </row>
    <row r="550">
      <c r="D550">
        <f>IF($E550="","",IFERROR(IF(INDEX('Per Invoice'!$A$2:$A$301,MATCH($E550,'Per Invoice'!$B$2:$B$301,0))=0,"",INDEX('Per Invoice'!$A$2:$A$301,MATCH($E550,'Per Invoice'!$B$2:$B$301,0))),""))</f>
        <v/>
      </c>
      <c r="H550" s="11" t="n"/>
      <c r="R550" s="7">
        <f>IF($E550="","",Q550*Z550/100)</f>
        <v/>
      </c>
      <c r="S550" s="7" t="n"/>
      <c r="Y550" s="7" t="n"/>
      <c r="Z550" s="7" t="n"/>
      <c r="AA550" s="7">
        <f>IF($E550="","",Z550*AF550/100)</f>
        <v/>
      </c>
      <c r="AB550" s="7">
        <f>IF($E550="","",Z550-AA550)</f>
        <v/>
      </c>
      <c r="AC550" s="7">
        <f>IF($E550="","",AB550-R550)</f>
        <v/>
      </c>
      <c r="AF550">
        <f>IF($E550="","",IF($AR550=1,0,IF($AQ550=1,Settings!$C$6,Settings!$C$7))*100)</f>
        <v/>
      </c>
      <c r="AJ550" s="7" t="n"/>
      <c r="AM550" s="11" t="n"/>
      <c r="AO550">
        <f>IF($E550="","",IF(COUNTIF($E$2:$E550,$E550)=1,1,0))</f>
        <v/>
      </c>
      <c r="AP550">
        <f>IF($AO550=1,SUMPRODUCT(--($AS$2:$AS$1001&lt;$AS550))+1,"")</f>
        <v/>
      </c>
      <c r="AQ550">
        <f>IF($E550="","",IF(OR($V550=TRUE(),$V550="TRUE"),1,0))</f>
        <v/>
      </c>
      <c r="AR550">
        <f>IF($E550="","",IF($AE550="Yes",1,0))</f>
        <v/>
      </c>
      <c r="AS550">
        <f>IF($AO550=1,IFERROR(IF(VALUE($E550)&lt;100000000,VALUE($E550),1000000000),IFERROR(IF(VALUE(MID($E550,2,20))&lt;100000000,VALUE(MID($E550,2,20)),1000000000),1000000000))+ROW()/100000,"")</f>
        <v/>
      </c>
    </row>
    <row r="551">
      <c r="D551">
        <f>IF($E551="","",IFERROR(IF(INDEX('Per Invoice'!$A$2:$A$301,MATCH($E551,'Per Invoice'!$B$2:$B$301,0))=0,"",INDEX('Per Invoice'!$A$2:$A$301,MATCH($E551,'Per Invoice'!$B$2:$B$301,0))),""))</f>
        <v/>
      </c>
      <c r="H551" s="11" t="n"/>
      <c r="R551" s="7">
        <f>IF($E551="","",Q551*Z551/100)</f>
        <v/>
      </c>
      <c r="S551" s="7" t="n"/>
      <c r="Y551" s="7" t="n"/>
      <c r="Z551" s="7" t="n"/>
      <c r="AA551" s="7">
        <f>IF($E551="","",Z551*AF551/100)</f>
        <v/>
      </c>
      <c r="AB551" s="7">
        <f>IF($E551="","",Z551-AA551)</f>
        <v/>
      </c>
      <c r="AC551" s="7">
        <f>IF($E551="","",AB551-R551)</f>
        <v/>
      </c>
      <c r="AF551">
        <f>IF($E551="","",IF($AR551=1,0,IF($AQ551=1,Settings!$C$6,Settings!$C$7))*100)</f>
        <v/>
      </c>
      <c r="AJ551" s="7" t="n"/>
      <c r="AM551" s="11" t="n"/>
      <c r="AO551">
        <f>IF($E551="","",IF(COUNTIF($E$2:$E551,$E551)=1,1,0))</f>
        <v/>
      </c>
      <c r="AP551">
        <f>IF($AO551=1,SUMPRODUCT(--($AS$2:$AS$1001&lt;$AS551))+1,"")</f>
        <v/>
      </c>
      <c r="AQ551">
        <f>IF($E551="","",IF(OR($V551=TRUE(),$V551="TRUE"),1,0))</f>
        <v/>
      </c>
      <c r="AR551">
        <f>IF($E551="","",IF($AE551="Yes",1,0))</f>
        <v/>
      </c>
      <c r="AS551">
        <f>IF($AO551=1,IFERROR(IF(VALUE($E551)&lt;100000000,VALUE($E551),1000000000),IFERROR(IF(VALUE(MID($E551,2,20))&lt;100000000,VALUE(MID($E551,2,20)),1000000000),1000000000))+ROW()/100000,"")</f>
        <v/>
      </c>
    </row>
    <row r="552">
      <c r="D552">
        <f>IF($E552="","",IFERROR(IF(INDEX('Per Invoice'!$A$2:$A$301,MATCH($E552,'Per Invoice'!$B$2:$B$301,0))=0,"",INDEX('Per Invoice'!$A$2:$A$301,MATCH($E552,'Per Invoice'!$B$2:$B$301,0))),""))</f>
        <v/>
      </c>
      <c r="H552" s="11" t="n"/>
      <c r="R552" s="7">
        <f>IF($E552="","",Q552*Z552/100)</f>
        <v/>
      </c>
      <c r="S552" s="7" t="n"/>
      <c r="Y552" s="7" t="n"/>
      <c r="Z552" s="7" t="n"/>
      <c r="AA552" s="7">
        <f>IF($E552="","",Z552*AF552/100)</f>
        <v/>
      </c>
      <c r="AB552" s="7">
        <f>IF($E552="","",Z552-AA552)</f>
        <v/>
      </c>
      <c r="AC552" s="7">
        <f>IF($E552="","",AB552-R552)</f>
        <v/>
      </c>
      <c r="AF552">
        <f>IF($E552="","",IF($AR552=1,0,IF($AQ552=1,Settings!$C$6,Settings!$C$7))*100)</f>
        <v/>
      </c>
      <c r="AJ552" s="7" t="n"/>
      <c r="AM552" s="11" t="n"/>
      <c r="AO552">
        <f>IF($E552="","",IF(COUNTIF($E$2:$E552,$E552)=1,1,0))</f>
        <v/>
      </c>
      <c r="AP552">
        <f>IF($AO552=1,SUMPRODUCT(--($AS$2:$AS$1001&lt;$AS552))+1,"")</f>
        <v/>
      </c>
      <c r="AQ552">
        <f>IF($E552="","",IF(OR($V552=TRUE(),$V552="TRUE"),1,0))</f>
        <v/>
      </c>
      <c r="AR552">
        <f>IF($E552="","",IF($AE552="Yes",1,0))</f>
        <v/>
      </c>
      <c r="AS552">
        <f>IF($AO552=1,IFERROR(IF(VALUE($E552)&lt;100000000,VALUE($E552),1000000000),IFERROR(IF(VALUE(MID($E552,2,20))&lt;100000000,VALUE(MID($E552,2,20)),1000000000),1000000000))+ROW()/100000,"")</f>
        <v/>
      </c>
    </row>
    <row r="553">
      <c r="D553">
        <f>IF($E553="","",IFERROR(IF(INDEX('Per Invoice'!$A$2:$A$301,MATCH($E553,'Per Invoice'!$B$2:$B$301,0))=0,"",INDEX('Per Invoice'!$A$2:$A$301,MATCH($E553,'Per Invoice'!$B$2:$B$301,0))),""))</f>
        <v/>
      </c>
      <c r="H553" s="11" t="n"/>
      <c r="R553" s="7">
        <f>IF($E553="","",Q553*Z553/100)</f>
        <v/>
      </c>
      <c r="S553" s="7" t="n"/>
      <c r="Y553" s="7" t="n"/>
      <c r="Z553" s="7" t="n"/>
      <c r="AA553" s="7">
        <f>IF($E553="","",Z553*AF553/100)</f>
        <v/>
      </c>
      <c r="AB553" s="7">
        <f>IF($E553="","",Z553-AA553)</f>
        <v/>
      </c>
      <c r="AC553" s="7">
        <f>IF($E553="","",AB553-R553)</f>
        <v/>
      </c>
      <c r="AF553">
        <f>IF($E553="","",IF($AR553=1,0,IF($AQ553=1,Settings!$C$6,Settings!$C$7))*100)</f>
        <v/>
      </c>
      <c r="AJ553" s="7" t="n"/>
      <c r="AM553" s="11" t="n"/>
      <c r="AO553">
        <f>IF($E553="","",IF(COUNTIF($E$2:$E553,$E553)=1,1,0))</f>
        <v/>
      </c>
      <c r="AP553">
        <f>IF($AO553=1,SUMPRODUCT(--($AS$2:$AS$1001&lt;$AS553))+1,"")</f>
        <v/>
      </c>
      <c r="AQ553">
        <f>IF($E553="","",IF(OR($V553=TRUE(),$V553="TRUE"),1,0))</f>
        <v/>
      </c>
      <c r="AR553">
        <f>IF($E553="","",IF($AE553="Yes",1,0))</f>
        <v/>
      </c>
      <c r="AS553">
        <f>IF($AO553=1,IFERROR(IF(VALUE($E553)&lt;100000000,VALUE($E553),1000000000),IFERROR(IF(VALUE(MID($E553,2,20))&lt;100000000,VALUE(MID($E553,2,20)),1000000000),1000000000))+ROW()/100000,"")</f>
        <v/>
      </c>
    </row>
    <row r="554">
      <c r="D554">
        <f>IF($E554="","",IFERROR(IF(INDEX('Per Invoice'!$A$2:$A$301,MATCH($E554,'Per Invoice'!$B$2:$B$301,0))=0,"",INDEX('Per Invoice'!$A$2:$A$301,MATCH($E554,'Per Invoice'!$B$2:$B$301,0))),""))</f>
        <v/>
      </c>
      <c r="H554" s="11" t="n"/>
      <c r="R554" s="7">
        <f>IF($E554="","",Q554*Z554/100)</f>
        <v/>
      </c>
      <c r="S554" s="7" t="n"/>
      <c r="Y554" s="7" t="n"/>
      <c r="Z554" s="7" t="n"/>
      <c r="AA554" s="7">
        <f>IF($E554="","",Z554*AF554/100)</f>
        <v/>
      </c>
      <c r="AB554" s="7">
        <f>IF($E554="","",Z554-AA554)</f>
        <v/>
      </c>
      <c r="AC554" s="7">
        <f>IF($E554="","",AB554-R554)</f>
        <v/>
      </c>
      <c r="AF554">
        <f>IF($E554="","",IF($AR554=1,0,IF($AQ554=1,Settings!$C$6,Settings!$C$7))*100)</f>
        <v/>
      </c>
      <c r="AJ554" s="7" t="n"/>
      <c r="AM554" s="11" t="n"/>
      <c r="AO554">
        <f>IF($E554="","",IF(COUNTIF($E$2:$E554,$E554)=1,1,0))</f>
        <v/>
      </c>
      <c r="AP554">
        <f>IF($AO554=1,SUMPRODUCT(--($AS$2:$AS$1001&lt;$AS554))+1,"")</f>
        <v/>
      </c>
      <c r="AQ554">
        <f>IF($E554="","",IF(OR($V554=TRUE(),$V554="TRUE"),1,0))</f>
        <v/>
      </c>
      <c r="AR554">
        <f>IF($E554="","",IF($AE554="Yes",1,0))</f>
        <v/>
      </c>
      <c r="AS554">
        <f>IF($AO554=1,IFERROR(IF(VALUE($E554)&lt;100000000,VALUE($E554),1000000000),IFERROR(IF(VALUE(MID($E554,2,20))&lt;100000000,VALUE(MID($E554,2,20)),1000000000),1000000000))+ROW()/100000,"")</f>
        <v/>
      </c>
    </row>
    <row r="555">
      <c r="D555">
        <f>IF($E555="","",IFERROR(IF(INDEX('Per Invoice'!$A$2:$A$301,MATCH($E555,'Per Invoice'!$B$2:$B$301,0))=0,"",INDEX('Per Invoice'!$A$2:$A$301,MATCH($E555,'Per Invoice'!$B$2:$B$301,0))),""))</f>
        <v/>
      </c>
      <c r="H555" s="11" t="n"/>
      <c r="R555" s="7">
        <f>IF($E555="","",Q555*Z555/100)</f>
        <v/>
      </c>
      <c r="S555" s="7" t="n"/>
      <c r="Y555" s="7" t="n"/>
      <c r="Z555" s="7" t="n"/>
      <c r="AA555" s="7">
        <f>IF($E555="","",Z555*AF555/100)</f>
        <v/>
      </c>
      <c r="AB555" s="7">
        <f>IF($E555="","",Z555-AA555)</f>
        <v/>
      </c>
      <c r="AC555" s="7">
        <f>IF($E555="","",AB555-R555)</f>
        <v/>
      </c>
      <c r="AF555">
        <f>IF($E555="","",IF($AR555=1,0,IF($AQ555=1,Settings!$C$6,Settings!$C$7))*100)</f>
        <v/>
      </c>
      <c r="AJ555" s="7" t="n"/>
      <c r="AM555" s="11" t="n"/>
      <c r="AO555">
        <f>IF($E555="","",IF(COUNTIF($E$2:$E555,$E555)=1,1,0))</f>
        <v/>
      </c>
      <c r="AP555">
        <f>IF($AO555=1,SUMPRODUCT(--($AS$2:$AS$1001&lt;$AS555))+1,"")</f>
        <v/>
      </c>
      <c r="AQ555">
        <f>IF($E555="","",IF(OR($V555=TRUE(),$V555="TRUE"),1,0))</f>
        <v/>
      </c>
      <c r="AR555">
        <f>IF($E555="","",IF($AE555="Yes",1,0))</f>
        <v/>
      </c>
      <c r="AS555">
        <f>IF($AO555=1,IFERROR(IF(VALUE($E555)&lt;100000000,VALUE($E555),1000000000),IFERROR(IF(VALUE(MID($E555,2,20))&lt;100000000,VALUE(MID($E555,2,20)),1000000000),1000000000))+ROW()/100000,"")</f>
        <v/>
      </c>
    </row>
    <row r="556">
      <c r="D556">
        <f>IF($E556="","",IFERROR(IF(INDEX('Per Invoice'!$A$2:$A$301,MATCH($E556,'Per Invoice'!$B$2:$B$301,0))=0,"",INDEX('Per Invoice'!$A$2:$A$301,MATCH($E556,'Per Invoice'!$B$2:$B$301,0))),""))</f>
        <v/>
      </c>
      <c r="H556" s="11" t="n"/>
      <c r="R556" s="7">
        <f>IF($E556="","",Q556*Z556/100)</f>
        <v/>
      </c>
      <c r="S556" s="7" t="n"/>
      <c r="Y556" s="7" t="n"/>
      <c r="Z556" s="7" t="n"/>
      <c r="AA556" s="7">
        <f>IF($E556="","",Z556*AF556/100)</f>
        <v/>
      </c>
      <c r="AB556" s="7">
        <f>IF($E556="","",Z556-AA556)</f>
        <v/>
      </c>
      <c r="AC556" s="7">
        <f>IF($E556="","",AB556-R556)</f>
        <v/>
      </c>
      <c r="AF556">
        <f>IF($E556="","",IF($AR556=1,0,IF($AQ556=1,Settings!$C$6,Settings!$C$7))*100)</f>
        <v/>
      </c>
      <c r="AJ556" s="7" t="n"/>
      <c r="AM556" s="11" t="n"/>
      <c r="AO556">
        <f>IF($E556="","",IF(COUNTIF($E$2:$E556,$E556)=1,1,0))</f>
        <v/>
      </c>
      <c r="AP556">
        <f>IF($AO556=1,SUMPRODUCT(--($AS$2:$AS$1001&lt;$AS556))+1,"")</f>
        <v/>
      </c>
      <c r="AQ556">
        <f>IF($E556="","",IF(OR($V556=TRUE(),$V556="TRUE"),1,0))</f>
        <v/>
      </c>
      <c r="AR556">
        <f>IF($E556="","",IF($AE556="Yes",1,0))</f>
        <v/>
      </c>
      <c r="AS556">
        <f>IF($AO556=1,IFERROR(IF(VALUE($E556)&lt;100000000,VALUE($E556),1000000000),IFERROR(IF(VALUE(MID($E556,2,20))&lt;100000000,VALUE(MID($E556,2,20)),1000000000),1000000000))+ROW()/100000,"")</f>
        <v/>
      </c>
    </row>
    <row r="557">
      <c r="D557">
        <f>IF($E557="","",IFERROR(IF(INDEX('Per Invoice'!$A$2:$A$301,MATCH($E557,'Per Invoice'!$B$2:$B$301,0))=0,"",INDEX('Per Invoice'!$A$2:$A$301,MATCH($E557,'Per Invoice'!$B$2:$B$301,0))),""))</f>
        <v/>
      </c>
      <c r="H557" s="11" t="n"/>
      <c r="R557" s="7">
        <f>IF($E557="","",Q557*Z557/100)</f>
        <v/>
      </c>
      <c r="S557" s="7" t="n"/>
      <c r="Y557" s="7" t="n"/>
      <c r="Z557" s="7" t="n"/>
      <c r="AA557" s="7">
        <f>IF($E557="","",Z557*AF557/100)</f>
        <v/>
      </c>
      <c r="AB557" s="7">
        <f>IF($E557="","",Z557-AA557)</f>
        <v/>
      </c>
      <c r="AC557" s="7">
        <f>IF($E557="","",AB557-R557)</f>
        <v/>
      </c>
      <c r="AF557">
        <f>IF($E557="","",IF($AR557=1,0,IF($AQ557=1,Settings!$C$6,Settings!$C$7))*100)</f>
        <v/>
      </c>
      <c r="AJ557" s="7" t="n"/>
      <c r="AM557" s="11" t="n"/>
      <c r="AO557">
        <f>IF($E557="","",IF(COUNTIF($E$2:$E557,$E557)=1,1,0))</f>
        <v/>
      </c>
      <c r="AP557">
        <f>IF($AO557=1,SUMPRODUCT(--($AS$2:$AS$1001&lt;$AS557))+1,"")</f>
        <v/>
      </c>
      <c r="AQ557">
        <f>IF($E557="","",IF(OR($V557=TRUE(),$V557="TRUE"),1,0))</f>
        <v/>
      </c>
      <c r="AR557">
        <f>IF($E557="","",IF($AE557="Yes",1,0))</f>
        <v/>
      </c>
      <c r="AS557">
        <f>IF($AO557=1,IFERROR(IF(VALUE($E557)&lt;100000000,VALUE($E557),1000000000),IFERROR(IF(VALUE(MID($E557,2,20))&lt;100000000,VALUE(MID($E557,2,20)),1000000000),1000000000))+ROW()/100000,"")</f>
        <v/>
      </c>
    </row>
    <row r="558">
      <c r="D558">
        <f>IF($E558="","",IFERROR(IF(INDEX('Per Invoice'!$A$2:$A$301,MATCH($E558,'Per Invoice'!$B$2:$B$301,0))=0,"",INDEX('Per Invoice'!$A$2:$A$301,MATCH($E558,'Per Invoice'!$B$2:$B$301,0))),""))</f>
        <v/>
      </c>
      <c r="H558" s="11" t="n"/>
      <c r="R558" s="7">
        <f>IF($E558="","",Q558*Z558/100)</f>
        <v/>
      </c>
      <c r="S558" s="7" t="n"/>
      <c r="Y558" s="7" t="n"/>
      <c r="Z558" s="7" t="n"/>
      <c r="AA558" s="7">
        <f>IF($E558="","",Z558*AF558/100)</f>
        <v/>
      </c>
      <c r="AB558" s="7">
        <f>IF($E558="","",Z558-AA558)</f>
        <v/>
      </c>
      <c r="AC558" s="7">
        <f>IF($E558="","",AB558-R558)</f>
        <v/>
      </c>
      <c r="AF558">
        <f>IF($E558="","",IF($AR558=1,0,IF($AQ558=1,Settings!$C$6,Settings!$C$7))*100)</f>
        <v/>
      </c>
      <c r="AJ558" s="7" t="n"/>
      <c r="AM558" s="11" t="n"/>
      <c r="AO558">
        <f>IF($E558="","",IF(COUNTIF($E$2:$E558,$E558)=1,1,0))</f>
        <v/>
      </c>
      <c r="AP558">
        <f>IF($AO558=1,SUMPRODUCT(--($AS$2:$AS$1001&lt;$AS558))+1,"")</f>
        <v/>
      </c>
      <c r="AQ558">
        <f>IF($E558="","",IF(OR($V558=TRUE(),$V558="TRUE"),1,0))</f>
        <v/>
      </c>
      <c r="AR558">
        <f>IF($E558="","",IF($AE558="Yes",1,0))</f>
        <v/>
      </c>
      <c r="AS558">
        <f>IF($AO558=1,IFERROR(IF(VALUE($E558)&lt;100000000,VALUE($E558),1000000000),IFERROR(IF(VALUE(MID($E558,2,20))&lt;100000000,VALUE(MID($E558,2,20)),1000000000),1000000000))+ROW()/100000,"")</f>
        <v/>
      </c>
    </row>
    <row r="559">
      <c r="D559">
        <f>IF($E559="","",IFERROR(IF(INDEX('Per Invoice'!$A$2:$A$301,MATCH($E559,'Per Invoice'!$B$2:$B$301,0))=0,"",INDEX('Per Invoice'!$A$2:$A$301,MATCH($E559,'Per Invoice'!$B$2:$B$301,0))),""))</f>
        <v/>
      </c>
      <c r="H559" s="11" t="n"/>
      <c r="R559" s="7">
        <f>IF($E559="","",Q559*Z559/100)</f>
        <v/>
      </c>
      <c r="S559" s="7" t="n"/>
      <c r="Y559" s="7" t="n"/>
      <c r="Z559" s="7" t="n"/>
      <c r="AA559" s="7">
        <f>IF($E559="","",Z559*AF559/100)</f>
        <v/>
      </c>
      <c r="AB559" s="7">
        <f>IF($E559="","",Z559-AA559)</f>
        <v/>
      </c>
      <c r="AC559" s="7">
        <f>IF($E559="","",AB559-R559)</f>
        <v/>
      </c>
      <c r="AF559">
        <f>IF($E559="","",IF($AR559=1,0,IF($AQ559=1,Settings!$C$6,Settings!$C$7))*100)</f>
        <v/>
      </c>
      <c r="AJ559" s="7" t="n"/>
      <c r="AM559" s="11" t="n"/>
      <c r="AO559">
        <f>IF($E559="","",IF(COUNTIF($E$2:$E559,$E559)=1,1,0))</f>
        <v/>
      </c>
      <c r="AP559">
        <f>IF($AO559=1,SUMPRODUCT(--($AS$2:$AS$1001&lt;$AS559))+1,"")</f>
        <v/>
      </c>
      <c r="AQ559">
        <f>IF($E559="","",IF(OR($V559=TRUE(),$V559="TRUE"),1,0))</f>
        <v/>
      </c>
      <c r="AR559">
        <f>IF($E559="","",IF($AE559="Yes",1,0))</f>
        <v/>
      </c>
      <c r="AS559">
        <f>IF($AO559=1,IFERROR(IF(VALUE($E559)&lt;100000000,VALUE($E559),1000000000),IFERROR(IF(VALUE(MID($E559,2,20))&lt;100000000,VALUE(MID($E559,2,20)),1000000000),1000000000))+ROW()/100000,"")</f>
        <v/>
      </c>
    </row>
    <row r="560">
      <c r="D560">
        <f>IF($E560="","",IFERROR(IF(INDEX('Per Invoice'!$A$2:$A$301,MATCH($E560,'Per Invoice'!$B$2:$B$301,0))=0,"",INDEX('Per Invoice'!$A$2:$A$301,MATCH($E560,'Per Invoice'!$B$2:$B$301,0))),""))</f>
        <v/>
      </c>
      <c r="H560" s="11" t="n"/>
      <c r="R560" s="7">
        <f>IF($E560="","",Q560*Z560/100)</f>
        <v/>
      </c>
      <c r="S560" s="7" t="n"/>
      <c r="Y560" s="7" t="n"/>
      <c r="Z560" s="7" t="n"/>
      <c r="AA560" s="7">
        <f>IF($E560="","",Z560*AF560/100)</f>
        <v/>
      </c>
      <c r="AB560" s="7">
        <f>IF($E560="","",Z560-AA560)</f>
        <v/>
      </c>
      <c r="AC560" s="7">
        <f>IF($E560="","",AB560-R560)</f>
        <v/>
      </c>
      <c r="AF560">
        <f>IF($E560="","",IF($AR560=1,0,IF($AQ560=1,Settings!$C$6,Settings!$C$7))*100)</f>
        <v/>
      </c>
      <c r="AJ560" s="7" t="n"/>
      <c r="AM560" s="11" t="n"/>
      <c r="AO560">
        <f>IF($E560="","",IF(COUNTIF($E$2:$E560,$E560)=1,1,0))</f>
        <v/>
      </c>
      <c r="AP560">
        <f>IF($AO560=1,SUMPRODUCT(--($AS$2:$AS$1001&lt;$AS560))+1,"")</f>
        <v/>
      </c>
      <c r="AQ560">
        <f>IF($E560="","",IF(OR($V560=TRUE(),$V560="TRUE"),1,0))</f>
        <v/>
      </c>
      <c r="AR560">
        <f>IF($E560="","",IF($AE560="Yes",1,0))</f>
        <v/>
      </c>
      <c r="AS560">
        <f>IF($AO560=1,IFERROR(IF(VALUE($E560)&lt;100000000,VALUE($E560),1000000000),IFERROR(IF(VALUE(MID($E560,2,20))&lt;100000000,VALUE(MID($E560,2,20)),1000000000),1000000000))+ROW()/100000,"")</f>
        <v/>
      </c>
    </row>
    <row r="561">
      <c r="D561">
        <f>IF($E561="","",IFERROR(IF(INDEX('Per Invoice'!$A$2:$A$301,MATCH($E561,'Per Invoice'!$B$2:$B$301,0))=0,"",INDEX('Per Invoice'!$A$2:$A$301,MATCH($E561,'Per Invoice'!$B$2:$B$301,0))),""))</f>
        <v/>
      </c>
      <c r="H561" s="11" t="n"/>
      <c r="R561" s="7">
        <f>IF($E561="","",Q561*Z561/100)</f>
        <v/>
      </c>
      <c r="S561" s="7" t="n"/>
      <c r="Y561" s="7" t="n"/>
      <c r="Z561" s="7" t="n"/>
      <c r="AA561" s="7">
        <f>IF($E561="","",Z561*AF561/100)</f>
        <v/>
      </c>
      <c r="AB561" s="7">
        <f>IF($E561="","",Z561-AA561)</f>
        <v/>
      </c>
      <c r="AC561" s="7">
        <f>IF($E561="","",AB561-R561)</f>
        <v/>
      </c>
      <c r="AF561">
        <f>IF($E561="","",IF($AR561=1,0,IF($AQ561=1,Settings!$C$6,Settings!$C$7))*100)</f>
        <v/>
      </c>
      <c r="AJ561" s="7" t="n"/>
      <c r="AM561" s="11" t="n"/>
      <c r="AO561">
        <f>IF($E561="","",IF(COUNTIF($E$2:$E561,$E561)=1,1,0))</f>
        <v/>
      </c>
      <c r="AP561">
        <f>IF($AO561=1,SUMPRODUCT(--($AS$2:$AS$1001&lt;$AS561))+1,"")</f>
        <v/>
      </c>
      <c r="AQ561">
        <f>IF($E561="","",IF(OR($V561=TRUE(),$V561="TRUE"),1,0))</f>
        <v/>
      </c>
      <c r="AR561">
        <f>IF($E561="","",IF($AE561="Yes",1,0))</f>
        <v/>
      </c>
      <c r="AS561">
        <f>IF($AO561=1,IFERROR(IF(VALUE($E561)&lt;100000000,VALUE($E561),1000000000),IFERROR(IF(VALUE(MID($E561,2,20))&lt;100000000,VALUE(MID($E561,2,20)),1000000000),1000000000))+ROW()/100000,"")</f>
        <v/>
      </c>
    </row>
    <row r="562">
      <c r="D562">
        <f>IF($E562="","",IFERROR(IF(INDEX('Per Invoice'!$A$2:$A$301,MATCH($E562,'Per Invoice'!$B$2:$B$301,0))=0,"",INDEX('Per Invoice'!$A$2:$A$301,MATCH($E562,'Per Invoice'!$B$2:$B$301,0))),""))</f>
        <v/>
      </c>
      <c r="H562" s="11" t="n"/>
      <c r="R562" s="7">
        <f>IF($E562="","",Q562*Z562/100)</f>
        <v/>
      </c>
      <c r="S562" s="7" t="n"/>
      <c r="Y562" s="7" t="n"/>
      <c r="Z562" s="7" t="n"/>
      <c r="AA562" s="7">
        <f>IF($E562="","",Z562*AF562/100)</f>
        <v/>
      </c>
      <c r="AB562" s="7">
        <f>IF($E562="","",Z562-AA562)</f>
        <v/>
      </c>
      <c r="AC562" s="7">
        <f>IF($E562="","",AB562-R562)</f>
        <v/>
      </c>
      <c r="AF562">
        <f>IF($E562="","",IF($AR562=1,0,IF($AQ562=1,Settings!$C$6,Settings!$C$7))*100)</f>
        <v/>
      </c>
      <c r="AJ562" s="7" t="n"/>
      <c r="AM562" s="11" t="n"/>
      <c r="AO562">
        <f>IF($E562="","",IF(COUNTIF($E$2:$E562,$E562)=1,1,0))</f>
        <v/>
      </c>
      <c r="AP562">
        <f>IF($AO562=1,SUMPRODUCT(--($AS$2:$AS$1001&lt;$AS562))+1,"")</f>
        <v/>
      </c>
      <c r="AQ562">
        <f>IF($E562="","",IF(OR($V562=TRUE(),$V562="TRUE"),1,0))</f>
        <v/>
      </c>
      <c r="AR562">
        <f>IF($E562="","",IF($AE562="Yes",1,0))</f>
        <v/>
      </c>
      <c r="AS562">
        <f>IF($AO562=1,IFERROR(IF(VALUE($E562)&lt;100000000,VALUE($E562),1000000000),IFERROR(IF(VALUE(MID($E562,2,20))&lt;100000000,VALUE(MID($E562,2,20)),1000000000),1000000000))+ROW()/100000,"")</f>
        <v/>
      </c>
    </row>
    <row r="563">
      <c r="D563">
        <f>IF($E563="","",IFERROR(IF(INDEX('Per Invoice'!$A$2:$A$301,MATCH($E563,'Per Invoice'!$B$2:$B$301,0))=0,"",INDEX('Per Invoice'!$A$2:$A$301,MATCH($E563,'Per Invoice'!$B$2:$B$301,0))),""))</f>
        <v/>
      </c>
      <c r="H563" s="11" t="n"/>
      <c r="R563" s="7">
        <f>IF($E563="","",Q563*Z563/100)</f>
        <v/>
      </c>
      <c r="S563" s="7" t="n"/>
      <c r="Y563" s="7" t="n"/>
      <c r="Z563" s="7" t="n"/>
      <c r="AA563" s="7">
        <f>IF($E563="","",Z563*AF563/100)</f>
        <v/>
      </c>
      <c r="AB563" s="7">
        <f>IF($E563="","",Z563-AA563)</f>
        <v/>
      </c>
      <c r="AC563" s="7">
        <f>IF($E563="","",AB563-R563)</f>
        <v/>
      </c>
      <c r="AF563">
        <f>IF($E563="","",IF($AR563=1,0,IF($AQ563=1,Settings!$C$6,Settings!$C$7))*100)</f>
        <v/>
      </c>
      <c r="AJ563" s="7" t="n"/>
      <c r="AM563" s="11" t="n"/>
      <c r="AO563">
        <f>IF($E563="","",IF(COUNTIF($E$2:$E563,$E563)=1,1,0))</f>
        <v/>
      </c>
      <c r="AP563">
        <f>IF($AO563=1,SUMPRODUCT(--($AS$2:$AS$1001&lt;$AS563))+1,"")</f>
        <v/>
      </c>
      <c r="AQ563">
        <f>IF($E563="","",IF(OR($V563=TRUE(),$V563="TRUE"),1,0))</f>
        <v/>
      </c>
      <c r="AR563">
        <f>IF($E563="","",IF($AE563="Yes",1,0))</f>
        <v/>
      </c>
      <c r="AS563">
        <f>IF($AO563=1,IFERROR(IF(VALUE($E563)&lt;100000000,VALUE($E563),1000000000),IFERROR(IF(VALUE(MID($E563,2,20))&lt;100000000,VALUE(MID($E563,2,20)),1000000000),1000000000))+ROW()/100000,"")</f>
        <v/>
      </c>
    </row>
    <row r="564">
      <c r="D564">
        <f>IF($E564="","",IFERROR(IF(INDEX('Per Invoice'!$A$2:$A$301,MATCH($E564,'Per Invoice'!$B$2:$B$301,0))=0,"",INDEX('Per Invoice'!$A$2:$A$301,MATCH($E564,'Per Invoice'!$B$2:$B$301,0))),""))</f>
        <v/>
      </c>
      <c r="H564" s="11" t="n"/>
      <c r="R564" s="7">
        <f>IF($E564="","",Q564*Z564/100)</f>
        <v/>
      </c>
      <c r="S564" s="7" t="n"/>
      <c r="Y564" s="7" t="n"/>
      <c r="Z564" s="7" t="n"/>
      <c r="AA564" s="7">
        <f>IF($E564="","",Z564*AF564/100)</f>
        <v/>
      </c>
      <c r="AB564" s="7">
        <f>IF($E564="","",Z564-AA564)</f>
        <v/>
      </c>
      <c r="AC564" s="7">
        <f>IF($E564="","",AB564-R564)</f>
        <v/>
      </c>
      <c r="AF564">
        <f>IF($E564="","",IF($AR564=1,0,IF($AQ564=1,Settings!$C$6,Settings!$C$7))*100)</f>
        <v/>
      </c>
      <c r="AJ564" s="7" t="n"/>
      <c r="AM564" s="11" t="n"/>
      <c r="AO564">
        <f>IF($E564="","",IF(COUNTIF($E$2:$E564,$E564)=1,1,0))</f>
        <v/>
      </c>
      <c r="AP564">
        <f>IF($AO564=1,SUMPRODUCT(--($AS$2:$AS$1001&lt;$AS564))+1,"")</f>
        <v/>
      </c>
      <c r="AQ564">
        <f>IF($E564="","",IF(OR($V564=TRUE(),$V564="TRUE"),1,0))</f>
        <v/>
      </c>
      <c r="AR564">
        <f>IF($E564="","",IF($AE564="Yes",1,0))</f>
        <v/>
      </c>
      <c r="AS564">
        <f>IF($AO564=1,IFERROR(IF(VALUE($E564)&lt;100000000,VALUE($E564),1000000000),IFERROR(IF(VALUE(MID($E564,2,20))&lt;100000000,VALUE(MID($E564,2,20)),1000000000),1000000000))+ROW()/100000,"")</f>
        <v/>
      </c>
    </row>
    <row r="565">
      <c r="D565">
        <f>IF($E565="","",IFERROR(IF(INDEX('Per Invoice'!$A$2:$A$301,MATCH($E565,'Per Invoice'!$B$2:$B$301,0))=0,"",INDEX('Per Invoice'!$A$2:$A$301,MATCH($E565,'Per Invoice'!$B$2:$B$301,0))),""))</f>
        <v/>
      </c>
      <c r="H565" s="11" t="n"/>
      <c r="R565" s="7">
        <f>IF($E565="","",Q565*Z565/100)</f>
        <v/>
      </c>
      <c r="S565" s="7" t="n"/>
      <c r="Y565" s="7" t="n"/>
      <c r="Z565" s="7" t="n"/>
      <c r="AA565" s="7">
        <f>IF($E565="","",Z565*AF565/100)</f>
        <v/>
      </c>
      <c r="AB565" s="7">
        <f>IF($E565="","",Z565-AA565)</f>
        <v/>
      </c>
      <c r="AC565" s="7">
        <f>IF($E565="","",AB565-R565)</f>
        <v/>
      </c>
      <c r="AF565">
        <f>IF($E565="","",IF($AR565=1,0,IF($AQ565=1,Settings!$C$6,Settings!$C$7))*100)</f>
        <v/>
      </c>
      <c r="AJ565" s="7" t="n"/>
      <c r="AM565" s="11" t="n"/>
      <c r="AO565">
        <f>IF($E565="","",IF(COUNTIF($E$2:$E565,$E565)=1,1,0))</f>
        <v/>
      </c>
      <c r="AP565">
        <f>IF($AO565=1,SUMPRODUCT(--($AS$2:$AS$1001&lt;$AS565))+1,"")</f>
        <v/>
      </c>
      <c r="AQ565">
        <f>IF($E565="","",IF(OR($V565=TRUE(),$V565="TRUE"),1,0))</f>
        <v/>
      </c>
      <c r="AR565">
        <f>IF($E565="","",IF($AE565="Yes",1,0))</f>
        <v/>
      </c>
      <c r="AS565">
        <f>IF($AO565=1,IFERROR(IF(VALUE($E565)&lt;100000000,VALUE($E565),1000000000),IFERROR(IF(VALUE(MID($E565,2,20))&lt;100000000,VALUE(MID($E565,2,20)),1000000000),1000000000))+ROW()/100000,"")</f>
        <v/>
      </c>
    </row>
    <row r="566">
      <c r="D566">
        <f>IF($E566="","",IFERROR(IF(INDEX('Per Invoice'!$A$2:$A$301,MATCH($E566,'Per Invoice'!$B$2:$B$301,0))=0,"",INDEX('Per Invoice'!$A$2:$A$301,MATCH($E566,'Per Invoice'!$B$2:$B$301,0))),""))</f>
        <v/>
      </c>
      <c r="H566" s="11" t="n"/>
      <c r="R566" s="7">
        <f>IF($E566="","",Q566*Z566/100)</f>
        <v/>
      </c>
      <c r="S566" s="7" t="n"/>
      <c r="Y566" s="7" t="n"/>
      <c r="Z566" s="7" t="n"/>
      <c r="AA566" s="7">
        <f>IF($E566="","",Z566*AF566/100)</f>
        <v/>
      </c>
      <c r="AB566" s="7">
        <f>IF($E566="","",Z566-AA566)</f>
        <v/>
      </c>
      <c r="AC566" s="7">
        <f>IF($E566="","",AB566-R566)</f>
        <v/>
      </c>
      <c r="AF566">
        <f>IF($E566="","",IF($AR566=1,0,IF($AQ566=1,Settings!$C$6,Settings!$C$7))*100)</f>
        <v/>
      </c>
      <c r="AJ566" s="7" t="n"/>
      <c r="AM566" s="11" t="n"/>
      <c r="AO566">
        <f>IF($E566="","",IF(COUNTIF($E$2:$E566,$E566)=1,1,0))</f>
        <v/>
      </c>
      <c r="AP566">
        <f>IF($AO566=1,SUMPRODUCT(--($AS$2:$AS$1001&lt;$AS566))+1,"")</f>
        <v/>
      </c>
      <c r="AQ566">
        <f>IF($E566="","",IF(OR($V566=TRUE(),$V566="TRUE"),1,0))</f>
        <v/>
      </c>
      <c r="AR566">
        <f>IF($E566="","",IF($AE566="Yes",1,0))</f>
        <v/>
      </c>
      <c r="AS566">
        <f>IF($AO566=1,IFERROR(IF(VALUE($E566)&lt;100000000,VALUE($E566),1000000000),IFERROR(IF(VALUE(MID($E566,2,20))&lt;100000000,VALUE(MID($E566,2,20)),1000000000),1000000000))+ROW()/100000,"")</f>
        <v/>
      </c>
    </row>
    <row r="567">
      <c r="D567">
        <f>IF($E567="","",IFERROR(IF(INDEX('Per Invoice'!$A$2:$A$301,MATCH($E567,'Per Invoice'!$B$2:$B$301,0))=0,"",INDEX('Per Invoice'!$A$2:$A$301,MATCH($E567,'Per Invoice'!$B$2:$B$301,0))),""))</f>
        <v/>
      </c>
      <c r="H567" s="11" t="n"/>
      <c r="R567" s="7">
        <f>IF($E567="","",Q567*Z567/100)</f>
        <v/>
      </c>
      <c r="S567" s="7" t="n"/>
      <c r="Y567" s="7" t="n"/>
      <c r="Z567" s="7" t="n"/>
      <c r="AA567" s="7">
        <f>IF($E567="","",Z567*AF567/100)</f>
        <v/>
      </c>
      <c r="AB567" s="7">
        <f>IF($E567="","",Z567-AA567)</f>
        <v/>
      </c>
      <c r="AC567" s="7">
        <f>IF($E567="","",AB567-R567)</f>
        <v/>
      </c>
      <c r="AF567">
        <f>IF($E567="","",IF($AR567=1,0,IF($AQ567=1,Settings!$C$6,Settings!$C$7))*100)</f>
        <v/>
      </c>
      <c r="AJ567" s="7" t="n"/>
      <c r="AM567" s="11" t="n"/>
      <c r="AO567">
        <f>IF($E567="","",IF(COUNTIF($E$2:$E567,$E567)=1,1,0))</f>
        <v/>
      </c>
      <c r="AP567">
        <f>IF($AO567=1,SUMPRODUCT(--($AS$2:$AS$1001&lt;$AS567))+1,"")</f>
        <v/>
      </c>
      <c r="AQ567">
        <f>IF($E567="","",IF(OR($V567=TRUE(),$V567="TRUE"),1,0))</f>
        <v/>
      </c>
      <c r="AR567">
        <f>IF($E567="","",IF($AE567="Yes",1,0))</f>
        <v/>
      </c>
      <c r="AS567">
        <f>IF($AO567=1,IFERROR(IF(VALUE($E567)&lt;100000000,VALUE($E567),1000000000),IFERROR(IF(VALUE(MID($E567,2,20))&lt;100000000,VALUE(MID($E567,2,20)),1000000000),1000000000))+ROW()/100000,"")</f>
        <v/>
      </c>
    </row>
    <row r="568">
      <c r="D568">
        <f>IF($E568="","",IFERROR(IF(INDEX('Per Invoice'!$A$2:$A$301,MATCH($E568,'Per Invoice'!$B$2:$B$301,0))=0,"",INDEX('Per Invoice'!$A$2:$A$301,MATCH($E568,'Per Invoice'!$B$2:$B$301,0))),""))</f>
        <v/>
      </c>
      <c r="H568" s="11" t="n"/>
      <c r="R568" s="7">
        <f>IF($E568="","",Q568*Z568/100)</f>
        <v/>
      </c>
      <c r="S568" s="7" t="n"/>
      <c r="Y568" s="7" t="n"/>
      <c r="Z568" s="7" t="n"/>
      <c r="AA568" s="7">
        <f>IF($E568="","",Z568*AF568/100)</f>
        <v/>
      </c>
      <c r="AB568" s="7">
        <f>IF($E568="","",Z568-AA568)</f>
        <v/>
      </c>
      <c r="AC568" s="7">
        <f>IF($E568="","",AB568-R568)</f>
        <v/>
      </c>
      <c r="AF568">
        <f>IF($E568="","",IF($AR568=1,0,IF($AQ568=1,Settings!$C$6,Settings!$C$7))*100)</f>
        <v/>
      </c>
      <c r="AJ568" s="7" t="n"/>
      <c r="AM568" s="11" t="n"/>
      <c r="AO568">
        <f>IF($E568="","",IF(COUNTIF($E$2:$E568,$E568)=1,1,0))</f>
        <v/>
      </c>
      <c r="AP568">
        <f>IF($AO568=1,SUMPRODUCT(--($AS$2:$AS$1001&lt;$AS568))+1,"")</f>
        <v/>
      </c>
      <c r="AQ568">
        <f>IF($E568="","",IF(OR($V568=TRUE(),$V568="TRUE"),1,0))</f>
        <v/>
      </c>
      <c r="AR568">
        <f>IF($E568="","",IF($AE568="Yes",1,0))</f>
        <v/>
      </c>
      <c r="AS568">
        <f>IF($AO568=1,IFERROR(IF(VALUE($E568)&lt;100000000,VALUE($E568),1000000000),IFERROR(IF(VALUE(MID($E568,2,20))&lt;100000000,VALUE(MID($E568,2,20)),1000000000),1000000000))+ROW()/100000,"")</f>
        <v/>
      </c>
    </row>
    <row r="569">
      <c r="D569">
        <f>IF($E569="","",IFERROR(IF(INDEX('Per Invoice'!$A$2:$A$301,MATCH($E569,'Per Invoice'!$B$2:$B$301,0))=0,"",INDEX('Per Invoice'!$A$2:$A$301,MATCH($E569,'Per Invoice'!$B$2:$B$301,0))),""))</f>
        <v/>
      </c>
      <c r="H569" s="11" t="n"/>
      <c r="R569" s="7">
        <f>IF($E569="","",Q569*Z569/100)</f>
        <v/>
      </c>
      <c r="S569" s="7" t="n"/>
      <c r="Y569" s="7" t="n"/>
      <c r="Z569" s="7" t="n"/>
      <c r="AA569" s="7">
        <f>IF($E569="","",Z569*AF569/100)</f>
        <v/>
      </c>
      <c r="AB569" s="7">
        <f>IF($E569="","",Z569-AA569)</f>
        <v/>
      </c>
      <c r="AC569" s="7">
        <f>IF($E569="","",AB569-R569)</f>
        <v/>
      </c>
      <c r="AF569">
        <f>IF($E569="","",IF($AR569=1,0,IF($AQ569=1,Settings!$C$6,Settings!$C$7))*100)</f>
        <v/>
      </c>
      <c r="AJ569" s="7" t="n"/>
      <c r="AM569" s="11" t="n"/>
      <c r="AO569">
        <f>IF($E569="","",IF(COUNTIF($E$2:$E569,$E569)=1,1,0))</f>
        <v/>
      </c>
      <c r="AP569">
        <f>IF($AO569=1,SUMPRODUCT(--($AS$2:$AS$1001&lt;$AS569))+1,"")</f>
        <v/>
      </c>
      <c r="AQ569">
        <f>IF($E569="","",IF(OR($V569=TRUE(),$V569="TRUE"),1,0))</f>
        <v/>
      </c>
      <c r="AR569">
        <f>IF($E569="","",IF($AE569="Yes",1,0))</f>
        <v/>
      </c>
      <c r="AS569">
        <f>IF($AO569=1,IFERROR(IF(VALUE($E569)&lt;100000000,VALUE($E569),1000000000),IFERROR(IF(VALUE(MID($E569,2,20))&lt;100000000,VALUE(MID($E569,2,20)),1000000000),1000000000))+ROW()/100000,"")</f>
        <v/>
      </c>
    </row>
    <row r="570">
      <c r="D570">
        <f>IF($E570="","",IFERROR(IF(INDEX('Per Invoice'!$A$2:$A$301,MATCH($E570,'Per Invoice'!$B$2:$B$301,0))=0,"",INDEX('Per Invoice'!$A$2:$A$301,MATCH($E570,'Per Invoice'!$B$2:$B$301,0))),""))</f>
        <v/>
      </c>
      <c r="H570" s="11" t="n"/>
      <c r="R570" s="7">
        <f>IF($E570="","",Q570*Z570/100)</f>
        <v/>
      </c>
      <c r="S570" s="7" t="n"/>
      <c r="Y570" s="7" t="n"/>
      <c r="Z570" s="7" t="n"/>
      <c r="AA570" s="7">
        <f>IF($E570="","",Z570*AF570/100)</f>
        <v/>
      </c>
      <c r="AB570" s="7">
        <f>IF($E570="","",Z570-AA570)</f>
        <v/>
      </c>
      <c r="AC570" s="7">
        <f>IF($E570="","",AB570-R570)</f>
        <v/>
      </c>
      <c r="AF570">
        <f>IF($E570="","",IF($AR570=1,0,IF($AQ570=1,Settings!$C$6,Settings!$C$7))*100)</f>
        <v/>
      </c>
      <c r="AJ570" s="7" t="n"/>
      <c r="AM570" s="11" t="n"/>
      <c r="AO570">
        <f>IF($E570="","",IF(COUNTIF($E$2:$E570,$E570)=1,1,0))</f>
        <v/>
      </c>
      <c r="AP570">
        <f>IF($AO570=1,SUMPRODUCT(--($AS$2:$AS$1001&lt;$AS570))+1,"")</f>
        <v/>
      </c>
      <c r="AQ570">
        <f>IF($E570="","",IF(OR($V570=TRUE(),$V570="TRUE"),1,0))</f>
        <v/>
      </c>
      <c r="AR570">
        <f>IF($E570="","",IF($AE570="Yes",1,0))</f>
        <v/>
      </c>
      <c r="AS570">
        <f>IF($AO570=1,IFERROR(IF(VALUE($E570)&lt;100000000,VALUE($E570),1000000000),IFERROR(IF(VALUE(MID($E570,2,20))&lt;100000000,VALUE(MID($E570,2,20)),1000000000),1000000000))+ROW()/100000,"")</f>
        <v/>
      </c>
    </row>
    <row r="571">
      <c r="D571">
        <f>IF($E571="","",IFERROR(IF(INDEX('Per Invoice'!$A$2:$A$301,MATCH($E571,'Per Invoice'!$B$2:$B$301,0))=0,"",INDEX('Per Invoice'!$A$2:$A$301,MATCH($E571,'Per Invoice'!$B$2:$B$301,0))),""))</f>
        <v/>
      </c>
      <c r="H571" s="11" t="n"/>
      <c r="R571" s="7">
        <f>IF($E571="","",Q571*Z571/100)</f>
        <v/>
      </c>
      <c r="S571" s="7" t="n"/>
      <c r="Y571" s="7" t="n"/>
      <c r="Z571" s="7" t="n"/>
      <c r="AA571" s="7">
        <f>IF($E571="","",Z571*AF571/100)</f>
        <v/>
      </c>
      <c r="AB571" s="7">
        <f>IF($E571="","",Z571-AA571)</f>
        <v/>
      </c>
      <c r="AC571" s="7">
        <f>IF($E571="","",AB571-R571)</f>
        <v/>
      </c>
      <c r="AF571">
        <f>IF($E571="","",IF($AR571=1,0,IF($AQ571=1,Settings!$C$6,Settings!$C$7))*100)</f>
        <v/>
      </c>
      <c r="AJ571" s="7" t="n"/>
      <c r="AM571" s="11" t="n"/>
      <c r="AO571">
        <f>IF($E571="","",IF(COUNTIF($E$2:$E571,$E571)=1,1,0))</f>
        <v/>
      </c>
      <c r="AP571">
        <f>IF($AO571=1,SUMPRODUCT(--($AS$2:$AS$1001&lt;$AS571))+1,"")</f>
        <v/>
      </c>
      <c r="AQ571">
        <f>IF($E571="","",IF(OR($V571=TRUE(),$V571="TRUE"),1,0))</f>
        <v/>
      </c>
      <c r="AR571">
        <f>IF($E571="","",IF($AE571="Yes",1,0))</f>
        <v/>
      </c>
      <c r="AS571">
        <f>IF($AO571=1,IFERROR(IF(VALUE($E571)&lt;100000000,VALUE($E571),1000000000),IFERROR(IF(VALUE(MID($E571,2,20))&lt;100000000,VALUE(MID($E571,2,20)),1000000000),1000000000))+ROW()/100000,"")</f>
        <v/>
      </c>
    </row>
    <row r="572">
      <c r="D572">
        <f>IF($E572="","",IFERROR(IF(INDEX('Per Invoice'!$A$2:$A$301,MATCH($E572,'Per Invoice'!$B$2:$B$301,0))=0,"",INDEX('Per Invoice'!$A$2:$A$301,MATCH($E572,'Per Invoice'!$B$2:$B$301,0))),""))</f>
        <v/>
      </c>
      <c r="H572" s="11" t="n"/>
      <c r="R572" s="7">
        <f>IF($E572="","",Q572*Z572/100)</f>
        <v/>
      </c>
      <c r="S572" s="7" t="n"/>
      <c r="Y572" s="7" t="n"/>
      <c r="Z572" s="7" t="n"/>
      <c r="AA572" s="7">
        <f>IF($E572="","",Z572*AF572/100)</f>
        <v/>
      </c>
      <c r="AB572" s="7">
        <f>IF($E572="","",Z572-AA572)</f>
        <v/>
      </c>
      <c r="AC572" s="7">
        <f>IF($E572="","",AB572-R572)</f>
        <v/>
      </c>
      <c r="AF572">
        <f>IF($E572="","",IF($AR572=1,0,IF($AQ572=1,Settings!$C$6,Settings!$C$7))*100)</f>
        <v/>
      </c>
      <c r="AJ572" s="7" t="n"/>
      <c r="AM572" s="11" t="n"/>
      <c r="AO572">
        <f>IF($E572="","",IF(COUNTIF($E$2:$E572,$E572)=1,1,0))</f>
        <v/>
      </c>
      <c r="AP572">
        <f>IF($AO572=1,SUMPRODUCT(--($AS$2:$AS$1001&lt;$AS572))+1,"")</f>
        <v/>
      </c>
      <c r="AQ572">
        <f>IF($E572="","",IF(OR($V572=TRUE(),$V572="TRUE"),1,0))</f>
        <v/>
      </c>
      <c r="AR572">
        <f>IF($E572="","",IF($AE572="Yes",1,0))</f>
        <v/>
      </c>
      <c r="AS572">
        <f>IF($AO572=1,IFERROR(IF(VALUE($E572)&lt;100000000,VALUE($E572),1000000000),IFERROR(IF(VALUE(MID($E572,2,20))&lt;100000000,VALUE(MID($E572,2,20)),1000000000),1000000000))+ROW()/100000,"")</f>
        <v/>
      </c>
    </row>
    <row r="573">
      <c r="D573">
        <f>IF($E573="","",IFERROR(IF(INDEX('Per Invoice'!$A$2:$A$301,MATCH($E573,'Per Invoice'!$B$2:$B$301,0))=0,"",INDEX('Per Invoice'!$A$2:$A$301,MATCH($E573,'Per Invoice'!$B$2:$B$301,0))),""))</f>
        <v/>
      </c>
      <c r="H573" s="11" t="n"/>
      <c r="R573" s="7">
        <f>IF($E573="","",Q573*Z573/100)</f>
        <v/>
      </c>
      <c r="S573" s="7" t="n"/>
      <c r="Y573" s="7" t="n"/>
      <c r="Z573" s="7" t="n"/>
      <c r="AA573" s="7">
        <f>IF($E573="","",Z573*AF573/100)</f>
        <v/>
      </c>
      <c r="AB573" s="7">
        <f>IF($E573="","",Z573-AA573)</f>
        <v/>
      </c>
      <c r="AC573" s="7">
        <f>IF($E573="","",AB573-R573)</f>
        <v/>
      </c>
      <c r="AF573">
        <f>IF($E573="","",IF($AR573=1,0,IF($AQ573=1,Settings!$C$6,Settings!$C$7))*100)</f>
        <v/>
      </c>
      <c r="AJ573" s="7" t="n"/>
      <c r="AM573" s="11" t="n"/>
      <c r="AO573">
        <f>IF($E573="","",IF(COUNTIF($E$2:$E573,$E573)=1,1,0))</f>
        <v/>
      </c>
      <c r="AP573">
        <f>IF($AO573=1,SUMPRODUCT(--($AS$2:$AS$1001&lt;$AS573))+1,"")</f>
        <v/>
      </c>
      <c r="AQ573">
        <f>IF($E573="","",IF(OR($V573=TRUE(),$V573="TRUE"),1,0))</f>
        <v/>
      </c>
      <c r="AR573">
        <f>IF($E573="","",IF($AE573="Yes",1,0))</f>
        <v/>
      </c>
      <c r="AS573">
        <f>IF($AO573=1,IFERROR(IF(VALUE($E573)&lt;100000000,VALUE($E573),1000000000),IFERROR(IF(VALUE(MID($E573,2,20))&lt;100000000,VALUE(MID($E573,2,20)),1000000000),1000000000))+ROW()/100000,"")</f>
        <v/>
      </c>
    </row>
    <row r="574">
      <c r="D574">
        <f>IF($E574="","",IFERROR(IF(INDEX('Per Invoice'!$A$2:$A$301,MATCH($E574,'Per Invoice'!$B$2:$B$301,0))=0,"",INDEX('Per Invoice'!$A$2:$A$301,MATCH($E574,'Per Invoice'!$B$2:$B$301,0))),""))</f>
        <v/>
      </c>
      <c r="H574" s="11" t="n"/>
      <c r="R574" s="7">
        <f>IF($E574="","",Q574*Z574/100)</f>
        <v/>
      </c>
      <c r="S574" s="7" t="n"/>
      <c r="Y574" s="7" t="n"/>
      <c r="Z574" s="7" t="n"/>
      <c r="AA574" s="7">
        <f>IF($E574="","",Z574*AF574/100)</f>
        <v/>
      </c>
      <c r="AB574" s="7">
        <f>IF($E574="","",Z574-AA574)</f>
        <v/>
      </c>
      <c r="AC574" s="7">
        <f>IF($E574="","",AB574-R574)</f>
        <v/>
      </c>
      <c r="AF574">
        <f>IF($E574="","",IF($AR574=1,0,IF($AQ574=1,Settings!$C$6,Settings!$C$7))*100)</f>
        <v/>
      </c>
      <c r="AJ574" s="7" t="n"/>
      <c r="AM574" s="11" t="n"/>
      <c r="AO574">
        <f>IF($E574="","",IF(COUNTIF($E$2:$E574,$E574)=1,1,0))</f>
        <v/>
      </c>
      <c r="AP574">
        <f>IF($AO574=1,SUMPRODUCT(--($AS$2:$AS$1001&lt;$AS574))+1,"")</f>
        <v/>
      </c>
      <c r="AQ574">
        <f>IF($E574="","",IF(OR($V574=TRUE(),$V574="TRUE"),1,0))</f>
        <v/>
      </c>
      <c r="AR574">
        <f>IF($E574="","",IF($AE574="Yes",1,0))</f>
        <v/>
      </c>
      <c r="AS574">
        <f>IF($AO574=1,IFERROR(IF(VALUE($E574)&lt;100000000,VALUE($E574),1000000000),IFERROR(IF(VALUE(MID($E574,2,20))&lt;100000000,VALUE(MID($E574,2,20)),1000000000),1000000000))+ROW()/100000,"")</f>
        <v/>
      </c>
    </row>
    <row r="575">
      <c r="D575">
        <f>IF($E575="","",IFERROR(IF(INDEX('Per Invoice'!$A$2:$A$301,MATCH($E575,'Per Invoice'!$B$2:$B$301,0))=0,"",INDEX('Per Invoice'!$A$2:$A$301,MATCH($E575,'Per Invoice'!$B$2:$B$301,0))),""))</f>
        <v/>
      </c>
      <c r="H575" s="11" t="n"/>
      <c r="R575" s="7">
        <f>IF($E575="","",Q575*Z575/100)</f>
        <v/>
      </c>
      <c r="S575" s="7" t="n"/>
      <c r="Y575" s="7" t="n"/>
      <c r="Z575" s="7" t="n"/>
      <c r="AA575" s="7">
        <f>IF($E575="","",Z575*AF575/100)</f>
        <v/>
      </c>
      <c r="AB575" s="7">
        <f>IF($E575="","",Z575-AA575)</f>
        <v/>
      </c>
      <c r="AC575" s="7">
        <f>IF($E575="","",AB575-R575)</f>
        <v/>
      </c>
      <c r="AF575">
        <f>IF($E575="","",IF($AR575=1,0,IF($AQ575=1,Settings!$C$6,Settings!$C$7))*100)</f>
        <v/>
      </c>
      <c r="AJ575" s="7" t="n"/>
      <c r="AM575" s="11" t="n"/>
      <c r="AO575">
        <f>IF($E575="","",IF(COUNTIF($E$2:$E575,$E575)=1,1,0))</f>
        <v/>
      </c>
      <c r="AP575">
        <f>IF($AO575=1,SUMPRODUCT(--($AS$2:$AS$1001&lt;$AS575))+1,"")</f>
        <v/>
      </c>
      <c r="AQ575">
        <f>IF($E575="","",IF(OR($V575=TRUE(),$V575="TRUE"),1,0))</f>
        <v/>
      </c>
      <c r="AR575">
        <f>IF($E575="","",IF($AE575="Yes",1,0))</f>
        <v/>
      </c>
      <c r="AS575">
        <f>IF($AO575=1,IFERROR(IF(VALUE($E575)&lt;100000000,VALUE($E575),1000000000),IFERROR(IF(VALUE(MID($E575,2,20))&lt;100000000,VALUE(MID($E575,2,20)),1000000000),1000000000))+ROW()/100000,"")</f>
        <v/>
      </c>
    </row>
    <row r="576">
      <c r="D576">
        <f>IF($E576="","",IFERROR(IF(INDEX('Per Invoice'!$A$2:$A$301,MATCH($E576,'Per Invoice'!$B$2:$B$301,0))=0,"",INDEX('Per Invoice'!$A$2:$A$301,MATCH($E576,'Per Invoice'!$B$2:$B$301,0))),""))</f>
        <v/>
      </c>
      <c r="H576" s="11" t="n"/>
      <c r="R576" s="7">
        <f>IF($E576="","",Q576*Z576/100)</f>
        <v/>
      </c>
      <c r="S576" s="7" t="n"/>
      <c r="Y576" s="7" t="n"/>
      <c r="Z576" s="7" t="n"/>
      <c r="AA576" s="7">
        <f>IF($E576="","",Z576*AF576/100)</f>
        <v/>
      </c>
      <c r="AB576" s="7">
        <f>IF($E576="","",Z576-AA576)</f>
        <v/>
      </c>
      <c r="AC576" s="7">
        <f>IF($E576="","",AB576-R576)</f>
        <v/>
      </c>
      <c r="AF576">
        <f>IF($E576="","",IF($AR576=1,0,IF($AQ576=1,Settings!$C$6,Settings!$C$7))*100)</f>
        <v/>
      </c>
      <c r="AJ576" s="7" t="n"/>
      <c r="AM576" s="11" t="n"/>
      <c r="AO576">
        <f>IF($E576="","",IF(COUNTIF($E$2:$E576,$E576)=1,1,0))</f>
        <v/>
      </c>
      <c r="AP576">
        <f>IF($AO576=1,SUMPRODUCT(--($AS$2:$AS$1001&lt;$AS576))+1,"")</f>
        <v/>
      </c>
      <c r="AQ576">
        <f>IF($E576="","",IF(OR($V576=TRUE(),$V576="TRUE"),1,0))</f>
        <v/>
      </c>
      <c r="AR576">
        <f>IF($E576="","",IF($AE576="Yes",1,0))</f>
        <v/>
      </c>
      <c r="AS576">
        <f>IF($AO576=1,IFERROR(IF(VALUE($E576)&lt;100000000,VALUE($E576),1000000000),IFERROR(IF(VALUE(MID($E576,2,20))&lt;100000000,VALUE(MID($E576,2,20)),1000000000),1000000000))+ROW()/100000,"")</f>
        <v/>
      </c>
    </row>
    <row r="577">
      <c r="D577">
        <f>IF($E577="","",IFERROR(IF(INDEX('Per Invoice'!$A$2:$A$301,MATCH($E577,'Per Invoice'!$B$2:$B$301,0))=0,"",INDEX('Per Invoice'!$A$2:$A$301,MATCH($E577,'Per Invoice'!$B$2:$B$301,0))),""))</f>
        <v/>
      </c>
      <c r="H577" s="11" t="n"/>
      <c r="R577" s="7">
        <f>IF($E577="","",Q577*Z577/100)</f>
        <v/>
      </c>
      <c r="S577" s="7" t="n"/>
      <c r="Y577" s="7" t="n"/>
      <c r="Z577" s="7" t="n"/>
      <c r="AA577" s="7">
        <f>IF($E577="","",Z577*AF577/100)</f>
        <v/>
      </c>
      <c r="AB577" s="7">
        <f>IF($E577="","",Z577-AA577)</f>
        <v/>
      </c>
      <c r="AC577" s="7">
        <f>IF($E577="","",AB577-R577)</f>
        <v/>
      </c>
      <c r="AF577">
        <f>IF($E577="","",IF($AR577=1,0,IF($AQ577=1,Settings!$C$6,Settings!$C$7))*100)</f>
        <v/>
      </c>
      <c r="AJ577" s="7" t="n"/>
      <c r="AM577" s="11" t="n"/>
      <c r="AO577">
        <f>IF($E577="","",IF(COUNTIF($E$2:$E577,$E577)=1,1,0))</f>
        <v/>
      </c>
      <c r="AP577">
        <f>IF($AO577=1,SUMPRODUCT(--($AS$2:$AS$1001&lt;$AS577))+1,"")</f>
        <v/>
      </c>
      <c r="AQ577">
        <f>IF($E577="","",IF(OR($V577=TRUE(),$V577="TRUE"),1,0))</f>
        <v/>
      </c>
      <c r="AR577">
        <f>IF($E577="","",IF($AE577="Yes",1,0))</f>
        <v/>
      </c>
      <c r="AS577">
        <f>IF($AO577=1,IFERROR(IF(VALUE($E577)&lt;100000000,VALUE($E577),1000000000),IFERROR(IF(VALUE(MID($E577,2,20))&lt;100000000,VALUE(MID($E577,2,20)),1000000000),1000000000))+ROW()/100000,"")</f>
        <v/>
      </c>
    </row>
    <row r="578">
      <c r="D578">
        <f>IF($E578="","",IFERROR(IF(INDEX('Per Invoice'!$A$2:$A$301,MATCH($E578,'Per Invoice'!$B$2:$B$301,0))=0,"",INDEX('Per Invoice'!$A$2:$A$301,MATCH($E578,'Per Invoice'!$B$2:$B$301,0))),""))</f>
        <v/>
      </c>
      <c r="H578" s="11" t="n"/>
      <c r="R578" s="7">
        <f>IF($E578="","",Q578*Z578/100)</f>
        <v/>
      </c>
      <c r="S578" s="7" t="n"/>
      <c r="Y578" s="7" t="n"/>
      <c r="Z578" s="7" t="n"/>
      <c r="AA578" s="7">
        <f>IF($E578="","",Z578*AF578/100)</f>
        <v/>
      </c>
      <c r="AB578" s="7">
        <f>IF($E578="","",Z578-AA578)</f>
        <v/>
      </c>
      <c r="AC578" s="7">
        <f>IF($E578="","",AB578-R578)</f>
        <v/>
      </c>
      <c r="AF578">
        <f>IF($E578="","",IF($AR578=1,0,IF($AQ578=1,Settings!$C$6,Settings!$C$7))*100)</f>
        <v/>
      </c>
      <c r="AJ578" s="7" t="n"/>
      <c r="AM578" s="11" t="n"/>
      <c r="AO578">
        <f>IF($E578="","",IF(COUNTIF($E$2:$E578,$E578)=1,1,0))</f>
        <v/>
      </c>
      <c r="AP578">
        <f>IF($AO578=1,SUMPRODUCT(--($AS$2:$AS$1001&lt;$AS578))+1,"")</f>
        <v/>
      </c>
      <c r="AQ578">
        <f>IF($E578="","",IF(OR($V578=TRUE(),$V578="TRUE"),1,0))</f>
        <v/>
      </c>
      <c r="AR578">
        <f>IF($E578="","",IF($AE578="Yes",1,0))</f>
        <v/>
      </c>
      <c r="AS578">
        <f>IF($AO578=1,IFERROR(IF(VALUE($E578)&lt;100000000,VALUE($E578),1000000000),IFERROR(IF(VALUE(MID($E578,2,20))&lt;100000000,VALUE(MID($E578,2,20)),1000000000),1000000000))+ROW()/100000,"")</f>
        <v/>
      </c>
    </row>
    <row r="579">
      <c r="D579">
        <f>IF($E579="","",IFERROR(IF(INDEX('Per Invoice'!$A$2:$A$301,MATCH($E579,'Per Invoice'!$B$2:$B$301,0))=0,"",INDEX('Per Invoice'!$A$2:$A$301,MATCH($E579,'Per Invoice'!$B$2:$B$301,0))),""))</f>
        <v/>
      </c>
      <c r="H579" s="11" t="n"/>
      <c r="R579" s="7">
        <f>IF($E579="","",Q579*Z579/100)</f>
        <v/>
      </c>
      <c r="S579" s="7" t="n"/>
      <c r="Y579" s="7" t="n"/>
      <c r="Z579" s="7" t="n"/>
      <c r="AA579" s="7">
        <f>IF($E579="","",Z579*AF579/100)</f>
        <v/>
      </c>
      <c r="AB579" s="7">
        <f>IF($E579="","",Z579-AA579)</f>
        <v/>
      </c>
      <c r="AC579" s="7">
        <f>IF($E579="","",AB579-R579)</f>
        <v/>
      </c>
      <c r="AF579">
        <f>IF($E579="","",IF($AR579=1,0,IF($AQ579=1,Settings!$C$6,Settings!$C$7))*100)</f>
        <v/>
      </c>
      <c r="AJ579" s="7" t="n"/>
      <c r="AM579" s="11" t="n"/>
      <c r="AO579">
        <f>IF($E579="","",IF(COUNTIF($E$2:$E579,$E579)=1,1,0))</f>
        <v/>
      </c>
      <c r="AP579">
        <f>IF($AO579=1,SUMPRODUCT(--($AS$2:$AS$1001&lt;$AS579))+1,"")</f>
        <v/>
      </c>
      <c r="AQ579">
        <f>IF($E579="","",IF(OR($V579=TRUE(),$V579="TRUE"),1,0))</f>
        <v/>
      </c>
      <c r="AR579">
        <f>IF($E579="","",IF($AE579="Yes",1,0))</f>
        <v/>
      </c>
      <c r="AS579">
        <f>IF($AO579=1,IFERROR(IF(VALUE($E579)&lt;100000000,VALUE($E579),1000000000),IFERROR(IF(VALUE(MID($E579,2,20))&lt;100000000,VALUE(MID($E579,2,20)),1000000000),1000000000))+ROW()/100000,"")</f>
        <v/>
      </c>
    </row>
    <row r="580">
      <c r="D580">
        <f>IF($E580="","",IFERROR(IF(INDEX('Per Invoice'!$A$2:$A$301,MATCH($E580,'Per Invoice'!$B$2:$B$301,0))=0,"",INDEX('Per Invoice'!$A$2:$A$301,MATCH($E580,'Per Invoice'!$B$2:$B$301,0))),""))</f>
        <v/>
      </c>
      <c r="H580" s="11" t="n"/>
      <c r="R580" s="7">
        <f>IF($E580="","",Q580*Z580/100)</f>
        <v/>
      </c>
      <c r="S580" s="7" t="n"/>
      <c r="Y580" s="7" t="n"/>
      <c r="Z580" s="7" t="n"/>
      <c r="AA580" s="7">
        <f>IF($E580="","",Z580*AF580/100)</f>
        <v/>
      </c>
      <c r="AB580" s="7">
        <f>IF($E580="","",Z580-AA580)</f>
        <v/>
      </c>
      <c r="AC580" s="7">
        <f>IF($E580="","",AB580-R580)</f>
        <v/>
      </c>
      <c r="AF580">
        <f>IF($E580="","",IF($AR580=1,0,IF($AQ580=1,Settings!$C$6,Settings!$C$7))*100)</f>
        <v/>
      </c>
      <c r="AJ580" s="7" t="n"/>
      <c r="AM580" s="11" t="n"/>
      <c r="AO580">
        <f>IF($E580="","",IF(COUNTIF($E$2:$E580,$E580)=1,1,0))</f>
        <v/>
      </c>
      <c r="AP580">
        <f>IF($AO580=1,SUMPRODUCT(--($AS$2:$AS$1001&lt;$AS580))+1,"")</f>
        <v/>
      </c>
      <c r="AQ580">
        <f>IF($E580="","",IF(OR($V580=TRUE(),$V580="TRUE"),1,0))</f>
        <v/>
      </c>
      <c r="AR580">
        <f>IF($E580="","",IF($AE580="Yes",1,0))</f>
        <v/>
      </c>
      <c r="AS580">
        <f>IF($AO580=1,IFERROR(IF(VALUE($E580)&lt;100000000,VALUE($E580),1000000000),IFERROR(IF(VALUE(MID($E580,2,20))&lt;100000000,VALUE(MID($E580,2,20)),1000000000),1000000000))+ROW()/100000,"")</f>
        <v/>
      </c>
    </row>
    <row r="581">
      <c r="D581">
        <f>IF($E581="","",IFERROR(IF(INDEX('Per Invoice'!$A$2:$A$301,MATCH($E581,'Per Invoice'!$B$2:$B$301,0))=0,"",INDEX('Per Invoice'!$A$2:$A$301,MATCH($E581,'Per Invoice'!$B$2:$B$301,0))),""))</f>
        <v/>
      </c>
      <c r="H581" s="11" t="n"/>
      <c r="R581" s="7">
        <f>IF($E581="","",Q581*Z581/100)</f>
        <v/>
      </c>
      <c r="S581" s="7" t="n"/>
      <c r="Y581" s="7" t="n"/>
      <c r="Z581" s="7" t="n"/>
      <c r="AA581" s="7">
        <f>IF($E581="","",Z581*AF581/100)</f>
        <v/>
      </c>
      <c r="AB581" s="7">
        <f>IF($E581="","",Z581-AA581)</f>
        <v/>
      </c>
      <c r="AC581" s="7">
        <f>IF($E581="","",AB581-R581)</f>
        <v/>
      </c>
      <c r="AF581">
        <f>IF($E581="","",IF($AR581=1,0,IF($AQ581=1,Settings!$C$6,Settings!$C$7))*100)</f>
        <v/>
      </c>
      <c r="AJ581" s="7" t="n"/>
      <c r="AM581" s="11" t="n"/>
      <c r="AO581">
        <f>IF($E581="","",IF(COUNTIF($E$2:$E581,$E581)=1,1,0))</f>
        <v/>
      </c>
      <c r="AP581">
        <f>IF($AO581=1,SUMPRODUCT(--($AS$2:$AS$1001&lt;$AS581))+1,"")</f>
        <v/>
      </c>
      <c r="AQ581">
        <f>IF($E581="","",IF(OR($V581=TRUE(),$V581="TRUE"),1,0))</f>
        <v/>
      </c>
      <c r="AR581">
        <f>IF($E581="","",IF($AE581="Yes",1,0))</f>
        <v/>
      </c>
      <c r="AS581">
        <f>IF($AO581=1,IFERROR(IF(VALUE($E581)&lt;100000000,VALUE($E581),1000000000),IFERROR(IF(VALUE(MID($E581,2,20))&lt;100000000,VALUE(MID($E581,2,20)),1000000000),1000000000))+ROW()/100000,"")</f>
        <v/>
      </c>
    </row>
    <row r="582">
      <c r="D582">
        <f>IF($E582="","",IFERROR(IF(INDEX('Per Invoice'!$A$2:$A$301,MATCH($E582,'Per Invoice'!$B$2:$B$301,0))=0,"",INDEX('Per Invoice'!$A$2:$A$301,MATCH($E582,'Per Invoice'!$B$2:$B$301,0))),""))</f>
        <v/>
      </c>
      <c r="H582" s="11" t="n"/>
      <c r="R582" s="7">
        <f>IF($E582="","",Q582*Z582/100)</f>
        <v/>
      </c>
      <c r="S582" s="7" t="n"/>
      <c r="Y582" s="7" t="n"/>
      <c r="Z582" s="7" t="n"/>
      <c r="AA582" s="7">
        <f>IF($E582="","",Z582*AF582/100)</f>
        <v/>
      </c>
      <c r="AB582" s="7">
        <f>IF($E582="","",Z582-AA582)</f>
        <v/>
      </c>
      <c r="AC582" s="7">
        <f>IF($E582="","",AB582-R582)</f>
        <v/>
      </c>
      <c r="AF582">
        <f>IF($E582="","",IF($AR582=1,0,IF($AQ582=1,Settings!$C$6,Settings!$C$7))*100)</f>
        <v/>
      </c>
      <c r="AJ582" s="7" t="n"/>
      <c r="AM582" s="11" t="n"/>
      <c r="AO582">
        <f>IF($E582="","",IF(COUNTIF($E$2:$E582,$E582)=1,1,0))</f>
        <v/>
      </c>
      <c r="AP582">
        <f>IF($AO582=1,SUMPRODUCT(--($AS$2:$AS$1001&lt;$AS582))+1,"")</f>
        <v/>
      </c>
      <c r="AQ582">
        <f>IF($E582="","",IF(OR($V582=TRUE(),$V582="TRUE"),1,0))</f>
        <v/>
      </c>
      <c r="AR582">
        <f>IF($E582="","",IF($AE582="Yes",1,0))</f>
        <v/>
      </c>
      <c r="AS582">
        <f>IF($AO582=1,IFERROR(IF(VALUE($E582)&lt;100000000,VALUE($E582),1000000000),IFERROR(IF(VALUE(MID($E582,2,20))&lt;100000000,VALUE(MID($E582,2,20)),1000000000),1000000000))+ROW()/100000,"")</f>
        <v/>
      </c>
    </row>
    <row r="583">
      <c r="D583">
        <f>IF($E583="","",IFERROR(IF(INDEX('Per Invoice'!$A$2:$A$301,MATCH($E583,'Per Invoice'!$B$2:$B$301,0))=0,"",INDEX('Per Invoice'!$A$2:$A$301,MATCH($E583,'Per Invoice'!$B$2:$B$301,0))),""))</f>
        <v/>
      </c>
      <c r="H583" s="11" t="n"/>
      <c r="R583" s="7">
        <f>IF($E583="","",Q583*Z583/100)</f>
        <v/>
      </c>
      <c r="S583" s="7" t="n"/>
      <c r="Y583" s="7" t="n"/>
      <c r="Z583" s="7" t="n"/>
      <c r="AA583" s="7">
        <f>IF($E583="","",Z583*AF583/100)</f>
        <v/>
      </c>
      <c r="AB583" s="7">
        <f>IF($E583="","",Z583-AA583)</f>
        <v/>
      </c>
      <c r="AC583" s="7">
        <f>IF($E583="","",AB583-R583)</f>
        <v/>
      </c>
      <c r="AF583">
        <f>IF($E583="","",IF($AR583=1,0,IF($AQ583=1,Settings!$C$6,Settings!$C$7))*100)</f>
        <v/>
      </c>
      <c r="AJ583" s="7" t="n"/>
      <c r="AM583" s="11" t="n"/>
      <c r="AO583">
        <f>IF($E583="","",IF(COUNTIF($E$2:$E583,$E583)=1,1,0))</f>
        <v/>
      </c>
      <c r="AP583">
        <f>IF($AO583=1,SUMPRODUCT(--($AS$2:$AS$1001&lt;$AS583))+1,"")</f>
        <v/>
      </c>
      <c r="AQ583">
        <f>IF($E583="","",IF(OR($V583=TRUE(),$V583="TRUE"),1,0))</f>
        <v/>
      </c>
      <c r="AR583">
        <f>IF($E583="","",IF($AE583="Yes",1,0))</f>
        <v/>
      </c>
      <c r="AS583">
        <f>IF($AO583=1,IFERROR(IF(VALUE($E583)&lt;100000000,VALUE($E583),1000000000),IFERROR(IF(VALUE(MID($E583,2,20))&lt;100000000,VALUE(MID($E583,2,20)),1000000000),1000000000))+ROW()/100000,"")</f>
        <v/>
      </c>
    </row>
    <row r="584">
      <c r="D584">
        <f>IF($E584="","",IFERROR(IF(INDEX('Per Invoice'!$A$2:$A$301,MATCH($E584,'Per Invoice'!$B$2:$B$301,0))=0,"",INDEX('Per Invoice'!$A$2:$A$301,MATCH($E584,'Per Invoice'!$B$2:$B$301,0))),""))</f>
        <v/>
      </c>
      <c r="H584" s="11" t="n"/>
      <c r="R584" s="7">
        <f>IF($E584="","",Q584*Z584/100)</f>
        <v/>
      </c>
      <c r="S584" s="7" t="n"/>
      <c r="Y584" s="7" t="n"/>
      <c r="Z584" s="7" t="n"/>
      <c r="AA584" s="7">
        <f>IF($E584="","",Z584*AF584/100)</f>
        <v/>
      </c>
      <c r="AB584" s="7">
        <f>IF($E584="","",Z584-AA584)</f>
        <v/>
      </c>
      <c r="AC584" s="7">
        <f>IF($E584="","",AB584-R584)</f>
        <v/>
      </c>
      <c r="AF584">
        <f>IF($E584="","",IF($AR584=1,0,IF($AQ584=1,Settings!$C$6,Settings!$C$7))*100)</f>
        <v/>
      </c>
      <c r="AJ584" s="7" t="n"/>
      <c r="AM584" s="11" t="n"/>
      <c r="AO584">
        <f>IF($E584="","",IF(COUNTIF($E$2:$E584,$E584)=1,1,0))</f>
        <v/>
      </c>
      <c r="AP584">
        <f>IF($AO584=1,SUMPRODUCT(--($AS$2:$AS$1001&lt;$AS584))+1,"")</f>
        <v/>
      </c>
      <c r="AQ584">
        <f>IF($E584="","",IF(OR($V584=TRUE(),$V584="TRUE"),1,0))</f>
        <v/>
      </c>
      <c r="AR584">
        <f>IF($E584="","",IF($AE584="Yes",1,0))</f>
        <v/>
      </c>
      <c r="AS584">
        <f>IF($AO584=1,IFERROR(IF(VALUE($E584)&lt;100000000,VALUE($E584),1000000000),IFERROR(IF(VALUE(MID($E584,2,20))&lt;100000000,VALUE(MID($E584,2,20)),1000000000),1000000000))+ROW()/100000,"")</f>
        <v/>
      </c>
    </row>
    <row r="585">
      <c r="D585">
        <f>IF($E585="","",IFERROR(IF(INDEX('Per Invoice'!$A$2:$A$301,MATCH($E585,'Per Invoice'!$B$2:$B$301,0))=0,"",INDEX('Per Invoice'!$A$2:$A$301,MATCH($E585,'Per Invoice'!$B$2:$B$301,0))),""))</f>
        <v/>
      </c>
      <c r="H585" s="11" t="n"/>
      <c r="R585" s="7">
        <f>IF($E585="","",Q585*Z585/100)</f>
        <v/>
      </c>
      <c r="S585" s="7" t="n"/>
      <c r="Y585" s="7" t="n"/>
      <c r="Z585" s="7" t="n"/>
      <c r="AA585" s="7">
        <f>IF($E585="","",Z585*AF585/100)</f>
        <v/>
      </c>
      <c r="AB585" s="7">
        <f>IF($E585="","",Z585-AA585)</f>
        <v/>
      </c>
      <c r="AC585" s="7">
        <f>IF($E585="","",AB585-R585)</f>
        <v/>
      </c>
      <c r="AF585">
        <f>IF($E585="","",IF($AR585=1,0,IF($AQ585=1,Settings!$C$6,Settings!$C$7))*100)</f>
        <v/>
      </c>
      <c r="AJ585" s="7" t="n"/>
      <c r="AM585" s="11" t="n"/>
      <c r="AO585">
        <f>IF($E585="","",IF(COUNTIF($E$2:$E585,$E585)=1,1,0))</f>
        <v/>
      </c>
      <c r="AP585">
        <f>IF($AO585=1,SUMPRODUCT(--($AS$2:$AS$1001&lt;$AS585))+1,"")</f>
        <v/>
      </c>
      <c r="AQ585">
        <f>IF($E585="","",IF(OR($V585=TRUE(),$V585="TRUE"),1,0))</f>
        <v/>
      </c>
      <c r="AR585">
        <f>IF($E585="","",IF($AE585="Yes",1,0))</f>
        <v/>
      </c>
      <c r="AS585">
        <f>IF($AO585=1,IFERROR(IF(VALUE($E585)&lt;100000000,VALUE($E585),1000000000),IFERROR(IF(VALUE(MID($E585,2,20))&lt;100000000,VALUE(MID($E585,2,20)),1000000000),1000000000))+ROW()/100000,"")</f>
        <v/>
      </c>
    </row>
    <row r="586">
      <c r="D586">
        <f>IF($E586="","",IFERROR(IF(INDEX('Per Invoice'!$A$2:$A$301,MATCH($E586,'Per Invoice'!$B$2:$B$301,0))=0,"",INDEX('Per Invoice'!$A$2:$A$301,MATCH($E586,'Per Invoice'!$B$2:$B$301,0))),""))</f>
        <v/>
      </c>
      <c r="H586" s="11" t="n"/>
      <c r="R586" s="7">
        <f>IF($E586="","",Q586*Z586/100)</f>
        <v/>
      </c>
      <c r="S586" s="7" t="n"/>
      <c r="Y586" s="7" t="n"/>
      <c r="Z586" s="7" t="n"/>
      <c r="AA586" s="7">
        <f>IF($E586="","",Z586*AF586/100)</f>
        <v/>
      </c>
      <c r="AB586" s="7">
        <f>IF($E586="","",Z586-AA586)</f>
        <v/>
      </c>
      <c r="AC586" s="7">
        <f>IF($E586="","",AB586-R586)</f>
        <v/>
      </c>
      <c r="AF586">
        <f>IF($E586="","",IF($AR586=1,0,IF($AQ586=1,Settings!$C$6,Settings!$C$7))*100)</f>
        <v/>
      </c>
      <c r="AJ586" s="7" t="n"/>
      <c r="AM586" s="11" t="n"/>
      <c r="AO586">
        <f>IF($E586="","",IF(COUNTIF($E$2:$E586,$E586)=1,1,0))</f>
        <v/>
      </c>
      <c r="AP586">
        <f>IF($AO586=1,SUMPRODUCT(--($AS$2:$AS$1001&lt;$AS586))+1,"")</f>
        <v/>
      </c>
      <c r="AQ586">
        <f>IF($E586="","",IF(OR($V586=TRUE(),$V586="TRUE"),1,0))</f>
        <v/>
      </c>
      <c r="AR586">
        <f>IF($E586="","",IF($AE586="Yes",1,0))</f>
        <v/>
      </c>
      <c r="AS586">
        <f>IF($AO586=1,IFERROR(IF(VALUE($E586)&lt;100000000,VALUE($E586),1000000000),IFERROR(IF(VALUE(MID($E586,2,20))&lt;100000000,VALUE(MID($E586,2,20)),1000000000),1000000000))+ROW()/100000,"")</f>
        <v/>
      </c>
    </row>
    <row r="587">
      <c r="D587">
        <f>IF($E587="","",IFERROR(IF(INDEX('Per Invoice'!$A$2:$A$301,MATCH($E587,'Per Invoice'!$B$2:$B$301,0))=0,"",INDEX('Per Invoice'!$A$2:$A$301,MATCH($E587,'Per Invoice'!$B$2:$B$301,0))),""))</f>
        <v/>
      </c>
      <c r="H587" s="11" t="n"/>
      <c r="R587" s="7">
        <f>IF($E587="","",Q587*Z587/100)</f>
        <v/>
      </c>
      <c r="S587" s="7" t="n"/>
      <c r="Y587" s="7" t="n"/>
      <c r="Z587" s="7" t="n"/>
      <c r="AA587" s="7">
        <f>IF($E587="","",Z587*AF587/100)</f>
        <v/>
      </c>
      <c r="AB587" s="7">
        <f>IF($E587="","",Z587-AA587)</f>
        <v/>
      </c>
      <c r="AC587" s="7">
        <f>IF($E587="","",AB587-R587)</f>
        <v/>
      </c>
      <c r="AF587">
        <f>IF($E587="","",IF($AR587=1,0,IF($AQ587=1,Settings!$C$6,Settings!$C$7))*100)</f>
        <v/>
      </c>
      <c r="AJ587" s="7" t="n"/>
      <c r="AM587" s="11" t="n"/>
      <c r="AO587">
        <f>IF($E587="","",IF(COUNTIF($E$2:$E587,$E587)=1,1,0))</f>
        <v/>
      </c>
      <c r="AP587">
        <f>IF($AO587=1,SUMPRODUCT(--($AS$2:$AS$1001&lt;$AS587))+1,"")</f>
        <v/>
      </c>
      <c r="AQ587">
        <f>IF($E587="","",IF(OR($V587=TRUE(),$V587="TRUE"),1,0))</f>
        <v/>
      </c>
      <c r="AR587">
        <f>IF($E587="","",IF($AE587="Yes",1,0))</f>
        <v/>
      </c>
      <c r="AS587">
        <f>IF($AO587=1,IFERROR(IF(VALUE($E587)&lt;100000000,VALUE($E587),1000000000),IFERROR(IF(VALUE(MID($E587,2,20))&lt;100000000,VALUE(MID($E587,2,20)),1000000000),1000000000))+ROW()/100000,"")</f>
        <v/>
      </c>
    </row>
    <row r="588">
      <c r="D588">
        <f>IF($E588="","",IFERROR(IF(INDEX('Per Invoice'!$A$2:$A$301,MATCH($E588,'Per Invoice'!$B$2:$B$301,0))=0,"",INDEX('Per Invoice'!$A$2:$A$301,MATCH($E588,'Per Invoice'!$B$2:$B$301,0))),""))</f>
        <v/>
      </c>
      <c r="H588" s="11" t="n"/>
      <c r="R588" s="7">
        <f>IF($E588="","",Q588*Z588/100)</f>
        <v/>
      </c>
      <c r="S588" s="7" t="n"/>
      <c r="Y588" s="7" t="n"/>
      <c r="Z588" s="7" t="n"/>
      <c r="AA588" s="7">
        <f>IF($E588="","",Z588*AF588/100)</f>
        <v/>
      </c>
      <c r="AB588" s="7">
        <f>IF($E588="","",Z588-AA588)</f>
        <v/>
      </c>
      <c r="AC588" s="7">
        <f>IF($E588="","",AB588-R588)</f>
        <v/>
      </c>
      <c r="AF588">
        <f>IF($E588="","",IF($AR588=1,0,IF($AQ588=1,Settings!$C$6,Settings!$C$7))*100)</f>
        <v/>
      </c>
      <c r="AJ588" s="7" t="n"/>
      <c r="AM588" s="11" t="n"/>
      <c r="AO588">
        <f>IF($E588="","",IF(COUNTIF($E$2:$E588,$E588)=1,1,0))</f>
        <v/>
      </c>
      <c r="AP588">
        <f>IF($AO588=1,SUMPRODUCT(--($AS$2:$AS$1001&lt;$AS588))+1,"")</f>
        <v/>
      </c>
      <c r="AQ588">
        <f>IF($E588="","",IF(OR($V588=TRUE(),$V588="TRUE"),1,0))</f>
        <v/>
      </c>
      <c r="AR588">
        <f>IF($E588="","",IF($AE588="Yes",1,0))</f>
        <v/>
      </c>
      <c r="AS588">
        <f>IF($AO588=1,IFERROR(IF(VALUE($E588)&lt;100000000,VALUE($E588),1000000000),IFERROR(IF(VALUE(MID($E588,2,20))&lt;100000000,VALUE(MID($E588,2,20)),1000000000),1000000000))+ROW()/100000,"")</f>
        <v/>
      </c>
    </row>
    <row r="589">
      <c r="D589">
        <f>IF($E589="","",IFERROR(IF(INDEX('Per Invoice'!$A$2:$A$301,MATCH($E589,'Per Invoice'!$B$2:$B$301,0))=0,"",INDEX('Per Invoice'!$A$2:$A$301,MATCH($E589,'Per Invoice'!$B$2:$B$301,0))),""))</f>
        <v/>
      </c>
      <c r="H589" s="11" t="n"/>
      <c r="R589" s="7">
        <f>IF($E589="","",Q589*Z589/100)</f>
        <v/>
      </c>
      <c r="S589" s="7" t="n"/>
      <c r="Y589" s="7" t="n"/>
      <c r="Z589" s="7" t="n"/>
      <c r="AA589" s="7">
        <f>IF($E589="","",Z589*AF589/100)</f>
        <v/>
      </c>
      <c r="AB589" s="7">
        <f>IF($E589="","",Z589-AA589)</f>
        <v/>
      </c>
      <c r="AC589" s="7">
        <f>IF($E589="","",AB589-R589)</f>
        <v/>
      </c>
      <c r="AF589">
        <f>IF($E589="","",IF($AR589=1,0,IF($AQ589=1,Settings!$C$6,Settings!$C$7))*100)</f>
        <v/>
      </c>
      <c r="AJ589" s="7" t="n"/>
      <c r="AM589" s="11" t="n"/>
      <c r="AO589">
        <f>IF($E589="","",IF(COUNTIF($E$2:$E589,$E589)=1,1,0))</f>
        <v/>
      </c>
      <c r="AP589">
        <f>IF($AO589=1,SUMPRODUCT(--($AS$2:$AS$1001&lt;$AS589))+1,"")</f>
        <v/>
      </c>
      <c r="AQ589">
        <f>IF($E589="","",IF(OR($V589=TRUE(),$V589="TRUE"),1,0))</f>
        <v/>
      </c>
      <c r="AR589">
        <f>IF($E589="","",IF($AE589="Yes",1,0))</f>
        <v/>
      </c>
      <c r="AS589">
        <f>IF($AO589=1,IFERROR(IF(VALUE($E589)&lt;100000000,VALUE($E589),1000000000),IFERROR(IF(VALUE(MID($E589,2,20))&lt;100000000,VALUE(MID($E589,2,20)),1000000000),1000000000))+ROW()/100000,"")</f>
        <v/>
      </c>
    </row>
    <row r="590">
      <c r="D590">
        <f>IF($E590="","",IFERROR(IF(INDEX('Per Invoice'!$A$2:$A$301,MATCH($E590,'Per Invoice'!$B$2:$B$301,0))=0,"",INDEX('Per Invoice'!$A$2:$A$301,MATCH($E590,'Per Invoice'!$B$2:$B$301,0))),""))</f>
        <v/>
      </c>
      <c r="H590" s="11" t="n"/>
      <c r="R590" s="7">
        <f>IF($E590="","",Q590*Z590/100)</f>
        <v/>
      </c>
      <c r="S590" s="7" t="n"/>
      <c r="Y590" s="7" t="n"/>
      <c r="Z590" s="7" t="n"/>
      <c r="AA590" s="7">
        <f>IF($E590="","",Z590*AF590/100)</f>
        <v/>
      </c>
      <c r="AB590" s="7">
        <f>IF($E590="","",Z590-AA590)</f>
        <v/>
      </c>
      <c r="AC590" s="7">
        <f>IF($E590="","",AB590-R590)</f>
        <v/>
      </c>
      <c r="AF590">
        <f>IF($E590="","",IF($AR590=1,0,IF($AQ590=1,Settings!$C$6,Settings!$C$7))*100)</f>
        <v/>
      </c>
      <c r="AJ590" s="7" t="n"/>
      <c r="AM590" s="11" t="n"/>
      <c r="AO590">
        <f>IF($E590="","",IF(COUNTIF($E$2:$E590,$E590)=1,1,0))</f>
        <v/>
      </c>
      <c r="AP590">
        <f>IF($AO590=1,SUMPRODUCT(--($AS$2:$AS$1001&lt;$AS590))+1,"")</f>
        <v/>
      </c>
      <c r="AQ590">
        <f>IF($E590="","",IF(OR($V590=TRUE(),$V590="TRUE"),1,0))</f>
        <v/>
      </c>
      <c r="AR590">
        <f>IF($E590="","",IF($AE590="Yes",1,0))</f>
        <v/>
      </c>
      <c r="AS590">
        <f>IF($AO590=1,IFERROR(IF(VALUE($E590)&lt;100000000,VALUE($E590),1000000000),IFERROR(IF(VALUE(MID($E590,2,20))&lt;100000000,VALUE(MID($E590,2,20)),1000000000),1000000000))+ROW()/100000,"")</f>
        <v/>
      </c>
    </row>
    <row r="591">
      <c r="D591">
        <f>IF($E591="","",IFERROR(IF(INDEX('Per Invoice'!$A$2:$A$301,MATCH($E591,'Per Invoice'!$B$2:$B$301,0))=0,"",INDEX('Per Invoice'!$A$2:$A$301,MATCH($E591,'Per Invoice'!$B$2:$B$301,0))),""))</f>
        <v/>
      </c>
      <c r="H591" s="11" t="n"/>
      <c r="R591" s="7">
        <f>IF($E591="","",Q591*Z591/100)</f>
        <v/>
      </c>
      <c r="S591" s="7" t="n"/>
      <c r="Y591" s="7" t="n"/>
      <c r="Z591" s="7" t="n"/>
      <c r="AA591" s="7">
        <f>IF($E591="","",Z591*AF591/100)</f>
        <v/>
      </c>
      <c r="AB591" s="7">
        <f>IF($E591="","",Z591-AA591)</f>
        <v/>
      </c>
      <c r="AC591" s="7">
        <f>IF($E591="","",AB591-R591)</f>
        <v/>
      </c>
      <c r="AF591">
        <f>IF($E591="","",IF($AR591=1,0,IF($AQ591=1,Settings!$C$6,Settings!$C$7))*100)</f>
        <v/>
      </c>
      <c r="AJ591" s="7" t="n"/>
      <c r="AM591" s="11" t="n"/>
      <c r="AO591">
        <f>IF($E591="","",IF(COUNTIF($E$2:$E591,$E591)=1,1,0))</f>
        <v/>
      </c>
      <c r="AP591">
        <f>IF($AO591=1,SUMPRODUCT(--($AS$2:$AS$1001&lt;$AS591))+1,"")</f>
        <v/>
      </c>
      <c r="AQ591">
        <f>IF($E591="","",IF(OR($V591=TRUE(),$V591="TRUE"),1,0))</f>
        <v/>
      </c>
      <c r="AR591">
        <f>IF($E591="","",IF($AE591="Yes",1,0))</f>
        <v/>
      </c>
      <c r="AS591">
        <f>IF($AO591=1,IFERROR(IF(VALUE($E591)&lt;100000000,VALUE($E591),1000000000),IFERROR(IF(VALUE(MID($E591,2,20))&lt;100000000,VALUE(MID($E591,2,20)),1000000000),1000000000))+ROW()/100000,"")</f>
        <v/>
      </c>
    </row>
    <row r="592">
      <c r="D592">
        <f>IF($E592="","",IFERROR(IF(INDEX('Per Invoice'!$A$2:$A$301,MATCH($E592,'Per Invoice'!$B$2:$B$301,0))=0,"",INDEX('Per Invoice'!$A$2:$A$301,MATCH($E592,'Per Invoice'!$B$2:$B$301,0))),""))</f>
        <v/>
      </c>
      <c r="H592" s="11" t="n"/>
      <c r="R592" s="7">
        <f>IF($E592="","",Q592*Z592/100)</f>
        <v/>
      </c>
      <c r="S592" s="7" t="n"/>
      <c r="Y592" s="7" t="n"/>
      <c r="Z592" s="7" t="n"/>
      <c r="AA592" s="7">
        <f>IF($E592="","",Z592*AF592/100)</f>
        <v/>
      </c>
      <c r="AB592" s="7">
        <f>IF($E592="","",Z592-AA592)</f>
        <v/>
      </c>
      <c r="AC592" s="7">
        <f>IF($E592="","",AB592-R592)</f>
        <v/>
      </c>
      <c r="AF592">
        <f>IF($E592="","",IF($AR592=1,0,IF($AQ592=1,Settings!$C$6,Settings!$C$7))*100)</f>
        <v/>
      </c>
      <c r="AJ592" s="7" t="n"/>
      <c r="AM592" s="11" t="n"/>
      <c r="AO592">
        <f>IF($E592="","",IF(COUNTIF($E$2:$E592,$E592)=1,1,0))</f>
        <v/>
      </c>
      <c r="AP592">
        <f>IF($AO592=1,SUMPRODUCT(--($AS$2:$AS$1001&lt;$AS592))+1,"")</f>
        <v/>
      </c>
      <c r="AQ592">
        <f>IF($E592="","",IF(OR($V592=TRUE(),$V592="TRUE"),1,0))</f>
        <v/>
      </c>
      <c r="AR592">
        <f>IF($E592="","",IF($AE592="Yes",1,0))</f>
        <v/>
      </c>
      <c r="AS592">
        <f>IF($AO592=1,IFERROR(IF(VALUE($E592)&lt;100000000,VALUE($E592),1000000000),IFERROR(IF(VALUE(MID($E592,2,20))&lt;100000000,VALUE(MID($E592,2,20)),1000000000),1000000000))+ROW()/100000,"")</f>
        <v/>
      </c>
    </row>
    <row r="593">
      <c r="D593">
        <f>IF($E593="","",IFERROR(IF(INDEX('Per Invoice'!$A$2:$A$301,MATCH($E593,'Per Invoice'!$B$2:$B$301,0))=0,"",INDEX('Per Invoice'!$A$2:$A$301,MATCH($E593,'Per Invoice'!$B$2:$B$301,0))),""))</f>
        <v/>
      </c>
      <c r="H593" s="11" t="n"/>
      <c r="R593" s="7">
        <f>IF($E593="","",Q593*Z593/100)</f>
        <v/>
      </c>
      <c r="S593" s="7" t="n"/>
      <c r="Y593" s="7" t="n"/>
      <c r="Z593" s="7" t="n"/>
      <c r="AA593" s="7">
        <f>IF($E593="","",Z593*AF593/100)</f>
        <v/>
      </c>
      <c r="AB593" s="7">
        <f>IF($E593="","",Z593-AA593)</f>
        <v/>
      </c>
      <c r="AC593" s="7">
        <f>IF($E593="","",AB593-R593)</f>
        <v/>
      </c>
      <c r="AF593">
        <f>IF($E593="","",IF($AR593=1,0,IF($AQ593=1,Settings!$C$6,Settings!$C$7))*100)</f>
        <v/>
      </c>
      <c r="AJ593" s="7" t="n"/>
      <c r="AM593" s="11" t="n"/>
      <c r="AO593">
        <f>IF($E593="","",IF(COUNTIF($E$2:$E593,$E593)=1,1,0))</f>
        <v/>
      </c>
      <c r="AP593">
        <f>IF($AO593=1,SUMPRODUCT(--($AS$2:$AS$1001&lt;$AS593))+1,"")</f>
        <v/>
      </c>
      <c r="AQ593">
        <f>IF($E593="","",IF(OR($V593=TRUE(),$V593="TRUE"),1,0))</f>
        <v/>
      </c>
      <c r="AR593">
        <f>IF($E593="","",IF($AE593="Yes",1,0))</f>
        <v/>
      </c>
      <c r="AS593">
        <f>IF($AO593=1,IFERROR(IF(VALUE($E593)&lt;100000000,VALUE($E593),1000000000),IFERROR(IF(VALUE(MID($E593,2,20))&lt;100000000,VALUE(MID($E593,2,20)),1000000000),1000000000))+ROW()/100000,"")</f>
        <v/>
      </c>
    </row>
    <row r="594">
      <c r="D594">
        <f>IF($E594="","",IFERROR(IF(INDEX('Per Invoice'!$A$2:$A$301,MATCH($E594,'Per Invoice'!$B$2:$B$301,0))=0,"",INDEX('Per Invoice'!$A$2:$A$301,MATCH($E594,'Per Invoice'!$B$2:$B$301,0))),""))</f>
        <v/>
      </c>
      <c r="H594" s="11" t="n"/>
      <c r="R594" s="7">
        <f>IF($E594="","",Q594*Z594/100)</f>
        <v/>
      </c>
      <c r="S594" s="7" t="n"/>
      <c r="Y594" s="7" t="n"/>
      <c r="Z594" s="7" t="n"/>
      <c r="AA594" s="7">
        <f>IF($E594="","",Z594*AF594/100)</f>
        <v/>
      </c>
      <c r="AB594" s="7">
        <f>IF($E594="","",Z594-AA594)</f>
        <v/>
      </c>
      <c r="AC594" s="7">
        <f>IF($E594="","",AB594-R594)</f>
        <v/>
      </c>
      <c r="AF594">
        <f>IF($E594="","",IF($AR594=1,0,IF($AQ594=1,Settings!$C$6,Settings!$C$7))*100)</f>
        <v/>
      </c>
      <c r="AJ594" s="7" t="n"/>
      <c r="AM594" s="11" t="n"/>
      <c r="AO594">
        <f>IF($E594="","",IF(COUNTIF($E$2:$E594,$E594)=1,1,0))</f>
        <v/>
      </c>
      <c r="AP594">
        <f>IF($AO594=1,SUMPRODUCT(--($AS$2:$AS$1001&lt;$AS594))+1,"")</f>
        <v/>
      </c>
      <c r="AQ594">
        <f>IF($E594="","",IF(OR($V594=TRUE(),$V594="TRUE"),1,0))</f>
        <v/>
      </c>
      <c r="AR594">
        <f>IF($E594="","",IF($AE594="Yes",1,0))</f>
        <v/>
      </c>
      <c r="AS594">
        <f>IF($AO594=1,IFERROR(IF(VALUE($E594)&lt;100000000,VALUE($E594),1000000000),IFERROR(IF(VALUE(MID($E594,2,20))&lt;100000000,VALUE(MID($E594,2,20)),1000000000),1000000000))+ROW()/100000,"")</f>
        <v/>
      </c>
    </row>
    <row r="595">
      <c r="D595">
        <f>IF($E595="","",IFERROR(IF(INDEX('Per Invoice'!$A$2:$A$301,MATCH($E595,'Per Invoice'!$B$2:$B$301,0))=0,"",INDEX('Per Invoice'!$A$2:$A$301,MATCH($E595,'Per Invoice'!$B$2:$B$301,0))),""))</f>
        <v/>
      </c>
      <c r="H595" s="11" t="n"/>
      <c r="R595" s="7">
        <f>IF($E595="","",Q595*Z595/100)</f>
        <v/>
      </c>
      <c r="S595" s="7" t="n"/>
      <c r="Y595" s="7" t="n"/>
      <c r="Z595" s="7" t="n"/>
      <c r="AA595" s="7">
        <f>IF($E595="","",Z595*AF595/100)</f>
        <v/>
      </c>
      <c r="AB595" s="7">
        <f>IF($E595="","",Z595-AA595)</f>
        <v/>
      </c>
      <c r="AC595" s="7">
        <f>IF($E595="","",AB595-R595)</f>
        <v/>
      </c>
      <c r="AF595">
        <f>IF($E595="","",IF($AR595=1,0,IF($AQ595=1,Settings!$C$6,Settings!$C$7))*100)</f>
        <v/>
      </c>
      <c r="AJ595" s="7" t="n"/>
      <c r="AM595" s="11" t="n"/>
      <c r="AO595">
        <f>IF($E595="","",IF(COUNTIF($E$2:$E595,$E595)=1,1,0))</f>
        <v/>
      </c>
      <c r="AP595">
        <f>IF($AO595=1,SUMPRODUCT(--($AS$2:$AS$1001&lt;$AS595))+1,"")</f>
        <v/>
      </c>
      <c r="AQ595">
        <f>IF($E595="","",IF(OR($V595=TRUE(),$V595="TRUE"),1,0))</f>
        <v/>
      </c>
      <c r="AR595">
        <f>IF($E595="","",IF($AE595="Yes",1,0))</f>
        <v/>
      </c>
      <c r="AS595">
        <f>IF($AO595=1,IFERROR(IF(VALUE($E595)&lt;100000000,VALUE($E595),1000000000),IFERROR(IF(VALUE(MID($E595,2,20))&lt;100000000,VALUE(MID($E595,2,20)),1000000000),1000000000))+ROW()/100000,"")</f>
        <v/>
      </c>
    </row>
    <row r="596">
      <c r="D596">
        <f>IF($E596="","",IFERROR(IF(INDEX('Per Invoice'!$A$2:$A$301,MATCH($E596,'Per Invoice'!$B$2:$B$301,0))=0,"",INDEX('Per Invoice'!$A$2:$A$301,MATCH($E596,'Per Invoice'!$B$2:$B$301,0))),""))</f>
        <v/>
      </c>
      <c r="H596" s="11" t="n"/>
      <c r="R596" s="7">
        <f>IF($E596="","",Q596*Z596/100)</f>
        <v/>
      </c>
      <c r="S596" s="7" t="n"/>
      <c r="Y596" s="7" t="n"/>
      <c r="Z596" s="7" t="n"/>
      <c r="AA596" s="7">
        <f>IF($E596="","",Z596*AF596/100)</f>
        <v/>
      </c>
      <c r="AB596" s="7">
        <f>IF($E596="","",Z596-AA596)</f>
        <v/>
      </c>
      <c r="AC596" s="7">
        <f>IF($E596="","",AB596-R596)</f>
        <v/>
      </c>
      <c r="AF596">
        <f>IF($E596="","",IF($AR596=1,0,IF($AQ596=1,Settings!$C$6,Settings!$C$7))*100)</f>
        <v/>
      </c>
      <c r="AJ596" s="7" t="n"/>
      <c r="AM596" s="11" t="n"/>
      <c r="AO596">
        <f>IF($E596="","",IF(COUNTIF($E$2:$E596,$E596)=1,1,0))</f>
        <v/>
      </c>
      <c r="AP596">
        <f>IF($AO596=1,SUMPRODUCT(--($AS$2:$AS$1001&lt;$AS596))+1,"")</f>
        <v/>
      </c>
      <c r="AQ596">
        <f>IF($E596="","",IF(OR($V596=TRUE(),$V596="TRUE"),1,0))</f>
        <v/>
      </c>
      <c r="AR596">
        <f>IF($E596="","",IF($AE596="Yes",1,0))</f>
        <v/>
      </c>
      <c r="AS596">
        <f>IF($AO596=1,IFERROR(IF(VALUE($E596)&lt;100000000,VALUE($E596),1000000000),IFERROR(IF(VALUE(MID($E596,2,20))&lt;100000000,VALUE(MID($E596,2,20)),1000000000),1000000000))+ROW()/100000,"")</f>
        <v/>
      </c>
    </row>
    <row r="597">
      <c r="D597">
        <f>IF($E597="","",IFERROR(IF(INDEX('Per Invoice'!$A$2:$A$301,MATCH($E597,'Per Invoice'!$B$2:$B$301,0))=0,"",INDEX('Per Invoice'!$A$2:$A$301,MATCH($E597,'Per Invoice'!$B$2:$B$301,0))),""))</f>
        <v/>
      </c>
      <c r="H597" s="11" t="n"/>
      <c r="R597" s="7">
        <f>IF($E597="","",Q597*Z597/100)</f>
        <v/>
      </c>
      <c r="S597" s="7" t="n"/>
      <c r="Y597" s="7" t="n"/>
      <c r="Z597" s="7" t="n"/>
      <c r="AA597" s="7">
        <f>IF($E597="","",Z597*AF597/100)</f>
        <v/>
      </c>
      <c r="AB597" s="7">
        <f>IF($E597="","",Z597-AA597)</f>
        <v/>
      </c>
      <c r="AC597" s="7">
        <f>IF($E597="","",AB597-R597)</f>
        <v/>
      </c>
      <c r="AF597">
        <f>IF($E597="","",IF($AR597=1,0,IF($AQ597=1,Settings!$C$6,Settings!$C$7))*100)</f>
        <v/>
      </c>
      <c r="AJ597" s="7" t="n"/>
      <c r="AM597" s="11" t="n"/>
      <c r="AO597">
        <f>IF($E597="","",IF(COUNTIF($E$2:$E597,$E597)=1,1,0))</f>
        <v/>
      </c>
      <c r="AP597">
        <f>IF($AO597=1,SUMPRODUCT(--($AS$2:$AS$1001&lt;$AS597))+1,"")</f>
        <v/>
      </c>
      <c r="AQ597">
        <f>IF($E597="","",IF(OR($V597=TRUE(),$V597="TRUE"),1,0))</f>
        <v/>
      </c>
      <c r="AR597">
        <f>IF($E597="","",IF($AE597="Yes",1,0))</f>
        <v/>
      </c>
      <c r="AS597">
        <f>IF($AO597=1,IFERROR(IF(VALUE($E597)&lt;100000000,VALUE($E597),1000000000),IFERROR(IF(VALUE(MID($E597,2,20))&lt;100000000,VALUE(MID($E597,2,20)),1000000000),1000000000))+ROW()/100000,"")</f>
        <v/>
      </c>
    </row>
    <row r="598">
      <c r="D598">
        <f>IF($E598="","",IFERROR(IF(INDEX('Per Invoice'!$A$2:$A$301,MATCH($E598,'Per Invoice'!$B$2:$B$301,0))=0,"",INDEX('Per Invoice'!$A$2:$A$301,MATCH($E598,'Per Invoice'!$B$2:$B$301,0))),""))</f>
        <v/>
      </c>
      <c r="H598" s="11" t="n"/>
      <c r="R598" s="7">
        <f>IF($E598="","",Q598*Z598/100)</f>
        <v/>
      </c>
      <c r="S598" s="7" t="n"/>
      <c r="Y598" s="7" t="n"/>
      <c r="Z598" s="7" t="n"/>
      <c r="AA598" s="7">
        <f>IF($E598="","",Z598*AF598/100)</f>
        <v/>
      </c>
      <c r="AB598" s="7">
        <f>IF($E598="","",Z598-AA598)</f>
        <v/>
      </c>
      <c r="AC598" s="7">
        <f>IF($E598="","",AB598-R598)</f>
        <v/>
      </c>
      <c r="AF598">
        <f>IF($E598="","",IF($AR598=1,0,IF($AQ598=1,Settings!$C$6,Settings!$C$7))*100)</f>
        <v/>
      </c>
      <c r="AJ598" s="7" t="n"/>
      <c r="AM598" s="11" t="n"/>
      <c r="AO598">
        <f>IF($E598="","",IF(COUNTIF($E$2:$E598,$E598)=1,1,0))</f>
        <v/>
      </c>
      <c r="AP598">
        <f>IF($AO598=1,SUMPRODUCT(--($AS$2:$AS$1001&lt;$AS598))+1,"")</f>
        <v/>
      </c>
      <c r="AQ598">
        <f>IF($E598="","",IF(OR($V598=TRUE(),$V598="TRUE"),1,0))</f>
        <v/>
      </c>
      <c r="AR598">
        <f>IF($E598="","",IF($AE598="Yes",1,0))</f>
        <v/>
      </c>
      <c r="AS598">
        <f>IF($AO598=1,IFERROR(IF(VALUE($E598)&lt;100000000,VALUE($E598),1000000000),IFERROR(IF(VALUE(MID($E598,2,20))&lt;100000000,VALUE(MID($E598,2,20)),1000000000),1000000000))+ROW()/100000,"")</f>
        <v/>
      </c>
    </row>
    <row r="599">
      <c r="D599">
        <f>IF($E599="","",IFERROR(IF(INDEX('Per Invoice'!$A$2:$A$301,MATCH($E599,'Per Invoice'!$B$2:$B$301,0))=0,"",INDEX('Per Invoice'!$A$2:$A$301,MATCH($E599,'Per Invoice'!$B$2:$B$301,0))),""))</f>
        <v/>
      </c>
      <c r="H599" s="11" t="n"/>
      <c r="R599" s="7">
        <f>IF($E599="","",Q599*Z599/100)</f>
        <v/>
      </c>
      <c r="S599" s="7" t="n"/>
      <c r="Y599" s="7" t="n"/>
      <c r="Z599" s="7" t="n"/>
      <c r="AA599" s="7">
        <f>IF($E599="","",Z599*AF599/100)</f>
        <v/>
      </c>
      <c r="AB599" s="7">
        <f>IF($E599="","",Z599-AA599)</f>
        <v/>
      </c>
      <c r="AC599" s="7">
        <f>IF($E599="","",AB599-R599)</f>
        <v/>
      </c>
      <c r="AF599">
        <f>IF($E599="","",IF($AR599=1,0,IF($AQ599=1,Settings!$C$6,Settings!$C$7))*100)</f>
        <v/>
      </c>
      <c r="AJ599" s="7" t="n"/>
      <c r="AM599" s="11" t="n"/>
      <c r="AO599">
        <f>IF($E599="","",IF(COUNTIF($E$2:$E599,$E599)=1,1,0))</f>
        <v/>
      </c>
      <c r="AP599">
        <f>IF($AO599=1,SUMPRODUCT(--($AS$2:$AS$1001&lt;$AS599))+1,"")</f>
        <v/>
      </c>
      <c r="AQ599">
        <f>IF($E599="","",IF(OR($V599=TRUE(),$V599="TRUE"),1,0))</f>
        <v/>
      </c>
      <c r="AR599">
        <f>IF($E599="","",IF($AE599="Yes",1,0))</f>
        <v/>
      </c>
      <c r="AS599">
        <f>IF($AO599=1,IFERROR(IF(VALUE($E599)&lt;100000000,VALUE($E599),1000000000),IFERROR(IF(VALUE(MID($E599,2,20))&lt;100000000,VALUE(MID($E599,2,20)),1000000000),1000000000))+ROW()/100000,"")</f>
        <v/>
      </c>
    </row>
    <row r="600">
      <c r="D600">
        <f>IF($E600="","",IFERROR(IF(INDEX('Per Invoice'!$A$2:$A$301,MATCH($E600,'Per Invoice'!$B$2:$B$301,0))=0,"",INDEX('Per Invoice'!$A$2:$A$301,MATCH($E600,'Per Invoice'!$B$2:$B$301,0))),""))</f>
        <v/>
      </c>
      <c r="H600" s="11" t="n"/>
      <c r="R600" s="7">
        <f>IF($E600="","",Q600*Z600/100)</f>
        <v/>
      </c>
      <c r="S600" s="7" t="n"/>
      <c r="Y600" s="7" t="n"/>
      <c r="Z600" s="7" t="n"/>
      <c r="AA600" s="7">
        <f>IF($E600="","",Z600*AF600/100)</f>
        <v/>
      </c>
      <c r="AB600" s="7">
        <f>IF($E600="","",Z600-AA600)</f>
        <v/>
      </c>
      <c r="AC600" s="7">
        <f>IF($E600="","",AB600-R600)</f>
        <v/>
      </c>
      <c r="AF600">
        <f>IF($E600="","",IF($AR600=1,0,IF($AQ600=1,Settings!$C$6,Settings!$C$7))*100)</f>
        <v/>
      </c>
      <c r="AJ600" s="7" t="n"/>
      <c r="AM600" s="11" t="n"/>
      <c r="AO600">
        <f>IF($E600="","",IF(COUNTIF($E$2:$E600,$E600)=1,1,0))</f>
        <v/>
      </c>
      <c r="AP600">
        <f>IF($AO600=1,SUMPRODUCT(--($AS$2:$AS$1001&lt;$AS600))+1,"")</f>
        <v/>
      </c>
      <c r="AQ600">
        <f>IF($E600="","",IF(OR($V600=TRUE(),$V600="TRUE"),1,0))</f>
        <v/>
      </c>
      <c r="AR600">
        <f>IF($E600="","",IF($AE600="Yes",1,0))</f>
        <v/>
      </c>
      <c r="AS600">
        <f>IF($AO600=1,IFERROR(IF(VALUE($E600)&lt;100000000,VALUE($E600),1000000000),IFERROR(IF(VALUE(MID($E600,2,20))&lt;100000000,VALUE(MID($E600,2,20)),1000000000),1000000000))+ROW()/100000,"")</f>
        <v/>
      </c>
    </row>
    <row r="601">
      <c r="D601">
        <f>IF($E601="","",IFERROR(IF(INDEX('Per Invoice'!$A$2:$A$301,MATCH($E601,'Per Invoice'!$B$2:$B$301,0))=0,"",INDEX('Per Invoice'!$A$2:$A$301,MATCH($E601,'Per Invoice'!$B$2:$B$301,0))),""))</f>
        <v/>
      </c>
      <c r="H601" s="11" t="n"/>
      <c r="R601" s="7">
        <f>IF($E601="","",Q601*Z601/100)</f>
        <v/>
      </c>
      <c r="S601" s="7" t="n"/>
      <c r="Y601" s="7" t="n"/>
      <c r="Z601" s="7" t="n"/>
      <c r="AA601" s="7">
        <f>IF($E601="","",Z601*AF601/100)</f>
        <v/>
      </c>
      <c r="AB601" s="7">
        <f>IF($E601="","",Z601-AA601)</f>
        <v/>
      </c>
      <c r="AC601" s="7">
        <f>IF($E601="","",AB601-R601)</f>
        <v/>
      </c>
      <c r="AF601">
        <f>IF($E601="","",IF($AR601=1,0,IF($AQ601=1,Settings!$C$6,Settings!$C$7))*100)</f>
        <v/>
      </c>
      <c r="AJ601" s="7" t="n"/>
      <c r="AM601" s="11" t="n"/>
      <c r="AO601">
        <f>IF($E601="","",IF(COUNTIF($E$2:$E601,$E601)=1,1,0))</f>
        <v/>
      </c>
      <c r="AP601">
        <f>IF($AO601=1,SUMPRODUCT(--($AS$2:$AS$1001&lt;$AS601))+1,"")</f>
        <v/>
      </c>
      <c r="AQ601">
        <f>IF($E601="","",IF(OR($V601=TRUE(),$V601="TRUE"),1,0))</f>
        <v/>
      </c>
      <c r="AR601">
        <f>IF($E601="","",IF($AE601="Yes",1,0))</f>
        <v/>
      </c>
      <c r="AS601">
        <f>IF($AO601=1,IFERROR(IF(VALUE($E601)&lt;100000000,VALUE($E601),1000000000),IFERROR(IF(VALUE(MID($E601,2,20))&lt;100000000,VALUE(MID($E601,2,20)),1000000000),1000000000))+ROW()/100000,"")</f>
        <v/>
      </c>
    </row>
    <row r="602">
      <c r="D602">
        <f>IF($E602="","",IFERROR(IF(INDEX('Per Invoice'!$A$2:$A$301,MATCH($E602,'Per Invoice'!$B$2:$B$301,0))=0,"",INDEX('Per Invoice'!$A$2:$A$301,MATCH($E602,'Per Invoice'!$B$2:$B$301,0))),""))</f>
        <v/>
      </c>
      <c r="H602" s="11" t="n"/>
      <c r="R602" s="7">
        <f>IF($E602="","",Q602*Z602/100)</f>
        <v/>
      </c>
      <c r="S602" s="7" t="n"/>
      <c r="Y602" s="7" t="n"/>
      <c r="Z602" s="7" t="n"/>
      <c r="AA602" s="7">
        <f>IF($E602="","",Z602*AF602/100)</f>
        <v/>
      </c>
      <c r="AB602" s="7">
        <f>IF($E602="","",Z602-AA602)</f>
        <v/>
      </c>
      <c r="AC602" s="7">
        <f>IF($E602="","",AB602-R602)</f>
        <v/>
      </c>
      <c r="AF602">
        <f>IF($E602="","",IF($AR602=1,0,IF($AQ602=1,Settings!$C$6,Settings!$C$7))*100)</f>
        <v/>
      </c>
      <c r="AJ602" s="7" t="n"/>
      <c r="AM602" s="11" t="n"/>
      <c r="AO602">
        <f>IF($E602="","",IF(COUNTIF($E$2:$E602,$E602)=1,1,0))</f>
        <v/>
      </c>
      <c r="AP602">
        <f>IF($AO602=1,SUMPRODUCT(--($AS$2:$AS$1001&lt;$AS602))+1,"")</f>
        <v/>
      </c>
      <c r="AQ602">
        <f>IF($E602="","",IF(OR($V602=TRUE(),$V602="TRUE"),1,0))</f>
        <v/>
      </c>
      <c r="AR602">
        <f>IF($E602="","",IF($AE602="Yes",1,0))</f>
        <v/>
      </c>
      <c r="AS602">
        <f>IF($AO602=1,IFERROR(IF(VALUE($E602)&lt;100000000,VALUE($E602),1000000000),IFERROR(IF(VALUE(MID($E602,2,20))&lt;100000000,VALUE(MID($E602,2,20)),1000000000),1000000000))+ROW()/100000,"")</f>
        <v/>
      </c>
    </row>
    <row r="603">
      <c r="D603">
        <f>IF($E603="","",IFERROR(IF(INDEX('Per Invoice'!$A$2:$A$301,MATCH($E603,'Per Invoice'!$B$2:$B$301,0))=0,"",INDEX('Per Invoice'!$A$2:$A$301,MATCH($E603,'Per Invoice'!$B$2:$B$301,0))),""))</f>
        <v/>
      </c>
      <c r="H603" s="11" t="n"/>
      <c r="R603" s="7">
        <f>IF($E603="","",Q603*Z603/100)</f>
        <v/>
      </c>
      <c r="S603" s="7" t="n"/>
      <c r="Y603" s="7" t="n"/>
      <c r="Z603" s="7" t="n"/>
      <c r="AA603" s="7">
        <f>IF($E603="","",Z603*AF603/100)</f>
        <v/>
      </c>
      <c r="AB603" s="7">
        <f>IF($E603="","",Z603-AA603)</f>
        <v/>
      </c>
      <c r="AC603" s="7">
        <f>IF($E603="","",AB603-R603)</f>
        <v/>
      </c>
      <c r="AF603">
        <f>IF($E603="","",IF($AR603=1,0,IF($AQ603=1,Settings!$C$6,Settings!$C$7))*100)</f>
        <v/>
      </c>
      <c r="AJ603" s="7" t="n"/>
      <c r="AM603" s="11" t="n"/>
      <c r="AO603">
        <f>IF($E603="","",IF(COUNTIF($E$2:$E603,$E603)=1,1,0))</f>
        <v/>
      </c>
      <c r="AP603">
        <f>IF($AO603=1,SUMPRODUCT(--($AS$2:$AS$1001&lt;$AS603))+1,"")</f>
        <v/>
      </c>
      <c r="AQ603">
        <f>IF($E603="","",IF(OR($V603=TRUE(),$V603="TRUE"),1,0))</f>
        <v/>
      </c>
      <c r="AR603">
        <f>IF($E603="","",IF($AE603="Yes",1,0))</f>
        <v/>
      </c>
      <c r="AS603">
        <f>IF($AO603=1,IFERROR(IF(VALUE($E603)&lt;100000000,VALUE($E603),1000000000),IFERROR(IF(VALUE(MID($E603,2,20))&lt;100000000,VALUE(MID($E603,2,20)),1000000000),1000000000))+ROW()/100000,"")</f>
        <v/>
      </c>
    </row>
    <row r="604">
      <c r="D604">
        <f>IF($E604="","",IFERROR(IF(INDEX('Per Invoice'!$A$2:$A$301,MATCH($E604,'Per Invoice'!$B$2:$B$301,0))=0,"",INDEX('Per Invoice'!$A$2:$A$301,MATCH($E604,'Per Invoice'!$B$2:$B$301,0))),""))</f>
        <v/>
      </c>
      <c r="H604" s="11" t="n"/>
      <c r="R604" s="7">
        <f>IF($E604="","",Q604*Z604/100)</f>
        <v/>
      </c>
      <c r="S604" s="7" t="n"/>
      <c r="Y604" s="7" t="n"/>
      <c r="Z604" s="7" t="n"/>
      <c r="AA604" s="7">
        <f>IF($E604="","",Z604*AF604/100)</f>
        <v/>
      </c>
      <c r="AB604" s="7">
        <f>IF($E604="","",Z604-AA604)</f>
        <v/>
      </c>
      <c r="AC604" s="7">
        <f>IF($E604="","",AB604-R604)</f>
        <v/>
      </c>
      <c r="AF604">
        <f>IF($E604="","",IF($AR604=1,0,IF($AQ604=1,Settings!$C$6,Settings!$C$7))*100)</f>
        <v/>
      </c>
      <c r="AJ604" s="7" t="n"/>
      <c r="AM604" s="11" t="n"/>
      <c r="AO604">
        <f>IF($E604="","",IF(COUNTIF($E$2:$E604,$E604)=1,1,0))</f>
        <v/>
      </c>
      <c r="AP604">
        <f>IF($AO604=1,SUMPRODUCT(--($AS$2:$AS$1001&lt;$AS604))+1,"")</f>
        <v/>
      </c>
      <c r="AQ604">
        <f>IF($E604="","",IF(OR($V604=TRUE(),$V604="TRUE"),1,0))</f>
        <v/>
      </c>
      <c r="AR604">
        <f>IF($E604="","",IF($AE604="Yes",1,0))</f>
        <v/>
      </c>
      <c r="AS604">
        <f>IF($AO604=1,IFERROR(IF(VALUE($E604)&lt;100000000,VALUE($E604),1000000000),IFERROR(IF(VALUE(MID($E604,2,20))&lt;100000000,VALUE(MID($E604,2,20)),1000000000),1000000000))+ROW()/100000,"")</f>
        <v/>
      </c>
    </row>
    <row r="605">
      <c r="D605">
        <f>IF($E605="","",IFERROR(IF(INDEX('Per Invoice'!$A$2:$A$301,MATCH($E605,'Per Invoice'!$B$2:$B$301,0))=0,"",INDEX('Per Invoice'!$A$2:$A$301,MATCH($E605,'Per Invoice'!$B$2:$B$301,0))),""))</f>
        <v/>
      </c>
      <c r="H605" s="11" t="n"/>
      <c r="R605" s="7">
        <f>IF($E605="","",Q605*Z605/100)</f>
        <v/>
      </c>
      <c r="S605" s="7" t="n"/>
      <c r="Y605" s="7" t="n"/>
      <c r="Z605" s="7" t="n"/>
      <c r="AA605" s="7">
        <f>IF($E605="","",Z605*AF605/100)</f>
        <v/>
      </c>
      <c r="AB605" s="7">
        <f>IF($E605="","",Z605-AA605)</f>
        <v/>
      </c>
      <c r="AC605" s="7">
        <f>IF($E605="","",AB605-R605)</f>
        <v/>
      </c>
      <c r="AF605">
        <f>IF($E605="","",IF($AR605=1,0,IF($AQ605=1,Settings!$C$6,Settings!$C$7))*100)</f>
        <v/>
      </c>
      <c r="AJ605" s="7" t="n"/>
      <c r="AM605" s="11" t="n"/>
      <c r="AO605">
        <f>IF($E605="","",IF(COUNTIF($E$2:$E605,$E605)=1,1,0))</f>
        <v/>
      </c>
      <c r="AP605">
        <f>IF($AO605=1,SUMPRODUCT(--($AS$2:$AS$1001&lt;$AS605))+1,"")</f>
        <v/>
      </c>
      <c r="AQ605">
        <f>IF($E605="","",IF(OR($V605=TRUE(),$V605="TRUE"),1,0))</f>
        <v/>
      </c>
      <c r="AR605">
        <f>IF($E605="","",IF($AE605="Yes",1,0))</f>
        <v/>
      </c>
      <c r="AS605">
        <f>IF($AO605=1,IFERROR(IF(VALUE($E605)&lt;100000000,VALUE($E605),1000000000),IFERROR(IF(VALUE(MID($E605,2,20))&lt;100000000,VALUE(MID($E605,2,20)),1000000000),1000000000))+ROW()/100000,"")</f>
        <v/>
      </c>
    </row>
    <row r="606">
      <c r="D606">
        <f>IF($E606="","",IFERROR(IF(INDEX('Per Invoice'!$A$2:$A$301,MATCH($E606,'Per Invoice'!$B$2:$B$301,0))=0,"",INDEX('Per Invoice'!$A$2:$A$301,MATCH($E606,'Per Invoice'!$B$2:$B$301,0))),""))</f>
        <v/>
      </c>
      <c r="H606" s="11" t="n"/>
      <c r="R606" s="7">
        <f>IF($E606="","",Q606*Z606/100)</f>
        <v/>
      </c>
      <c r="S606" s="7" t="n"/>
      <c r="Y606" s="7" t="n"/>
      <c r="Z606" s="7" t="n"/>
      <c r="AA606" s="7">
        <f>IF($E606="","",Z606*AF606/100)</f>
        <v/>
      </c>
      <c r="AB606" s="7">
        <f>IF($E606="","",Z606-AA606)</f>
        <v/>
      </c>
      <c r="AC606" s="7">
        <f>IF($E606="","",AB606-R606)</f>
        <v/>
      </c>
      <c r="AF606">
        <f>IF($E606="","",IF($AR606=1,0,IF($AQ606=1,Settings!$C$6,Settings!$C$7))*100)</f>
        <v/>
      </c>
      <c r="AJ606" s="7" t="n"/>
      <c r="AM606" s="11" t="n"/>
      <c r="AO606">
        <f>IF($E606="","",IF(COUNTIF($E$2:$E606,$E606)=1,1,0))</f>
        <v/>
      </c>
      <c r="AP606">
        <f>IF($AO606=1,SUMPRODUCT(--($AS$2:$AS$1001&lt;$AS606))+1,"")</f>
        <v/>
      </c>
      <c r="AQ606">
        <f>IF($E606="","",IF(OR($V606=TRUE(),$V606="TRUE"),1,0))</f>
        <v/>
      </c>
      <c r="AR606">
        <f>IF($E606="","",IF($AE606="Yes",1,0))</f>
        <v/>
      </c>
      <c r="AS606">
        <f>IF($AO606=1,IFERROR(IF(VALUE($E606)&lt;100000000,VALUE($E606),1000000000),IFERROR(IF(VALUE(MID($E606,2,20))&lt;100000000,VALUE(MID($E606,2,20)),1000000000),1000000000))+ROW()/100000,"")</f>
        <v/>
      </c>
    </row>
    <row r="607">
      <c r="D607">
        <f>IF($E607="","",IFERROR(IF(INDEX('Per Invoice'!$A$2:$A$301,MATCH($E607,'Per Invoice'!$B$2:$B$301,0))=0,"",INDEX('Per Invoice'!$A$2:$A$301,MATCH($E607,'Per Invoice'!$B$2:$B$301,0))),""))</f>
        <v/>
      </c>
      <c r="H607" s="11" t="n"/>
      <c r="R607" s="7">
        <f>IF($E607="","",Q607*Z607/100)</f>
        <v/>
      </c>
      <c r="S607" s="7" t="n"/>
      <c r="Y607" s="7" t="n"/>
      <c r="Z607" s="7" t="n"/>
      <c r="AA607" s="7">
        <f>IF($E607="","",Z607*AF607/100)</f>
        <v/>
      </c>
      <c r="AB607" s="7">
        <f>IF($E607="","",Z607-AA607)</f>
        <v/>
      </c>
      <c r="AC607" s="7">
        <f>IF($E607="","",AB607-R607)</f>
        <v/>
      </c>
      <c r="AF607">
        <f>IF($E607="","",IF($AR607=1,0,IF($AQ607=1,Settings!$C$6,Settings!$C$7))*100)</f>
        <v/>
      </c>
      <c r="AJ607" s="7" t="n"/>
      <c r="AM607" s="11" t="n"/>
      <c r="AO607">
        <f>IF($E607="","",IF(COUNTIF($E$2:$E607,$E607)=1,1,0))</f>
        <v/>
      </c>
      <c r="AP607">
        <f>IF($AO607=1,SUMPRODUCT(--($AS$2:$AS$1001&lt;$AS607))+1,"")</f>
        <v/>
      </c>
      <c r="AQ607">
        <f>IF($E607="","",IF(OR($V607=TRUE(),$V607="TRUE"),1,0))</f>
        <v/>
      </c>
      <c r="AR607">
        <f>IF($E607="","",IF($AE607="Yes",1,0))</f>
        <v/>
      </c>
      <c r="AS607">
        <f>IF($AO607=1,IFERROR(IF(VALUE($E607)&lt;100000000,VALUE($E607),1000000000),IFERROR(IF(VALUE(MID($E607,2,20))&lt;100000000,VALUE(MID($E607,2,20)),1000000000),1000000000))+ROW()/100000,"")</f>
        <v/>
      </c>
    </row>
    <row r="608">
      <c r="D608">
        <f>IF($E608="","",IFERROR(IF(INDEX('Per Invoice'!$A$2:$A$301,MATCH($E608,'Per Invoice'!$B$2:$B$301,0))=0,"",INDEX('Per Invoice'!$A$2:$A$301,MATCH($E608,'Per Invoice'!$B$2:$B$301,0))),""))</f>
        <v/>
      </c>
      <c r="H608" s="11" t="n"/>
      <c r="R608" s="7">
        <f>IF($E608="","",Q608*Z608/100)</f>
        <v/>
      </c>
      <c r="S608" s="7" t="n"/>
      <c r="Y608" s="7" t="n"/>
      <c r="Z608" s="7" t="n"/>
      <c r="AA608" s="7">
        <f>IF($E608="","",Z608*AF608/100)</f>
        <v/>
      </c>
      <c r="AB608" s="7">
        <f>IF($E608="","",Z608-AA608)</f>
        <v/>
      </c>
      <c r="AC608" s="7">
        <f>IF($E608="","",AB608-R608)</f>
        <v/>
      </c>
      <c r="AF608">
        <f>IF($E608="","",IF($AR608=1,0,IF($AQ608=1,Settings!$C$6,Settings!$C$7))*100)</f>
        <v/>
      </c>
      <c r="AJ608" s="7" t="n"/>
      <c r="AM608" s="11" t="n"/>
      <c r="AO608">
        <f>IF($E608="","",IF(COUNTIF($E$2:$E608,$E608)=1,1,0))</f>
        <v/>
      </c>
      <c r="AP608">
        <f>IF($AO608=1,SUMPRODUCT(--($AS$2:$AS$1001&lt;$AS608))+1,"")</f>
        <v/>
      </c>
      <c r="AQ608">
        <f>IF($E608="","",IF(OR($V608=TRUE(),$V608="TRUE"),1,0))</f>
        <v/>
      </c>
      <c r="AR608">
        <f>IF($E608="","",IF($AE608="Yes",1,0))</f>
        <v/>
      </c>
      <c r="AS608">
        <f>IF($AO608=1,IFERROR(IF(VALUE($E608)&lt;100000000,VALUE($E608),1000000000),IFERROR(IF(VALUE(MID($E608,2,20))&lt;100000000,VALUE(MID($E608,2,20)),1000000000),1000000000))+ROW()/100000,"")</f>
        <v/>
      </c>
    </row>
    <row r="609">
      <c r="D609">
        <f>IF($E609="","",IFERROR(IF(INDEX('Per Invoice'!$A$2:$A$301,MATCH($E609,'Per Invoice'!$B$2:$B$301,0))=0,"",INDEX('Per Invoice'!$A$2:$A$301,MATCH($E609,'Per Invoice'!$B$2:$B$301,0))),""))</f>
        <v/>
      </c>
      <c r="H609" s="11" t="n"/>
      <c r="R609" s="7">
        <f>IF($E609="","",Q609*Z609/100)</f>
        <v/>
      </c>
      <c r="S609" s="7" t="n"/>
      <c r="Y609" s="7" t="n"/>
      <c r="Z609" s="7" t="n"/>
      <c r="AA609" s="7">
        <f>IF($E609="","",Z609*AF609/100)</f>
        <v/>
      </c>
      <c r="AB609" s="7">
        <f>IF($E609="","",Z609-AA609)</f>
        <v/>
      </c>
      <c r="AC609" s="7">
        <f>IF($E609="","",AB609-R609)</f>
        <v/>
      </c>
      <c r="AF609">
        <f>IF($E609="","",IF($AR609=1,0,IF($AQ609=1,Settings!$C$6,Settings!$C$7))*100)</f>
        <v/>
      </c>
      <c r="AJ609" s="7" t="n"/>
      <c r="AM609" s="11" t="n"/>
      <c r="AO609">
        <f>IF($E609="","",IF(COUNTIF($E$2:$E609,$E609)=1,1,0))</f>
        <v/>
      </c>
      <c r="AP609">
        <f>IF($AO609=1,SUMPRODUCT(--($AS$2:$AS$1001&lt;$AS609))+1,"")</f>
        <v/>
      </c>
      <c r="AQ609">
        <f>IF($E609="","",IF(OR($V609=TRUE(),$V609="TRUE"),1,0))</f>
        <v/>
      </c>
      <c r="AR609">
        <f>IF($E609="","",IF($AE609="Yes",1,0))</f>
        <v/>
      </c>
      <c r="AS609">
        <f>IF($AO609=1,IFERROR(IF(VALUE($E609)&lt;100000000,VALUE($E609),1000000000),IFERROR(IF(VALUE(MID($E609,2,20))&lt;100000000,VALUE(MID($E609,2,20)),1000000000),1000000000))+ROW()/100000,"")</f>
        <v/>
      </c>
    </row>
    <row r="610">
      <c r="D610">
        <f>IF($E610="","",IFERROR(IF(INDEX('Per Invoice'!$A$2:$A$301,MATCH($E610,'Per Invoice'!$B$2:$B$301,0))=0,"",INDEX('Per Invoice'!$A$2:$A$301,MATCH($E610,'Per Invoice'!$B$2:$B$301,0))),""))</f>
        <v/>
      </c>
      <c r="H610" s="11" t="n"/>
      <c r="R610" s="7">
        <f>IF($E610="","",Q610*Z610/100)</f>
        <v/>
      </c>
      <c r="S610" s="7" t="n"/>
      <c r="Y610" s="7" t="n"/>
      <c r="Z610" s="7" t="n"/>
      <c r="AA610" s="7">
        <f>IF($E610="","",Z610*AF610/100)</f>
        <v/>
      </c>
      <c r="AB610" s="7">
        <f>IF($E610="","",Z610-AA610)</f>
        <v/>
      </c>
      <c r="AC610" s="7">
        <f>IF($E610="","",AB610-R610)</f>
        <v/>
      </c>
      <c r="AF610">
        <f>IF($E610="","",IF($AR610=1,0,IF($AQ610=1,Settings!$C$6,Settings!$C$7))*100)</f>
        <v/>
      </c>
      <c r="AJ610" s="7" t="n"/>
      <c r="AM610" s="11" t="n"/>
      <c r="AO610">
        <f>IF($E610="","",IF(COUNTIF($E$2:$E610,$E610)=1,1,0))</f>
        <v/>
      </c>
      <c r="AP610">
        <f>IF($AO610=1,SUMPRODUCT(--($AS$2:$AS$1001&lt;$AS610))+1,"")</f>
        <v/>
      </c>
      <c r="AQ610">
        <f>IF($E610="","",IF(OR($V610=TRUE(),$V610="TRUE"),1,0))</f>
        <v/>
      </c>
      <c r="AR610">
        <f>IF($E610="","",IF($AE610="Yes",1,0))</f>
        <v/>
      </c>
      <c r="AS610">
        <f>IF($AO610=1,IFERROR(IF(VALUE($E610)&lt;100000000,VALUE($E610),1000000000),IFERROR(IF(VALUE(MID($E610,2,20))&lt;100000000,VALUE(MID($E610,2,20)),1000000000),1000000000))+ROW()/100000,"")</f>
        <v/>
      </c>
    </row>
    <row r="611">
      <c r="D611">
        <f>IF($E611="","",IFERROR(IF(INDEX('Per Invoice'!$A$2:$A$301,MATCH($E611,'Per Invoice'!$B$2:$B$301,0))=0,"",INDEX('Per Invoice'!$A$2:$A$301,MATCH($E611,'Per Invoice'!$B$2:$B$301,0))),""))</f>
        <v/>
      </c>
      <c r="H611" s="11" t="n"/>
      <c r="R611" s="7">
        <f>IF($E611="","",Q611*Z611/100)</f>
        <v/>
      </c>
      <c r="S611" s="7" t="n"/>
      <c r="Y611" s="7" t="n"/>
      <c r="Z611" s="7" t="n"/>
      <c r="AA611" s="7">
        <f>IF($E611="","",Z611*AF611/100)</f>
        <v/>
      </c>
      <c r="AB611" s="7">
        <f>IF($E611="","",Z611-AA611)</f>
        <v/>
      </c>
      <c r="AC611" s="7">
        <f>IF($E611="","",AB611-R611)</f>
        <v/>
      </c>
      <c r="AF611">
        <f>IF($E611="","",IF($AR611=1,0,IF($AQ611=1,Settings!$C$6,Settings!$C$7))*100)</f>
        <v/>
      </c>
      <c r="AJ611" s="7" t="n"/>
      <c r="AM611" s="11" t="n"/>
      <c r="AO611">
        <f>IF($E611="","",IF(COUNTIF($E$2:$E611,$E611)=1,1,0))</f>
        <v/>
      </c>
      <c r="AP611">
        <f>IF($AO611=1,SUMPRODUCT(--($AS$2:$AS$1001&lt;$AS611))+1,"")</f>
        <v/>
      </c>
      <c r="AQ611">
        <f>IF($E611="","",IF(OR($V611=TRUE(),$V611="TRUE"),1,0))</f>
        <v/>
      </c>
      <c r="AR611">
        <f>IF($E611="","",IF($AE611="Yes",1,0))</f>
        <v/>
      </c>
      <c r="AS611">
        <f>IF($AO611=1,IFERROR(IF(VALUE($E611)&lt;100000000,VALUE($E611),1000000000),IFERROR(IF(VALUE(MID($E611,2,20))&lt;100000000,VALUE(MID($E611,2,20)),1000000000),1000000000))+ROW()/100000,"")</f>
        <v/>
      </c>
    </row>
    <row r="612">
      <c r="D612">
        <f>IF($E612="","",IFERROR(IF(INDEX('Per Invoice'!$A$2:$A$301,MATCH($E612,'Per Invoice'!$B$2:$B$301,0))=0,"",INDEX('Per Invoice'!$A$2:$A$301,MATCH($E612,'Per Invoice'!$B$2:$B$301,0))),""))</f>
        <v/>
      </c>
      <c r="H612" s="11" t="n"/>
      <c r="R612" s="7">
        <f>IF($E612="","",Q612*Z612/100)</f>
        <v/>
      </c>
      <c r="S612" s="7" t="n"/>
      <c r="Y612" s="7" t="n"/>
      <c r="Z612" s="7" t="n"/>
      <c r="AA612" s="7">
        <f>IF($E612="","",Z612*AF612/100)</f>
        <v/>
      </c>
      <c r="AB612" s="7">
        <f>IF($E612="","",Z612-AA612)</f>
        <v/>
      </c>
      <c r="AC612" s="7">
        <f>IF($E612="","",AB612-R612)</f>
        <v/>
      </c>
      <c r="AF612">
        <f>IF($E612="","",IF($AR612=1,0,IF($AQ612=1,Settings!$C$6,Settings!$C$7))*100)</f>
        <v/>
      </c>
      <c r="AJ612" s="7" t="n"/>
      <c r="AM612" s="11" t="n"/>
      <c r="AO612">
        <f>IF($E612="","",IF(COUNTIF($E$2:$E612,$E612)=1,1,0))</f>
        <v/>
      </c>
      <c r="AP612">
        <f>IF($AO612=1,SUMPRODUCT(--($AS$2:$AS$1001&lt;$AS612))+1,"")</f>
        <v/>
      </c>
      <c r="AQ612">
        <f>IF($E612="","",IF(OR($V612=TRUE(),$V612="TRUE"),1,0))</f>
        <v/>
      </c>
      <c r="AR612">
        <f>IF($E612="","",IF($AE612="Yes",1,0))</f>
        <v/>
      </c>
      <c r="AS612">
        <f>IF($AO612=1,IFERROR(IF(VALUE($E612)&lt;100000000,VALUE($E612),1000000000),IFERROR(IF(VALUE(MID($E612,2,20))&lt;100000000,VALUE(MID($E612,2,20)),1000000000),1000000000))+ROW()/100000,"")</f>
        <v/>
      </c>
    </row>
    <row r="613">
      <c r="D613">
        <f>IF($E613="","",IFERROR(IF(INDEX('Per Invoice'!$A$2:$A$301,MATCH($E613,'Per Invoice'!$B$2:$B$301,0))=0,"",INDEX('Per Invoice'!$A$2:$A$301,MATCH($E613,'Per Invoice'!$B$2:$B$301,0))),""))</f>
        <v/>
      </c>
      <c r="H613" s="11" t="n"/>
      <c r="R613" s="7">
        <f>IF($E613="","",Q613*Z613/100)</f>
        <v/>
      </c>
      <c r="S613" s="7" t="n"/>
      <c r="Y613" s="7" t="n"/>
      <c r="Z613" s="7" t="n"/>
      <c r="AA613" s="7">
        <f>IF($E613="","",Z613*AF613/100)</f>
        <v/>
      </c>
      <c r="AB613" s="7">
        <f>IF($E613="","",Z613-AA613)</f>
        <v/>
      </c>
      <c r="AC613" s="7">
        <f>IF($E613="","",AB613-R613)</f>
        <v/>
      </c>
      <c r="AF613">
        <f>IF($E613="","",IF($AR613=1,0,IF($AQ613=1,Settings!$C$6,Settings!$C$7))*100)</f>
        <v/>
      </c>
      <c r="AJ613" s="7" t="n"/>
      <c r="AM613" s="11" t="n"/>
      <c r="AO613">
        <f>IF($E613="","",IF(COUNTIF($E$2:$E613,$E613)=1,1,0))</f>
        <v/>
      </c>
      <c r="AP613">
        <f>IF($AO613=1,SUMPRODUCT(--($AS$2:$AS$1001&lt;$AS613))+1,"")</f>
        <v/>
      </c>
      <c r="AQ613">
        <f>IF($E613="","",IF(OR($V613=TRUE(),$V613="TRUE"),1,0))</f>
        <v/>
      </c>
      <c r="AR613">
        <f>IF($E613="","",IF($AE613="Yes",1,0))</f>
        <v/>
      </c>
      <c r="AS613">
        <f>IF($AO613=1,IFERROR(IF(VALUE($E613)&lt;100000000,VALUE($E613),1000000000),IFERROR(IF(VALUE(MID($E613,2,20))&lt;100000000,VALUE(MID($E613,2,20)),1000000000),1000000000))+ROW()/100000,"")</f>
        <v/>
      </c>
    </row>
    <row r="614">
      <c r="D614">
        <f>IF($E614="","",IFERROR(IF(INDEX('Per Invoice'!$A$2:$A$301,MATCH($E614,'Per Invoice'!$B$2:$B$301,0))=0,"",INDEX('Per Invoice'!$A$2:$A$301,MATCH($E614,'Per Invoice'!$B$2:$B$301,0))),""))</f>
        <v/>
      </c>
      <c r="H614" s="11" t="n"/>
      <c r="R614" s="7">
        <f>IF($E614="","",Q614*Z614/100)</f>
        <v/>
      </c>
      <c r="S614" s="7" t="n"/>
      <c r="Y614" s="7" t="n"/>
      <c r="Z614" s="7" t="n"/>
      <c r="AA614" s="7">
        <f>IF($E614="","",Z614*AF614/100)</f>
        <v/>
      </c>
      <c r="AB614" s="7">
        <f>IF($E614="","",Z614-AA614)</f>
        <v/>
      </c>
      <c r="AC614" s="7">
        <f>IF($E614="","",AB614-R614)</f>
        <v/>
      </c>
      <c r="AF614">
        <f>IF($E614="","",IF($AR614=1,0,IF($AQ614=1,Settings!$C$6,Settings!$C$7))*100)</f>
        <v/>
      </c>
      <c r="AJ614" s="7" t="n"/>
      <c r="AM614" s="11" t="n"/>
      <c r="AO614">
        <f>IF($E614="","",IF(COUNTIF($E$2:$E614,$E614)=1,1,0))</f>
        <v/>
      </c>
      <c r="AP614">
        <f>IF($AO614=1,SUMPRODUCT(--($AS$2:$AS$1001&lt;$AS614))+1,"")</f>
        <v/>
      </c>
      <c r="AQ614">
        <f>IF($E614="","",IF(OR($V614=TRUE(),$V614="TRUE"),1,0))</f>
        <v/>
      </c>
      <c r="AR614">
        <f>IF($E614="","",IF($AE614="Yes",1,0))</f>
        <v/>
      </c>
      <c r="AS614">
        <f>IF($AO614=1,IFERROR(IF(VALUE($E614)&lt;100000000,VALUE($E614),1000000000),IFERROR(IF(VALUE(MID($E614,2,20))&lt;100000000,VALUE(MID($E614,2,20)),1000000000),1000000000))+ROW()/100000,"")</f>
        <v/>
      </c>
    </row>
    <row r="615">
      <c r="D615">
        <f>IF($E615="","",IFERROR(IF(INDEX('Per Invoice'!$A$2:$A$301,MATCH($E615,'Per Invoice'!$B$2:$B$301,0))=0,"",INDEX('Per Invoice'!$A$2:$A$301,MATCH($E615,'Per Invoice'!$B$2:$B$301,0))),""))</f>
        <v/>
      </c>
      <c r="H615" s="11" t="n"/>
      <c r="R615" s="7">
        <f>IF($E615="","",Q615*Z615/100)</f>
        <v/>
      </c>
      <c r="S615" s="7" t="n"/>
      <c r="Y615" s="7" t="n"/>
      <c r="Z615" s="7" t="n"/>
      <c r="AA615" s="7">
        <f>IF($E615="","",Z615*AF615/100)</f>
        <v/>
      </c>
      <c r="AB615" s="7">
        <f>IF($E615="","",Z615-AA615)</f>
        <v/>
      </c>
      <c r="AC615" s="7">
        <f>IF($E615="","",AB615-R615)</f>
        <v/>
      </c>
      <c r="AF615">
        <f>IF($E615="","",IF($AR615=1,0,IF($AQ615=1,Settings!$C$6,Settings!$C$7))*100)</f>
        <v/>
      </c>
      <c r="AJ615" s="7" t="n"/>
      <c r="AM615" s="11" t="n"/>
      <c r="AO615">
        <f>IF($E615="","",IF(COUNTIF($E$2:$E615,$E615)=1,1,0))</f>
        <v/>
      </c>
      <c r="AP615">
        <f>IF($AO615=1,SUMPRODUCT(--($AS$2:$AS$1001&lt;$AS615))+1,"")</f>
        <v/>
      </c>
      <c r="AQ615">
        <f>IF($E615="","",IF(OR($V615=TRUE(),$V615="TRUE"),1,0))</f>
        <v/>
      </c>
      <c r="AR615">
        <f>IF($E615="","",IF($AE615="Yes",1,0))</f>
        <v/>
      </c>
      <c r="AS615">
        <f>IF($AO615=1,IFERROR(IF(VALUE($E615)&lt;100000000,VALUE($E615),1000000000),IFERROR(IF(VALUE(MID($E615,2,20))&lt;100000000,VALUE(MID($E615,2,20)),1000000000),1000000000))+ROW()/100000,"")</f>
        <v/>
      </c>
    </row>
    <row r="616">
      <c r="D616">
        <f>IF($E616="","",IFERROR(IF(INDEX('Per Invoice'!$A$2:$A$301,MATCH($E616,'Per Invoice'!$B$2:$B$301,0))=0,"",INDEX('Per Invoice'!$A$2:$A$301,MATCH($E616,'Per Invoice'!$B$2:$B$301,0))),""))</f>
        <v/>
      </c>
      <c r="H616" s="11" t="n"/>
      <c r="R616" s="7">
        <f>IF($E616="","",Q616*Z616/100)</f>
        <v/>
      </c>
      <c r="S616" s="7" t="n"/>
      <c r="Y616" s="7" t="n"/>
      <c r="Z616" s="7" t="n"/>
      <c r="AA616" s="7">
        <f>IF($E616="","",Z616*AF616/100)</f>
        <v/>
      </c>
      <c r="AB616" s="7">
        <f>IF($E616="","",Z616-AA616)</f>
        <v/>
      </c>
      <c r="AC616" s="7">
        <f>IF($E616="","",AB616-R616)</f>
        <v/>
      </c>
      <c r="AF616">
        <f>IF($E616="","",IF($AR616=1,0,IF($AQ616=1,Settings!$C$6,Settings!$C$7))*100)</f>
        <v/>
      </c>
      <c r="AJ616" s="7" t="n"/>
      <c r="AM616" s="11" t="n"/>
      <c r="AO616">
        <f>IF($E616="","",IF(COUNTIF($E$2:$E616,$E616)=1,1,0))</f>
        <v/>
      </c>
      <c r="AP616">
        <f>IF($AO616=1,SUMPRODUCT(--($AS$2:$AS$1001&lt;$AS616))+1,"")</f>
        <v/>
      </c>
      <c r="AQ616">
        <f>IF($E616="","",IF(OR($V616=TRUE(),$V616="TRUE"),1,0))</f>
        <v/>
      </c>
      <c r="AR616">
        <f>IF($E616="","",IF($AE616="Yes",1,0))</f>
        <v/>
      </c>
      <c r="AS616">
        <f>IF($AO616=1,IFERROR(IF(VALUE($E616)&lt;100000000,VALUE($E616),1000000000),IFERROR(IF(VALUE(MID($E616,2,20))&lt;100000000,VALUE(MID($E616,2,20)),1000000000),1000000000))+ROW()/100000,"")</f>
        <v/>
      </c>
    </row>
    <row r="617">
      <c r="D617">
        <f>IF($E617="","",IFERROR(IF(INDEX('Per Invoice'!$A$2:$A$301,MATCH($E617,'Per Invoice'!$B$2:$B$301,0))=0,"",INDEX('Per Invoice'!$A$2:$A$301,MATCH($E617,'Per Invoice'!$B$2:$B$301,0))),""))</f>
        <v/>
      </c>
      <c r="H617" s="11" t="n"/>
      <c r="R617" s="7">
        <f>IF($E617="","",Q617*Z617/100)</f>
        <v/>
      </c>
      <c r="S617" s="7" t="n"/>
      <c r="Y617" s="7" t="n"/>
      <c r="Z617" s="7" t="n"/>
      <c r="AA617" s="7">
        <f>IF($E617="","",Z617*AF617/100)</f>
        <v/>
      </c>
      <c r="AB617" s="7">
        <f>IF($E617="","",Z617-AA617)</f>
        <v/>
      </c>
      <c r="AC617" s="7">
        <f>IF($E617="","",AB617-R617)</f>
        <v/>
      </c>
      <c r="AF617">
        <f>IF($E617="","",IF($AR617=1,0,IF($AQ617=1,Settings!$C$6,Settings!$C$7))*100)</f>
        <v/>
      </c>
      <c r="AJ617" s="7" t="n"/>
      <c r="AM617" s="11" t="n"/>
      <c r="AO617">
        <f>IF($E617="","",IF(COUNTIF($E$2:$E617,$E617)=1,1,0))</f>
        <v/>
      </c>
      <c r="AP617">
        <f>IF($AO617=1,SUMPRODUCT(--($AS$2:$AS$1001&lt;$AS617))+1,"")</f>
        <v/>
      </c>
      <c r="AQ617">
        <f>IF($E617="","",IF(OR($V617=TRUE(),$V617="TRUE"),1,0))</f>
        <v/>
      </c>
      <c r="AR617">
        <f>IF($E617="","",IF($AE617="Yes",1,0))</f>
        <v/>
      </c>
      <c r="AS617">
        <f>IF($AO617=1,IFERROR(IF(VALUE($E617)&lt;100000000,VALUE($E617),1000000000),IFERROR(IF(VALUE(MID($E617,2,20))&lt;100000000,VALUE(MID($E617,2,20)),1000000000),1000000000))+ROW()/100000,"")</f>
        <v/>
      </c>
    </row>
    <row r="618">
      <c r="D618">
        <f>IF($E618="","",IFERROR(IF(INDEX('Per Invoice'!$A$2:$A$301,MATCH($E618,'Per Invoice'!$B$2:$B$301,0))=0,"",INDEX('Per Invoice'!$A$2:$A$301,MATCH($E618,'Per Invoice'!$B$2:$B$301,0))),""))</f>
        <v/>
      </c>
      <c r="H618" s="11" t="n"/>
      <c r="R618" s="7">
        <f>IF($E618="","",Q618*Z618/100)</f>
        <v/>
      </c>
      <c r="S618" s="7" t="n"/>
      <c r="Y618" s="7" t="n"/>
      <c r="Z618" s="7" t="n"/>
      <c r="AA618" s="7">
        <f>IF($E618="","",Z618*AF618/100)</f>
        <v/>
      </c>
      <c r="AB618" s="7">
        <f>IF($E618="","",Z618-AA618)</f>
        <v/>
      </c>
      <c r="AC618" s="7">
        <f>IF($E618="","",AB618-R618)</f>
        <v/>
      </c>
      <c r="AF618">
        <f>IF($E618="","",IF($AR618=1,0,IF($AQ618=1,Settings!$C$6,Settings!$C$7))*100)</f>
        <v/>
      </c>
      <c r="AJ618" s="7" t="n"/>
      <c r="AM618" s="11" t="n"/>
      <c r="AO618">
        <f>IF($E618="","",IF(COUNTIF($E$2:$E618,$E618)=1,1,0))</f>
        <v/>
      </c>
      <c r="AP618">
        <f>IF($AO618=1,SUMPRODUCT(--($AS$2:$AS$1001&lt;$AS618))+1,"")</f>
        <v/>
      </c>
      <c r="AQ618">
        <f>IF($E618="","",IF(OR($V618=TRUE(),$V618="TRUE"),1,0))</f>
        <v/>
      </c>
      <c r="AR618">
        <f>IF($E618="","",IF($AE618="Yes",1,0))</f>
        <v/>
      </c>
      <c r="AS618">
        <f>IF($AO618=1,IFERROR(IF(VALUE($E618)&lt;100000000,VALUE($E618),1000000000),IFERROR(IF(VALUE(MID($E618,2,20))&lt;100000000,VALUE(MID($E618,2,20)),1000000000),1000000000))+ROW()/100000,"")</f>
        <v/>
      </c>
    </row>
    <row r="619">
      <c r="D619">
        <f>IF($E619="","",IFERROR(IF(INDEX('Per Invoice'!$A$2:$A$301,MATCH($E619,'Per Invoice'!$B$2:$B$301,0))=0,"",INDEX('Per Invoice'!$A$2:$A$301,MATCH($E619,'Per Invoice'!$B$2:$B$301,0))),""))</f>
        <v/>
      </c>
      <c r="H619" s="11" t="n"/>
      <c r="R619" s="7">
        <f>IF($E619="","",Q619*Z619/100)</f>
        <v/>
      </c>
      <c r="S619" s="7" t="n"/>
      <c r="Y619" s="7" t="n"/>
      <c r="Z619" s="7" t="n"/>
      <c r="AA619" s="7">
        <f>IF($E619="","",Z619*AF619/100)</f>
        <v/>
      </c>
      <c r="AB619" s="7">
        <f>IF($E619="","",Z619-AA619)</f>
        <v/>
      </c>
      <c r="AC619" s="7">
        <f>IF($E619="","",AB619-R619)</f>
        <v/>
      </c>
      <c r="AF619">
        <f>IF($E619="","",IF($AR619=1,0,IF($AQ619=1,Settings!$C$6,Settings!$C$7))*100)</f>
        <v/>
      </c>
      <c r="AJ619" s="7" t="n"/>
      <c r="AM619" s="11" t="n"/>
      <c r="AO619">
        <f>IF($E619="","",IF(COUNTIF($E$2:$E619,$E619)=1,1,0))</f>
        <v/>
      </c>
      <c r="AP619">
        <f>IF($AO619=1,SUMPRODUCT(--($AS$2:$AS$1001&lt;$AS619))+1,"")</f>
        <v/>
      </c>
      <c r="AQ619">
        <f>IF($E619="","",IF(OR($V619=TRUE(),$V619="TRUE"),1,0))</f>
        <v/>
      </c>
      <c r="AR619">
        <f>IF($E619="","",IF($AE619="Yes",1,0))</f>
        <v/>
      </c>
      <c r="AS619">
        <f>IF($AO619=1,IFERROR(IF(VALUE($E619)&lt;100000000,VALUE($E619),1000000000),IFERROR(IF(VALUE(MID($E619,2,20))&lt;100000000,VALUE(MID($E619,2,20)),1000000000),1000000000))+ROW()/100000,"")</f>
        <v/>
      </c>
    </row>
    <row r="620">
      <c r="D620">
        <f>IF($E620="","",IFERROR(IF(INDEX('Per Invoice'!$A$2:$A$301,MATCH($E620,'Per Invoice'!$B$2:$B$301,0))=0,"",INDEX('Per Invoice'!$A$2:$A$301,MATCH($E620,'Per Invoice'!$B$2:$B$301,0))),""))</f>
        <v/>
      </c>
      <c r="H620" s="11" t="n"/>
      <c r="R620" s="7">
        <f>IF($E620="","",Q620*Z620/100)</f>
        <v/>
      </c>
      <c r="S620" s="7" t="n"/>
      <c r="Y620" s="7" t="n"/>
      <c r="Z620" s="7" t="n"/>
      <c r="AA620" s="7">
        <f>IF($E620="","",Z620*AF620/100)</f>
        <v/>
      </c>
      <c r="AB620" s="7">
        <f>IF($E620="","",Z620-AA620)</f>
        <v/>
      </c>
      <c r="AC620" s="7">
        <f>IF($E620="","",AB620-R620)</f>
        <v/>
      </c>
      <c r="AF620">
        <f>IF($E620="","",IF($AR620=1,0,IF($AQ620=1,Settings!$C$6,Settings!$C$7))*100)</f>
        <v/>
      </c>
      <c r="AJ620" s="7" t="n"/>
      <c r="AM620" s="11" t="n"/>
      <c r="AO620">
        <f>IF($E620="","",IF(COUNTIF($E$2:$E620,$E620)=1,1,0))</f>
        <v/>
      </c>
      <c r="AP620">
        <f>IF($AO620=1,SUMPRODUCT(--($AS$2:$AS$1001&lt;$AS620))+1,"")</f>
        <v/>
      </c>
      <c r="AQ620">
        <f>IF($E620="","",IF(OR($V620=TRUE(),$V620="TRUE"),1,0))</f>
        <v/>
      </c>
      <c r="AR620">
        <f>IF($E620="","",IF($AE620="Yes",1,0))</f>
        <v/>
      </c>
      <c r="AS620">
        <f>IF($AO620=1,IFERROR(IF(VALUE($E620)&lt;100000000,VALUE($E620),1000000000),IFERROR(IF(VALUE(MID($E620,2,20))&lt;100000000,VALUE(MID($E620,2,20)),1000000000),1000000000))+ROW()/100000,"")</f>
        <v/>
      </c>
    </row>
    <row r="621">
      <c r="D621">
        <f>IF($E621="","",IFERROR(IF(INDEX('Per Invoice'!$A$2:$A$301,MATCH($E621,'Per Invoice'!$B$2:$B$301,0))=0,"",INDEX('Per Invoice'!$A$2:$A$301,MATCH($E621,'Per Invoice'!$B$2:$B$301,0))),""))</f>
        <v/>
      </c>
      <c r="H621" s="11" t="n"/>
      <c r="R621" s="7">
        <f>IF($E621="","",Q621*Z621/100)</f>
        <v/>
      </c>
      <c r="S621" s="7" t="n"/>
      <c r="Y621" s="7" t="n"/>
      <c r="Z621" s="7" t="n"/>
      <c r="AA621" s="7">
        <f>IF($E621="","",Z621*AF621/100)</f>
        <v/>
      </c>
      <c r="AB621" s="7">
        <f>IF($E621="","",Z621-AA621)</f>
        <v/>
      </c>
      <c r="AC621" s="7">
        <f>IF($E621="","",AB621-R621)</f>
        <v/>
      </c>
      <c r="AF621">
        <f>IF($E621="","",IF($AR621=1,0,IF($AQ621=1,Settings!$C$6,Settings!$C$7))*100)</f>
        <v/>
      </c>
      <c r="AJ621" s="7" t="n"/>
      <c r="AM621" s="11" t="n"/>
      <c r="AO621">
        <f>IF($E621="","",IF(COUNTIF($E$2:$E621,$E621)=1,1,0))</f>
        <v/>
      </c>
      <c r="AP621">
        <f>IF($AO621=1,SUMPRODUCT(--($AS$2:$AS$1001&lt;$AS621))+1,"")</f>
        <v/>
      </c>
      <c r="AQ621">
        <f>IF($E621="","",IF(OR($V621=TRUE(),$V621="TRUE"),1,0))</f>
        <v/>
      </c>
      <c r="AR621">
        <f>IF($E621="","",IF($AE621="Yes",1,0))</f>
        <v/>
      </c>
      <c r="AS621">
        <f>IF($AO621=1,IFERROR(IF(VALUE($E621)&lt;100000000,VALUE($E621),1000000000),IFERROR(IF(VALUE(MID($E621,2,20))&lt;100000000,VALUE(MID($E621,2,20)),1000000000),1000000000))+ROW()/100000,"")</f>
        <v/>
      </c>
    </row>
    <row r="622">
      <c r="D622">
        <f>IF($E622="","",IFERROR(IF(INDEX('Per Invoice'!$A$2:$A$301,MATCH($E622,'Per Invoice'!$B$2:$B$301,0))=0,"",INDEX('Per Invoice'!$A$2:$A$301,MATCH($E622,'Per Invoice'!$B$2:$B$301,0))),""))</f>
        <v/>
      </c>
      <c r="H622" s="11" t="n"/>
      <c r="R622" s="7">
        <f>IF($E622="","",Q622*Z622/100)</f>
        <v/>
      </c>
      <c r="S622" s="7" t="n"/>
      <c r="Y622" s="7" t="n"/>
      <c r="Z622" s="7" t="n"/>
      <c r="AA622" s="7">
        <f>IF($E622="","",Z622*AF622/100)</f>
        <v/>
      </c>
      <c r="AB622" s="7">
        <f>IF($E622="","",Z622-AA622)</f>
        <v/>
      </c>
      <c r="AC622" s="7">
        <f>IF($E622="","",AB622-R622)</f>
        <v/>
      </c>
      <c r="AF622">
        <f>IF($E622="","",IF($AR622=1,0,IF($AQ622=1,Settings!$C$6,Settings!$C$7))*100)</f>
        <v/>
      </c>
      <c r="AJ622" s="7" t="n"/>
      <c r="AM622" s="11" t="n"/>
      <c r="AO622">
        <f>IF($E622="","",IF(COUNTIF($E$2:$E622,$E622)=1,1,0))</f>
        <v/>
      </c>
      <c r="AP622">
        <f>IF($AO622=1,SUMPRODUCT(--($AS$2:$AS$1001&lt;$AS622))+1,"")</f>
        <v/>
      </c>
      <c r="AQ622">
        <f>IF($E622="","",IF(OR($V622=TRUE(),$V622="TRUE"),1,0))</f>
        <v/>
      </c>
      <c r="AR622">
        <f>IF($E622="","",IF($AE622="Yes",1,0))</f>
        <v/>
      </c>
      <c r="AS622">
        <f>IF($AO622=1,IFERROR(IF(VALUE($E622)&lt;100000000,VALUE($E622),1000000000),IFERROR(IF(VALUE(MID($E622,2,20))&lt;100000000,VALUE(MID($E622,2,20)),1000000000),1000000000))+ROW()/100000,"")</f>
        <v/>
      </c>
    </row>
    <row r="623">
      <c r="D623">
        <f>IF($E623="","",IFERROR(IF(INDEX('Per Invoice'!$A$2:$A$301,MATCH($E623,'Per Invoice'!$B$2:$B$301,0))=0,"",INDEX('Per Invoice'!$A$2:$A$301,MATCH($E623,'Per Invoice'!$B$2:$B$301,0))),""))</f>
        <v/>
      </c>
      <c r="H623" s="11" t="n"/>
      <c r="R623" s="7">
        <f>IF($E623="","",Q623*Z623/100)</f>
        <v/>
      </c>
      <c r="S623" s="7" t="n"/>
      <c r="Y623" s="7" t="n"/>
      <c r="Z623" s="7" t="n"/>
      <c r="AA623" s="7">
        <f>IF($E623="","",Z623*AF623/100)</f>
        <v/>
      </c>
      <c r="AB623" s="7">
        <f>IF($E623="","",Z623-AA623)</f>
        <v/>
      </c>
      <c r="AC623" s="7">
        <f>IF($E623="","",AB623-R623)</f>
        <v/>
      </c>
      <c r="AF623">
        <f>IF($E623="","",IF($AR623=1,0,IF($AQ623=1,Settings!$C$6,Settings!$C$7))*100)</f>
        <v/>
      </c>
      <c r="AJ623" s="7" t="n"/>
      <c r="AM623" s="11" t="n"/>
      <c r="AO623">
        <f>IF($E623="","",IF(COUNTIF($E$2:$E623,$E623)=1,1,0))</f>
        <v/>
      </c>
      <c r="AP623">
        <f>IF($AO623=1,SUMPRODUCT(--($AS$2:$AS$1001&lt;$AS623))+1,"")</f>
        <v/>
      </c>
      <c r="AQ623">
        <f>IF($E623="","",IF(OR($V623=TRUE(),$V623="TRUE"),1,0))</f>
        <v/>
      </c>
      <c r="AR623">
        <f>IF($E623="","",IF($AE623="Yes",1,0))</f>
        <v/>
      </c>
      <c r="AS623">
        <f>IF($AO623=1,IFERROR(IF(VALUE($E623)&lt;100000000,VALUE($E623),1000000000),IFERROR(IF(VALUE(MID($E623,2,20))&lt;100000000,VALUE(MID($E623,2,20)),1000000000),1000000000))+ROW()/100000,"")</f>
        <v/>
      </c>
    </row>
    <row r="624">
      <c r="D624">
        <f>IF($E624="","",IFERROR(IF(INDEX('Per Invoice'!$A$2:$A$301,MATCH($E624,'Per Invoice'!$B$2:$B$301,0))=0,"",INDEX('Per Invoice'!$A$2:$A$301,MATCH($E624,'Per Invoice'!$B$2:$B$301,0))),""))</f>
        <v/>
      </c>
      <c r="H624" s="11" t="n"/>
      <c r="R624" s="7">
        <f>IF($E624="","",Q624*Z624/100)</f>
        <v/>
      </c>
      <c r="S624" s="7" t="n"/>
      <c r="Y624" s="7" t="n"/>
      <c r="Z624" s="7" t="n"/>
      <c r="AA624" s="7">
        <f>IF($E624="","",Z624*AF624/100)</f>
        <v/>
      </c>
      <c r="AB624" s="7">
        <f>IF($E624="","",Z624-AA624)</f>
        <v/>
      </c>
      <c r="AC624" s="7">
        <f>IF($E624="","",AB624-R624)</f>
        <v/>
      </c>
      <c r="AF624">
        <f>IF($E624="","",IF($AR624=1,0,IF($AQ624=1,Settings!$C$6,Settings!$C$7))*100)</f>
        <v/>
      </c>
      <c r="AJ624" s="7" t="n"/>
      <c r="AM624" s="11" t="n"/>
      <c r="AO624">
        <f>IF($E624="","",IF(COUNTIF($E$2:$E624,$E624)=1,1,0))</f>
        <v/>
      </c>
      <c r="AP624">
        <f>IF($AO624=1,SUMPRODUCT(--($AS$2:$AS$1001&lt;$AS624))+1,"")</f>
        <v/>
      </c>
      <c r="AQ624">
        <f>IF($E624="","",IF(OR($V624=TRUE(),$V624="TRUE"),1,0))</f>
        <v/>
      </c>
      <c r="AR624">
        <f>IF($E624="","",IF($AE624="Yes",1,0))</f>
        <v/>
      </c>
      <c r="AS624">
        <f>IF($AO624=1,IFERROR(IF(VALUE($E624)&lt;100000000,VALUE($E624),1000000000),IFERROR(IF(VALUE(MID($E624,2,20))&lt;100000000,VALUE(MID($E624,2,20)),1000000000),1000000000))+ROW()/100000,"")</f>
        <v/>
      </c>
    </row>
    <row r="625">
      <c r="D625">
        <f>IF($E625="","",IFERROR(IF(INDEX('Per Invoice'!$A$2:$A$301,MATCH($E625,'Per Invoice'!$B$2:$B$301,0))=0,"",INDEX('Per Invoice'!$A$2:$A$301,MATCH($E625,'Per Invoice'!$B$2:$B$301,0))),""))</f>
        <v/>
      </c>
      <c r="H625" s="11" t="n"/>
      <c r="R625" s="7">
        <f>IF($E625="","",Q625*Z625/100)</f>
        <v/>
      </c>
      <c r="S625" s="7" t="n"/>
      <c r="Y625" s="7" t="n"/>
      <c r="Z625" s="7" t="n"/>
      <c r="AA625" s="7">
        <f>IF($E625="","",Z625*AF625/100)</f>
        <v/>
      </c>
      <c r="AB625" s="7">
        <f>IF($E625="","",Z625-AA625)</f>
        <v/>
      </c>
      <c r="AC625" s="7">
        <f>IF($E625="","",AB625-R625)</f>
        <v/>
      </c>
      <c r="AF625">
        <f>IF($E625="","",IF($AR625=1,0,IF($AQ625=1,Settings!$C$6,Settings!$C$7))*100)</f>
        <v/>
      </c>
      <c r="AJ625" s="7" t="n"/>
      <c r="AM625" s="11" t="n"/>
      <c r="AO625">
        <f>IF($E625="","",IF(COUNTIF($E$2:$E625,$E625)=1,1,0))</f>
        <v/>
      </c>
      <c r="AP625">
        <f>IF($AO625=1,SUMPRODUCT(--($AS$2:$AS$1001&lt;$AS625))+1,"")</f>
        <v/>
      </c>
      <c r="AQ625">
        <f>IF($E625="","",IF(OR($V625=TRUE(),$V625="TRUE"),1,0))</f>
        <v/>
      </c>
      <c r="AR625">
        <f>IF($E625="","",IF($AE625="Yes",1,0))</f>
        <v/>
      </c>
      <c r="AS625">
        <f>IF($AO625=1,IFERROR(IF(VALUE($E625)&lt;100000000,VALUE($E625),1000000000),IFERROR(IF(VALUE(MID($E625,2,20))&lt;100000000,VALUE(MID($E625,2,20)),1000000000),1000000000))+ROW()/100000,"")</f>
        <v/>
      </c>
    </row>
    <row r="626">
      <c r="D626">
        <f>IF($E626="","",IFERROR(IF(INDEX('Per Invoice'!$A$2:$A$301,MATCH($E626,'Per Invoice'!$B$2:$B$301,0))=0,"",INDEX('Per Invoice'!$A$2:$A$301,MATCH($E626,'Per Invoice'!$B$2:$B$301,0))),""))</f>
        <v/>
      </c>
      <c r="H626" s="11" t="n"/>
      <c r="R626" s="7">
        <f>IF($E626="","",Q626*Z626/100)</f>
        <v/>
      </c>
      <c r="S626" s="7" t="n"/>
      <c r="Y626" s="7" t="n"/>
      <c r="Z626" s="7" t="n"/>
      <c r="AA626" s="7">
        <f>IF($E626="","",Z626*AF626/100)</f>
        <v/>
      </c>
      <c r="AB626" s="7">
        <f>IF($E626="","",Z626-AA626)</f>
        <v/>
      </c>
      <c r="AC626" s="7">
        <f>IF($E626="","",AB626-R626)</f>
        <v/>
      </c>
      <c r="AF626">
        <f>IF($E626="","",IF($AR626=1,0,IF($AQ626=1,Settings!$C$6,Settings!$C$7))*100)</f>
        <v/>
      </c>
      <c r="AJ626" s="7" t="n"/>
      <c r="AM626" s="11" t="n"/>
      <c r="AO626">
        <f>IF($E626="","",IF(COUNTIF($E$2:$E626,$E626)=1,1,0))</f>
        <v/>
      </c>
      <c r="AP626">
        <f>IF($AO626=1,SUMPRODUCT(--($AS$2:$AS$1001&lt;$AS626))+1,"")</f>
        <v/>
      </c>
      <c r="AQ626">
        <f>IF($E626="","",IF(OR($V626=TRUE(),$V626="TRUE"),1,0))</f>
        <v/>
      </c>
      <c r="AR626">
        <f>IF($E626="","",IF($AE626="Yes",1,0))</f>
        <v/>
      </c>
      <c r="AS626">
        <f>IF($AO626=1,IFERROR(IF(VALUE($E626)&lt;100000000,VALUE($E626),1000000000),IFERROR(IF(VALUE(MID($E626,2,20))&lt;100000000,VALUE(MID($E626,2,20)),1000000000),1000000000))+ROW()/100000,"")</f>
        <v/>
      </c>
    </row>
    <row r="627">
      <c r="D627">
        <f>IF($E627="","",IFERROR(IF(INDEX('Per Invoice'!$A$2:$A$301,MATCH($E627,'Per Invoice'!$B$2:$B$301,0))=0,"",INDEX('Per Invoice'!$A$2:$A$301,MATCH($E627,'Per Invoice'!$B$2:$B$301,0))),""))</f>
        <v/>
      </c>
      <c r="H627" s="11" t="n"/>
      <c r="R627" s="7">
        <f>IF($E627="","",Q627*Z627/100)</f>
        <v/>
      </c>
      <c r="S627" s="7" t="n"/>
      <c r="Y627" s="7" t="n"/>
      <c r="Z627" s="7" t="n"/>
      <c r="AA627" s="7">
        <f>IF($E627="","",Z627*AF627/100)</f>
        <v/>
      </c>
      <c r="AB627" s="7">
        <f>IF($E627="","",Z627-AA627)</f>
        <v/>
      </c>
      <c r="AC627" s="7">
        <f>IF($E627="","",AB627-R627)</f>
        <v/>
      </c>
      <c r="AF627">
        <f>IF($E627="","",IF($AR627=1,0,IF($AQ627=1,Settings!$C$6,Settings!$C$7))*100)</f>
        <v/>
      </c>
      <c r="AJ627" s="7" t="n"/>
      <c r="AM627" s="11" t="n"/>
      <c r="AO627">
        <f>IF($E627="","",IF(COUNTIF($E$2:$E627,$E627)=1,1,0))</f>
        <v/>
      </c>
      <c r="AP627">
        <f>IF($AO627=1,SUMPRODUCT(--($AS$2:$AS$1001&lt;$AS627))+1,"")</f>
        <v/>
      </c>
      <c r="AQ627">
        <f>IF($E627="","",IF(OR($V627=TRUE(),$V627="TRUE"),1,0))</f>
        <v/>
      </c>
      <c r="AR627">
        <f>IF($E627="","",IF($AE627="Yes",1,0))</f>
        <v/>
      </c>
      <c r="AS627">
        <f>IF($AO627=1,IFERROR(IF(VALUE($E627)&lt;100000000,VALUE($E627),1000000000),IFERROR(IF(VALUE(MID($E627,2,20))&lt;100000000,VALUE(MID($E627,2,20)),1000000000),1000000000))+ROW()/100000,"")</f>
        <v/>
      </c>
    </row>
    <row r="628">
      <c r="D628">
        <f>IF($E628="","",IFERROR(IF(INDEX('Per Invoice'!$A$2:$A$301,MATCH($E628,'Per Invoice'!$B$2:$B$301,0))=0,"",INDEX('Per Invoice'!$A$2:$A$301,MATCH($E628,'Per Invoice'!$B$2:$B$301,0))),""))</f>
        <v/>
      </c>
      <c r="H628" s="11" t="n"/>
      <c r="R628" s="7">
        <f>IF($E628="","",Q628*Z628/100)</f>
        <v/>
      </c>
      <c r="S628" s="7" t="n"/>
      <c r="Y628" s="7" t="n"/>
      <c r="Z628" s="7" t="n"/>
      <c r="AA628" s="7">
        <f>IF($E628="","",Z628*AF628/100)</f>
        <v/>
      </c>
      <c r="AB628" s="7">
        <f>IF($E628="","",Z628-AA628)</f>
        <v/>
      </c>
      <c r="AC628" s="7">
        <f>IF($E628="","",AB628-R628)</f>
        <v/>
      </c>
      <c r="AF628">
        <f>IF($E628="","",IF($AR628=1,0,IF($AQ628=1,Settings!$C$6,Settings!$C$7))*100)</f>
        <v/>
      </c>
      <c r="AJ628" s="7" t="n"/>
      <c r="AM628" s="11" t="n"/>
      <c r="AO628">
        <f>IF($E628="","",IF(COUNTIF($E$2:$E628,$E628)=1,1,0))</f>
        <v/>
      </c>
      <c r="AP628">
        <f>IF($AO628=1,SUMPRODUCT(--($AS$2:$AS$1001&lt;$AS628))+1,"")</f>
        <v/>
      </c>
      <c r="AQ628">
        <f>IF($E628="","",IF(OR($V628=TRUE(),$V628="TRUE"),1,0))</f>
        <v/>
      </c>
      <c r="AR628">
        <f>IF($E628="","",IF($AE628="Yes",1,0))</f>
        <v/>
      </c>
      <c r="AS628">
        <f>IF($AO628=1,IFERROR(IF(VALUE($E628)&lt;100000000,VALUE($E628),1000000000),IFERROR(IF(VALUE(MID($E628,2,20))&lt;100000000,VALUE(MID($E628,2,20)),1000000000),1000000000))+ROW()/100000,"")</f>
        <v/>
      </c>
    </row>
    <row r="629">
      <c r="D629">
        <f>IF($E629="","",IFERROR(IF(INDEX('Per Invoice'!$A$2:$A$301,MATCH($E629,'Per Invoice'!$B$2:$B$301,0))=0,"",INDEX('Per Invoice'!$A$2:$A$301,MATCH($E629,'Per Invoice'!$B$2:$B$301,0))),""))</f>
        <v/>
      </c>
      <c r="H629" s="11" t="n"/>
      <c r="R629" s="7">
        <f>IF($E629="","",Q629*Z629/100)</f>
        <v/>
      </c>
      <c r="S629" s="7" t="n"/>
      <c r="Y629" s="7" t="n"/>
      <c r="Z629" s="7" t="n"/>
      <c r="AA629" s="7">
        <f>IF($E629="","",Z629*AF629/100)</f>
        <v/>
      </c>
      <c r="AB629" s="7">
        <f>IF($E629="","",Z629-AA629)</f>
        <v/>
      </c>
      <c r="AC629" s="7">
        <f>IF($E629="","",AB629-R629)</f>
        <v/>
      </c>
      <c r="AF629">
        <f>IF($E629="","",IF($AR629=1,0,IF($AQ629=1,Settings!$C$6,Settings!$C$7))*100)</f>
        <v/>
      </c>
      <c r="AJ629" s="7" t="n"/>
      <c r="AM629" s="11" t="n"/>
      <c r="AO629">
        <f>IF($E629="","",IF(COUNTIF($E$2:$E629,$E629)=1,1,0))</f>
        <v/>
      </c>
      <c r="AP629">
        <f>IF($AO629=1,SUMPRODUCT(--($AS$2:$AS$1001&lt;$AS629))+1,"")</f>
        <v/>
      </c>
      <c r="AQ629">
        <f>IF($E629="","",IF(OR($V629=TRUE(),$V629="TRUE"),1,0))</f>
        <v/>
      </c>
      <c r="AR629">
        <f>IF($E629="","",IF($AE629="Yes",1,0))</f>
        <v/>
      </c>
      <c r="AS629">
        <f>IF($AO629=1,IFERROR(IF(VALUE($E629)&lt;100000000,VALUE($E629),1000000000),IFERROR(IF(VALUE(MID($E629,2,20))&lt;100000000,VALUE(MID($E629,2,20)),1000000000),1000000000))+ROW()/100000,"")</f>
        <v/>
      </c>
    </row>
    <row r="630">
      <c r="D630">
        <f>IF($E630="","",IFERROR(IF(INDEX('Per Invoice'!$A$2:$A$301,MATCH($E630,'Per Invoice'!$B$2:$B$301,0))=0,"",INDEX('Per Invoice'!$A$2:$A$301,MATCH($E630,'Per Invoice'!$B$2:$B$301,0))),""))</f>
        <v/>
      </c>
      <c r="H630" s="11" t="n"/>
      <c r="R630" s="7">
        <f>IF($E630="","",Q630*Z630/100)</f>
        <v/>
      </c>
      <c r="S630" s="7" t="n"/>
      <c r="Y630" s="7" t="n"/>
      <c r="Z630" s="7" t="n"/>
      <c r="AA630" s="7">
        <f>IF($E630="","",Z630*AF630/100)</f>
        <v/>
      </c>
      <c r="AB630" s="7">
        <f>IF($E630="","",Z630-AA630)</f>
        <v/>
      </c>
      <c r="AC630" s="7">
        <f>IF($E630="","",AB630-R630)</f>
        <v/>
      </c>
      <c r="AF630">
        <f>IF($E630="","",IF($AR630=1,0,IF($AQ630=1,Settings!$C$6,Settings!$C$7))*100)</f>
        <v/>
      </c>
      <c r="AJ630" s="7" t="n"/>
      <c r="AM630" s="11" t="n"/>
      <c r="AO630">
        <f>IF($E630="","",IF(COUNTIF($E$2:$E630,$E630)=1,1,0))</f>
        <v/>
      </c>
      <c r="AP630">
        <f>IF($AO630=1,SUMPRODUCT(--($AS$2:$AS$1001&lt;$AS630))+1,"")</f>
        <v/>
      </c>
      <c r="AQ630">
        <f>IF($E630="","",IF(OR($V630=TRUE(),$V630="TRUE"),1,0))</f>
        <v/>
      </c>
      <c r="AR630">
        <f>IF($E630="","",IF($AE630="Yes",1,0))</f>
        <v/>
      </c>
      <c r="AS630">
        <f>IF($AO630=1,IFERROR(IF(VALUE($E630)&lt;100000000,VALUE($E630),1000000000),IFERROR(IF(VALUE(MID($E630,2,20))&lt;100000000,VALUE(MID($E630,2,20)),1000000000),1000000000))+ROW()/100000,"")</f>
        <v/>
      </c>
    </row>
    <row r="631">
      <c r="D631">
        <f>IF($E631="","",IFERROR(IF(INDEX('Per Invoice'!$A$2:$A$301,MATCH($E631,'Per Invoice'!$B$2:$B$301,0))=0,"",INDEX('Per Invoice'!$A$2:$A$301,MATCH($E631,'Per Invoice'!$B$2:$B$301,0))),""))</f>
        <v/>
      </c>
      <c r="H631" s="11" t="n"/>
      <c r="R631" s="7">
        <f>IF($E631="","",Q631*Z631/100)</f>
        <v/>
      </c>
      <c r="S631" s="7" t="n"/>
      <c r="Y631" s="7" t="n"/>
      <c r="Z631" s="7" t="n"/>
      <c r="AA631" s="7">
        <f>IF($E631="","",Z631*AF631/100)</f>
        <v/>
      </c>
      <c r="AB631" s="7">
        <f>IF($E631="","",Z631-AA631)</f>
        <v/>
      </c>
      <c r="AC631" s="7">
        <f>IF($E631="","",AB631-R631)</f>
        <v/>
      </c>
      <c r="AF631">
        <f>IF($E631="","",IF($AR631=1,0,IF($AQ631=1,Settings!$C$6,Settings!$C$7))*100)</f>
        <v/>
      </c>
      <c r="AJ631" s="7" t="n"/>
      <c r="AM631" s="11" t="n"/>
      <c r="AO631">
        <f>IF($E631="","",IF(COUNTIF($E$2:$E631,$E631)=1,1,0))</f>
        <v/>
      </c>
      <c r="AP631">
        <f>IF($AO631=1,SUMPRODUCT(--($AS$2:$AS$1001&lt;$AS631))+1,"")</f>
        <v/>
      </c>
      <c r="AQ631">
        <f>IF($E631="","",IF(OR($V631=TRUE(),$V631="TRUE"),1,0))</f>
        <v/>
      </c>
      <c r="AR631">
        <f>IF($E631="","",IF($AE631="Yes",1,0))</f>
        <v/>
      </c>
      <c r="AS631">
        <f>IF($AO631=1,IFERROR(IF(VALUE($E631)&lt;100000000,VALUE($E631),1000000000),IFERROR(IF(VALUE(MID($E631,2,20))&lt;100000000,VALUE(MID($E631,2,20)),1000000000),1000000000))+ROW()/100000,"")</f>
        <v/>
      </c>
    </row>
    <row r="632">
      <c r="D632">
        <f>IF($E632="","",IFERROR(IF(INDEX('Per Invoice'!$A$2:$A$301,MATCH($E632,'Per Invoice'!$B$2:$B$301,0))=0,"",INDEX('Per Invoice'!$A$2:$A$301,MATCH($E632,'Per Invoice'!$B$2:$B$301,0))),""))</f>
        <v/>
      </c>
      <c r="H632" s="11" t="n"/>
      <c r="R632" s="7">
        <f>IF($E632="","",Q632*Z632/100)</f>
        <v/>
      </c>
      <c r="S632" s="7" t="n"/>
      <c r="Y632" s="7" t="n"/>
      <c r="Z632" s="7" t="n"/>
      <c r="AA632" s="7">
        <f>IF($E632="","",Z632*AF632/100)</f>
        <v/>
      </c>
      <c r="AB632" s="7">
        <f>IF($E632="","",Z632-AA632)</f>
        <v/>
      </c>
      <c r="AC632" s="7">
        <f>IF($E632="","",AB632-R632)</f>
        <v/>
      </c>
      <c r="AF632">
        <f>IF($E632="","",IF($AR632=1,0,IF($AQ632=1,Settings!$C$6,Settings!$C$7))*100)</f>
        <v/>
      </c>
      <c r="AJ632" s="7" t="n"/>
      <c r="AM632" s="11" t="n"/>
      <c r="AO632">
        <f>IF($E632="","",IF(COUNTIF($E$2:$E632,$E632)=1,1,0))</f>
        <v/>
      </c>
      <c r="AP632">
        <f>IF($AO632=1,SUMPRODUCT(--($AS$2:$AS$1001&lt;$AS632))+1,"")</f>
        <v/>
      </c>
      <c r="AQ632">
        <f>IF($E632="","",IF(OR($V632=TRUE(),$V632="TRUE"),1,0))</f>
        <v/>
      </c>
      <c r="AR632">
        <f>IF($E632="","",IF($AE632="Yes",1,0))</f>
        <v/>
      </c>
      <c r="AS632">
        <f>IF($AO632=1,IFERROR(IF(VALUE($E632)&lt;100000000,VALUE($E632),1000000000),IFERROR(IF(VALUE(MID($E632,2,20))&lt;100000000,VALUE(MID($E632,2,20)),1000000000),1000000000))+ROW()/100000,"")</f>
        <v/>
      </c>
    </row>
    <row r="633">
      <c r="D633">
        <f>IF($E633="","",IFERROR(IF(INDEX('Per Invoice'!$A$2:$A$301,MATCH($E633,'Per Invoice'!$B$2:$B$301,0))=0,"",INDEX('Per Invoice'!$A$2:$A$301,MATCH($E633,'Per Invoice'!$B$2:$B$301,0))),""))</f>
        <v/>
      </c>
      <c r="H633" s="11" t="n"/>
      <c r="R633" s="7">
        <f>IF($E633="","",Q633*Z633/100)</f>
        <v/>
      </c>
      <c r="S633" s="7" t="n"/>
      <c r="Y633" s="7" t="n"/>
      <c r="Z633" s="7" t="n"/>
      <c r="AA633" s="7">
        <f>IF($E633="","",Z633*AF633/100)</f>
        <v/>
      </c>
      <c r="AB633" s="7">
        <f>IF($E633="","",Z633-AA633)</f>
        <v/>
      </c>
      <c r="AC633" s="7">
        <f>IF($E633="","",AB633-R633)</f>
        <v/>
      </c>
      <c r="AF633">
        <f>IF($E633="","",IF($AR633=1,0,IF($AQ633=1,Settings!$C$6,Settings!$C$7))*100)</f>
        <v/>
      </c>
      <c r="AJ633" s="7" t="n"/>
      <c r="AM633" s="11" t="n"/>
      <c r="AO633">
        <f>IF($E633="","",IF(COUNTIF($E$2:$E633,$E633)=1,1,0))</f>
        <v/>
      </c>
      <c r="AP633">
        <f>IF($AO633=1,SUMPRODUCT(--($AS$2:$AS$1001&lt;$AS633))+1,"")</f>
        <v/>
      </c>
      <c r="AQ633">
        <f>IF($E633="","",IF(OR($V633=TRUE(),$V633="TRUE"),1,0))</f>
        <v/>
      </c>
      <c r="AR633">
        <f>IF($E633="","",IF($AE633="Yes",1,0))</f>
        <v/>
      </c>
      <c r="AS633">
        <f>IF($AO633=1,IFERROR(IF(VALUE($E633)&lt;100000000,VALUE($E633),1000000000),IFERROR(IF(VALUE(MID($E633,2,20))&lt;100000000,VALUE(MID($E633,2,20)),1000000000),1000000000))+ROW()/100000,"")</f>
        <v/>
      </c>
    </row>
    <row r="634">
      <c r="D634">
        <f>IF($E634="","",IFERROR(IF(INDEX('Per Invoice'!$A$2:$A$301,MATCH($E634,'Per Invoice'!$B$2:$B$301,0))=0,"",INDEX('Per Invoice'!$A$2:$A$301,MATCH($E634,'Per Invoice'!$B$2:$B$301,0))),""))</f>
        <v/>
      </c>
      <c r="H634" s="11" t="n"/>
      <c r="R634" s="7">
        <f>IF($E634="","",Q634*Z634/100)</f>
        <v/>
      </c>
      <c r="S634" s="7" t="n"/>
      <c r="Y634" s="7" t="n"/>
      <c r="Z634" s="7" t="n"/>
      <c r="AA634" s="7">
        <f>IF($E634="","",Z634*AF634/100)</f>
        <v/>
      </c>
      <c r="AB634" s="7">
        <f>IF($E634="","",Z634-AA634)</f>
        <v/>
      </c>
      <c r="AC634" s="7">
        <f>IF($E634="","",AB634-R634)</f>
        <v/>
      </c>
      <c r="AF634">
        <f>IF($E634="","",IF($AR634=1,0,IF($AQ634=1,Settings!$C$6,Settings!$C$7))*100)</f>
        <v/>
      </c>
      <c r="AJ634" s="7" t="n"/>
      <c r="AM634" s="11" t="n"/>
      <c r="AO634">
        <f>IF($E634="","",IF(COUNTIF($E$2:$E634,$E634)=1,1,0))</f>
        <v/>
      </c>
      <c r="AP634">
        <f>IF($AO634=1,SUMPRODUCT(--($AS$2:$AS$1001&lt;$AS634))+1,"")</f>
        <v/>
      </c>
      <c r="AQ634">
        <f>IF($E634="","",IF(OR($V634=TRUE(),$V634="TRUE"),1,0))</f>
        <v/>
      </c>
      <c r="AR634">
        <f>IF($E634="","",IF($AE634="Yes",1,0))</f>
        <v/>
      </c>
      <c r="AS634">
        <f>IF($AO634=1,IFERROR(IF(VALUE($E634)&lt;100000000,VALUE($E634),1000000000),IFERROR(IF(VALUE(MID($E634,2,20))&lt;100000000,VALUE(MID($E634,2,20)),1000000000),1000000000))+ROW()/100000,"")</f>
        <v/>
      </c>
    </row>
    <row r="635">
      <c r="D635">
        <f>IF($E635="","",IFERROR(IF(INDEX('Per Invoice'!$A$2:$A$301,MATCH($E635,'Per Invoice'!$B$2:$B$301,0))=0,"",INDEX('Per Invoice'!$A$2:$A$301,MATCH($E635,'Per Invoice'!$B$2:$B$301,0))),""))</f>
        <v/>
      </c>
      <c r="H635" s="11" t="n"/>
      <c r="R635" s="7">
        <f>IF($E635="","",Q635*Z635/100)</f>
        <v/>
      </c>
      <c r="S635" s="7" t="n"/>
      <c r="Y635" s="7" t="n"/>
      <c r="Z635" s="7" t="n"/>
      <c r="AA635" s="7">
        <f>IF($E635="","",Z635*AF635/100)</f>
        <v/>
      </c>
      <c r="AB635" s="7">
        <f>IF($E635="","",Z635-AA635)</f>
        <v/>
      </c>
      <c r="AC635" s="7">
        <f>IF($E635="","",AB635-R635)</f>
        <v/>
      </c>
      <c r="AF635">
        <f>IF($E635="","",IF($AR635=1,0,IF($AQ635=1,Settings!$C$6,Settings!$C$7))*100)</f>
        <v/>
      </c>
      <c r="AJ635" s="7" t="n"/>
      <c r="AM635" s="11" t="n"/>
      <c r="AO635">
        <f>IF($E635="","",IF(COUNTIF($E$2:$E635,$E635)=1,1,0))</f>
        <v/>
      </c>
      <c r="AP635">
        <f>IF($AO635=1,SUMPRODUCT(--($AS$2:$AS$1001&lt;$AS635))+1,"")</f>
        <v/>
      </c>
      <c r="AQ635">
        <f>IF($E635="","",IF(OR($V635=TRUE(),$V635="TRUE"),1,0))</f>
        <v/>
      </c>
      <c r="AR635">
        <f>IF($E635="","",IF($AE635="Yes",1,0))</f>
        <v/>
      </c>
      <c r="AS635">
        <f>IF($AO635=1,IFERROR(IF(VALUE($E635)&lt;100000000,VALUE($E635),1000000000),IFERROR(IF(VALUE(MID($E635,2,20))&lt;100000000,VALUE(MID($E635,2,20)),1000000000),1000000000))+ROW()/100000,"")</f>
        <v/>
      </c>
    </row>
    <row r="636">
      <c r="D636">
        <f>IF($E636="","",IFERROR(IF(INDEX('Per Invoice'!$A$2:$A$301,MATCH($E636,'Per Invoice'!$B$2:$B$301,0))=0,"",INDEX('Per Invoice'!$A$2:$A$301,MATCH($E636,'Per Invoice'!$B$2:$B$301,0))),""))</f>
        <v/>
      </c>
      <c r="H636" s="11" t="n"/>
      <c r="R636" s="7">
        <f>IF($E636="","",Q636*Z636/100)</f>
        <v/>
      </c>
      <c r="S636" s="7" t="n"/>
      <c r="Y636" s="7" t="n"/>
      <c r="Z636" s="7" t="n"/>
      <c r="AA636" s="7">
        <f>IF($E636="","",Z636*AF636/100)</f>
        <v/>
      </c>
      <c r="AB636" s="7">
        <f>IF($E636="","",Z636-AA636)</f>
        <v/>
      </c>
      <c r="AC636" s="7">
        <f>IF($E636="","",AB636-R636)</f>
        <v/>
      </c>
      <c r="AF636">
        <f>IF($E636="","",IF($AR636=1,0,IF($AQ636=1,Settings!$C$6,Settings!$C$7))*100)</f>
        <v/>
      </c>
      <c r="AJ636" s="7" t="n"/>
      <c r="AM636" s="11" t="n"/>
      <c r="AO636">
        <f>IF($E636="","",IF(COUNTIF($E$2:$E636,$E636)=1,1,0))</f>
        <v/>
      </c>
      <c r="AP636">
        <f>IF($AO636=1,SUMPRODUCT(--($AS$2:$AS$1001&lt;$AS636))+1,"")</f>
        <v/>
      </c>
      <c r="AQ636">
        <f>IF($E636="","",IF(OR($V636=TRUE(),$V636="TRUE"),1,0))</f>
        <v/>
      </c>
      <c r="AR636">
        <f>IF($E636="","",IF($AE636="Yes",1,0))</f>
        <v/>
      </c>
      <c r="AS636">
        <f>IF($AO636=1,IFERROR(IF(VALUE($E636)&lt;100000000,VALUE($E636),1000000000),IFERROR(IF(VALUE(MID($E636,2,20))&lt;100000000,VALUE(MID($E636,2,20)),1000000000),1000000000))+ROW()/100000,"")</f>
        <v/>
      </c>
    </row>
    <row r="637">
      <c r="D637">
        <f>IF($E637="","",IFERROR(IF(INDEX('Per Invoice'!$A$2:$A$301,MATCH($E637,'Per Invoice'!$B$2:$B$301,0))=0,"",INDEX('Per Invoice'!$A$2:$A$301,MATCH($E637,'Per Invoice'!$B$2:$B$301,0))),""))</f>
        <v/>
      </c>
      <c r="H637" s="11" t="n"/>
      <c r="R637" s="7">
        <f>IF($E637="","",Q637*Z637/100)</f>
        <v/>
      </c>
      <c r="S637" s="7" t="n"/>
      <c r="Y637" s="7" t="n"/>
      <c r="Z637" s="7" t="n"/>
      <c r="AA637" s="7">
        <f>IF($E637="","",Z637*AF637/100)</f>
        <v/>
      </c>
      <c r="AB637" s="7">
        <f>IF($E637="","",Z637-AA637)</f>
        <v/>
      </c>
      <c r="AC637" s="7">
        <f>IF($E637="","",AB637-R637)</f>
        <v/>
      </c>
      <c r="AF637">
        <f>IF($E637="","",IF($AR637=1,0,IF($AQ637=1,Settings!$C$6,Settings!$C$7))*100)</f>
        <v/>
      </c>
      <c r="AJ637" s="7" t="n"/>
      <c r="AM637" s="11" t="n"/>
      <c r="AO637">
        <f>IF($E637="","",IF(COUNTIF($E$2:$E637,$E637)=1,1,0))</f>
        <v/>
      </c>
      <c r="AP637">
        <f>IF($AO637=1,SUMPRODUCT(--($AS$2:$AS$1001&lt;$AS637))+1,"")</f>
        <v/>
      </c>
      <c r="AQ637">
        <f>IF($E637="","",IF(OR($V637=TRUE(),$V637="TRUE"),1,0))</f>
        <v/>
      </c>
      <c r="AR637">
        <f>IF($E637="","",IF($AE637="Yes",1,0))</f>
        <v/>
      </c>
      <c r="AS637">
        <f>IF($AO637=1,IFERROR(IF(VALUE($E637)&lt;100000000,VALUE($E637),1000000000),IFERROR(IF(VALUE(MID($E637,2,20))&lt;100000000,VALUE(MID($E637,2,20)),1000000000),1000000000))+ROW()/100000,"")</f>
        <v/>
      </c>
    </row>
    <row r="638">
      <c r="D638">
        <f>IF($E638="","",IFERROR(IF(INDEX('Per Invoice'!$A$2:$A$301,MATCH($E638,'Per Invoice'!$B$2:$B$301,0))=0,"",INDEX('Per Invoice'!$A$2:$A$301,MATCH($E638,'Per Invoice'!$B$2:$B$301,0))),""))</f>
        <v/>
      </c>
      <c r="H638" s="11" t="n"/>
      <c r="R638" s="7">
        <f>IF($E638="","",Q638*Z638/100)</f>
        <v/>
      </c>
      <c r="S638" s="7" t="n"/>
      <c r="Y638" s="7" t="n"/>
      <c r="Z638" s="7" t="n"/>
      <c r="AA638" s="7">
        <f>IF($E638="","",Z638*AF638/100)</f>
        <v/>
      </c>
      <c r="AB638" s="7">
        <f>IF($E638="","",Z638-AA638)</f>
        <v/>
      </c>
      <c r="AC638" s="7">
        <f>IF($E638="","",AB638-R638)</f>
        <v/>
      </c>
      <c r="AF638">
        <f>IF($E638="","",IF($AR638=1,0,IF($AQ638=1,Settings!$C$6,Settings!$C$7))*100)</f>
        <v/>
      </c>
      <c r="AJ638" s="7" t="n"/>
      <c r="AM638" s="11" t="n"/>
      <c r="AO638">
        <f>IF($E638="","",IF(COUNTIF($E$2:$E638,$E638)=1,1,0))</f>
        <v/>
      </c>
      <c r="AP638">
        <f>IF($AO638=1,SUMPRODUCT(--($AS$2:$AS$1001&lt;$AS638))+1,"")</f>
        <v/>
      </c>
      <c r="AQ638">
        <f>IF($E638="","",IF(OR($V638=TRUE(),$V638="TRUE"),1,0))</f>
        <v/>
      </c>
      <c r="AR638">
        <f>IF($E638="","",IF($AE638="Yes",1,0))</f>
        <v/>
      </c>
      <c r="AS638">
        <f>IF($AO638=1,IFERROR(IF(VALUE($E638)&lt;100000000,VALUE($E638),1000000000),IFERROR(IF(VALUE(MID($E638,2,20))&lt;100000000,VALUE(MID($E638,2,20)),1000000000),1000000000))+ROW()/100000,"")</f>
        <v/>
      </c>
    </row>
    <row r="639">
      <c r="D639">
        <f>IF($E639="","",IFERROR(IF(INDEX('Per Invoice'!$A$2:$A$301,MATCH($E639,'Per Invoice'!$B$2:$B$301,0))=0,"",INDEX('Per Invoice'!$A$2:$A$301,MATCH($E639,'Per Invoice'!$B$2:$B$301,0))),""))</f>
        <v/>
      </c>
      <c r="H639" s="11" t="n"/>
      <c r="R639" s="7">
        <f>IF($E639="","",Q639*Z639/100)</f>
        <v/>
      </c>
      <c r="S639" s="7" t="n"/>
      <c r="Y639" s="7" t="n"/>
      <c r="Z639" s="7" t="n"/>
      <c r="AA639" s="7">
        <f>IF($E639="","",Z639*AF639/100)</f>
        <v/>
      </c>
      <c r="AB639" s="7">
        <f>IF($E639="","",Z639-AA639)</f>
        <v/>
      </c>
      <c r="AC639" s="7">
        <f>IF($E639="","",AB639-R639)</f>
        <v/>
      </c>
      <c r="AF639">
        <f>IF($E639="","",IF($AR639=1,0,IF($AQ639=1,Settings!$C$6,Settings!$C$7))*100)</f>
        <v/>
      </c>
      <c r="AJ639" s="7" t="n"/>
      <c r="AM639" s="11" t="n"/>
      <c r="AO639">
        <f>IF($E639="","",IF(COUNTIF($E$2:$E639,$E639)=1,1,0))</f>
        <v/>
      </c>
      <c r="AP639">
        <f>IF($AO639=1,SUMPRODUCT(--($AS$2:$AS$1001&lt;$AS639))+1,"")</f>
        <v/>
      </c>
      <c r="AQ639">
        <f>IF($E639="","",IF(OR($V639=TRUE(),$V639="TRUE"),1,0))</f>
        <v/>
      </c>
      <c r="AR639">
        <f>IF($E639="","",IF($AE639="Yes",1,0))</f>
        <v/>
      </c>
      <c r="AS639">
        <f>IF($AO639=1,IFERROR(IF(VALUE($E639)&lt;100000000,VALUE($E639),1000000000),IFERROR(IF(VALUE(MID($E639,2,20))&lt;100000000,VALUE(MID($E639,2,20)),1000000000),1000000000))+ROW()/100000,"")</f>
        <v/>
      </c>
    </row>
    <row r="640">
      <c r="D640">
        <f>IF($E640="","",IFERROR(IF(INDEX('Per Invoice'!$A$2:$A$301,MATCH($E640,'Per Invoice'!$B$2:$B$301,0))=0,"",INDEX('Per Invoice'!$A$2:$A$301,MATCH($E640,'Per Invoice'!$B$2:$B$301,0))),""))</f>
        <v/>
      </c>
      <c r="H640" s="11" t="n"/>
      <c r="R640" s="7">
        <f>IF($E640="","",Q640*Z640/100)</f>
        <v/>
      </c>
      <c r="S640" s="7" t="n"/>
      <c r="Y640" s="7" t="n"/>
      <c r="Z640" s="7" t="n"/>
      <c r="AA640" s="7">
        <f>IF($E640="","",Z640*AF640/100)</f>
        <v/>
      </c>
      <c r="AB640" s="7">
        <f>IF($E640="","",Z640-AA640)</f>
        <v/>
      </c>
      <c r="AC640" s="7">
        <f>IF($E640="","",AB640-R640)</f>
        <v/>
      </c>
      <c r="AF640">
        <f>IF($E640="","",IF($AR640=1,0,IF($AQ640=1,Settings!$C$6,Settings!$C$7))*100)</f>
        <v/>
      </c>
      <c r="AJ640" s="7" t="n"/>
      <c r="AM640" s="11" t="n"/>
      <c r="AO640">
        <f>IF($E640="","",IF(COUNTIF($E$2:$E640,$E640)=1,1,0))</f>
        <v/>
      </c>
      <c r="AP640">
        <f>IF($AO640=1,SUMPRODUCT(--($AS$2:$AS$1001&lt;$AS640))+1,"")</f>
        <v/>
      </c>
      <c r="AQ640">
        <f>IF($E640="","",IF(OR($V640=TRUE(),$V640="TRUE"),1,0))</f>
        <v/>
      </c>
      <c r="AR640">
        <f>IF($E640="","",IF($AE640="Yes",1,0))</f>
        <v/>
      </c>
      <c r="AS640">
        <f>IF($AO640=1,IFERROR(IF(VALUE($E640)&lt;100000000,VALUE($E640),1000000000),IFERROR(IF(VALUE(MID($E640,2,20))&lt;100000000,VALUE(MID($E640,2,20)),1000000000),1000000000))+ROW()/100000,"")</f>
        <v/>
      </c>
    </row>
    <row r="641">
      <c r="D641">
        <f>IF($E641="","",IFERROR(IF(INDEX('Per Invoice'!$A$2:$A$301,MATCH($E641,'Per Invoice'!$B$2:$B$301,0))=0,"",INDEX('Per Invoice'!$A$2:$A$301,MATCH($E641,'Per Invoice'!$B$2:$B$301,0))),""))</f>
        <v/>
      </c>
      <c r="H641" s="11" t="n"/>
      <c r="R641" s="7">
        <f>IF($E641="","",Q641*Z641/100)</f>
        <v/>
      </c>
      <c r="S641" s="7" t="n"/>
      <c r="Y641" s="7" t="n"/>
      <c r="Z641" s="7" t="n"/>
      <c r="AA641" s="7">
        <f>IF($E641="","",Z641*AF641/100)</f>
        <v/>
      </c>
      <c r="AB641" s="7">
        <f>IF($E641="","",Z641-AA641)</f>
        <v/>
      </c>
      <c r="AC641" s="7">
        <f>IF($E641="","",AB641-R641)</f>
        <v/>
      </c>
      <c r="AF641">
        <f>IF($E641="","",IF($AR641=1,0,IF($AQ641=1,Settings!$C$6,Settings!$C$7))*100)</f>
        <v/>
      </c>
      <c r="AJ641" s="7" t="n"/>
      <c r="AM641" s="11" t="n"/>
      <c r="AO641">
        <f>IF($E641="","",IF(COUNTIF($E$2:$E641,$E641)=1,1,0))</f>
        <v/>
      </c>
      <c r="AP641">
        <f>IF($AO641=1,SUMPRODUCT(--($AS$2:$AS$1001&lt;$AS641))+1,"")</f>
        <v/>
      </c>
      <c r="AQ641">
        <f>IF($E641="","",IF(OR($V641=TRUE(),$V641="TRUE"),1,0))</f>
        <v/>
      </c>
      <c r="AR641">
        <f>IF($E641="","",IF($AE641="Yes",1,0))</f>
        <v/>
      </c>
      <c r="AS641">
        <f>IF($AO641=1,IFERROR(IF(VALUE($E641)&lt;100000000,VALUE($E641),1000000000),IFERROR(IF(VALUE(MID($E641,2,20))&lt;100000000,VALUE(MID($E641,2,20)),1000000000),1000000000))+ROW()/100000,"")</f>
        <v/>
      </c>
    </row>
    <row r="642">
      <c r="D642">
        <f>IF($E642="","",IFERROR(IF(INDEX('Per Invoice'!$A$2:$A$301,MATCH($E642,'Per Invoice'!$B$2:$B$301,0))=0,"",INDEX('Per Invoice'!$A$2:$A$301,MATCH($E642,'Per Invoice'!$B$2:$B$301,0))),""))</f>
        <v/>
      </c>
      <c r="H642" s="11" t="n"/>
      <c r="R642" s="7">
        <f>IF($E642="","",Q642*Z642/100)</f>
        <v/>
      </c>
      <c r="S642" s="7" t="n"/>
      <c r="Y642" s="7" t="n"/>
      <c r="Z642" s="7" t="n"/>
      <c r="AA642" s="7">
        <f>IF($E642="","",Z642*AF642/100)</f>
        <v/>
      </c>
      <c r="AB642" s="7">
        <f>IF($E642="","",Z642-AA642)</f>
        <v/>
      </c>
      <c r="AC642" s="7">
        <f>IF($E642="","",AB642-R642)</f>
        <v/>
      </c>
      <c r="AF642">
        <f>IF($E642="","",IF($AR642=1,0,IF($AQ642=1,Settings!$C$6,Settings!$C$7))*100)</f>
        <v/>
      </c>
      <c r="AJ642" s="7" t="n"/>
      <c r="AM642" s="11" t="n"/>
      <c r="AO642">
        <f>IF($E642="","",IF(COUNTIF($E$2:$E642,$E642)=1,1,0))</f>
        <v/>
      </c>
      <c r="AP642">
        <f>IF($AO642=1,SUMPRODUCT(--($AS$2:$AS$1001&lt;$AS642))+1,"")</f>
        <v/>
      </c>
      <c r="AQ642">
        <f>IF($E642="","",IF(OR($V642=TRUE(),$V642="TRUE"),1,0))</f>
        <v/>
      </c>
      <c r="AR642">
        <f>IF($E642="","",IF($AE642="Yes",1,0))</f>
        <v/>
      </c>
      <c r="AS642">
        <f>IF($AO642=1,IFERROR(IF(VALUE($E642)&lt;100000000,VALUE($E642),1000000000),IFERROR(IF(VALUE(MID($E642,2,20))&lt;100000000,VALUE(MID($E642,2,20)),1000000000),1000000000))+ROW()/100000,"")</f>
        <v/>
      </c>
    </row>
    <row r="643">
      <c r="D643">
        <f>IF($E643="","",IFERROR(IF(INDEX('Per Invoice'!$A$2:$A$301,MATCH($E643,'Per Invoice'!$B$2:$B$301,0))=0,"",INDEX('Per Invoice'!$A$2:$A$301,MATCH($E643,'Per Invoice'!$B$2:$B$301,0))),""))</f>
        <v/>
      </c>
      <c r="H643" s="11" t="n"/>
      <c r="R643" s="7">
        <f>IF($E643="","",Q643*Z643/100)</f>
        <v/>
      </c>
      <c r="S643" s="7" t="n"/>
      <c r="Y643" s="7" t="n"/>
      <c r="Z643" s="7" t="n"/>
      <c r="AA643" s="7">
        <f>IF($E643="","",Z643*AF643/100)</f>
        <v/>
      </c>
      <c r="AB643" s="7">
        <f>IF($E643="","",Z643-AA643)</f>
        <v/>
      </c>
      <c r="AC643" s="7">
        <f>IF($E643="","",AB643-R643)</f>
        <v/>
      </c>
      <c r="AF643">
        <f>IF($E643="","",IF($AR643=1,0,IF($AQ643=1,Settings!$C$6,Settings!$C$7))*100)</f>
        <v/>
      </c>
      <c r="AJ643" s="7" t="n"/>
      <c r="AM643" s="11" t="n"/>
      <c r="AO643">
        <f>IF($E643="","",IF(COUNTIF($E$2:$E643,$E643)=1,1,0))</f>
        <v/>
      </c>
      <c r="AP643">
        <f>IF($AO643=1,SUMPRODUCT(--($AS$2:$AS$1001&lt;$AS643))+1,"")</f>
        <v/>
      </c>
      <c r="AQ643">
        <f>IF($E643="","",IF(OR($V643=TRUE(),$V643="TRUE"),1,0))</f>
        <v/>
      </c>
      <c r="AR643">
        <f>IF($E643="","",IF($AE643="Yes",1,0))</f>
        <v/>
      </c>
      <c r="AS643">
        <f>IF($AO643=1,IFERROR(IF(VALUE($E643)&lt;100000000,VALUE($E643),1000000000),IFERROR(IF(VALUE(MID($E643,2,20))&lt;100000000,VALUE(MID($E643,2,20)),1000000000),1000000000))+ROW()/100000,"")</f>
        <v/>
      </c>
    </row>
    <row r="644">
      <c r="D644">
        <f>IF($E644="","",IFERROR(IF(INDEX('Per Invoice'!$A$2:$A$301,MATCH($E644,'Per Invoice'!$B$2:$B$301,0))=0,"",INDEX('Per Invoice'!$A$2:$A$301,MATCH($E644,'Per Invoice'!$B$2:$B$301,0))),""))</f>
        <v/>
      </c>
      <c r="H644" s="11" t="n"/>
      <c r="R644" s="7">
        <f>IF($E644="","",Q644*Z644/100)</f>
        <v/>
      </c>
      <c r="S644" s="7" t="n"/>
      <c r="Y644" s="7" t="n"/>
      <c r="Z644" s="7" t="n"/>
      <c r="AA644" s="7">
        <f>IF($E644="","",Z644*AF644/100)</f>
        <v/>
      </c>
      <c r="AB644" s="7">
        <f>IF($E644="","",Z644-AA644)</f>
        <v/>
      </c>
      <c r="AC644" s="7">
        <f>IF($E644="","",AB644-R644)</f>
        <v/>
      </c>
      <c r="AF644">
        <f>IF($E644="","",IF($AR644=1,0,IF($AQ644=1,Settings!$C$6,Settings!$C$7))*100)</f>
        <v/>
      </c>
      <c r="AJ644" s="7" t="n"/>
      <c r="AM644" s="11" t="n"/>
      <c r="AO644">
        <f>IF($E644="","",IF(COUNTIF($E$2:$E644,$E644)=1,1,0))</f>
        <v/>
      </c>
      <c r="AP644">
        <f>IF($AO644=1,SUMPRODUCT(--($AS$2:$AS$1001&lt;$AS644))+1,"")</f>
        <v/>
      </c>
      <c r="AQ644">
        <f>IF($E644="","",IF(OR($V644=TRUE(),$V644="TRUE"),1,0))</f>
        <v/>
      </c>
      <c r="AR644">
        <f>IF($E644="","",IF($AE644="Yes",1,0))</f>
        <v/>
      </c>
      <c r="AS644">
        <f>IF($AO644=1,IFERROR(IF(VALUE($E644)&lt;100000000,VALUE($E644),1000000000),IFERROR(IF(VALUE(MID($E644,2,20))&lt;100000000,VALUE(MID($E644,2,20)),1000000000),1000000000))+ROW()/100000,"")</f>
        <v/>
      </c>
    </row>
    <row r="645">
      <c r="D645">
        <f>IF($E645="","",IFERROR(IF(INDEX('Per Invoice'!$A$2:$A$301,MATCH($E645,'Per Invoice'!$B$2:$B$301,0))=0,"",INDEX('Per Invoice'!$A$2:$A$301,MATCH($E645,'Per Invoice'!$B$2:$B$301,0))),""))</f>
        <v/>
      </c>
      <c r="H645" s="11" t="n"/>
      <c r="R645" s="7">
        <f>IF($E645="","",Q645*Z645/100)</f>
        <v/>
      </c>
      <c r="S645" s="7" t="n"/>
      <c r="Y645" s="7" t="n"/>
      <c r="Z645" s="7" t="n"/>
      <c r="AA645" s="7">
        <f>IF($E645="","",Z645*AF645/100)</f>
        <v/>
      </c>
      <c r="AB645" s="7">
        <f>IF($E645="","",Z645-AA645)</f>
        <v/>
      </c>
      <c r="AC645" s="7">
        <f>IF($E645="","",AB645-R645)</f>
        <v/>
      </c>
      <c r="AF645">
        <f>IF($E645="","",IF($AR645=1,0,IF($AQ645=1,Settings!$C$6,Settings!$C$7))*100)</f>
        <v/>
      </c>
      <c r="AJ645" s="7" t="n"/>
      <c r="AM645" s="11" t="n"/>
      <c r="AO645">
        <f>IF($E645="","",IF(COUNTIF($E$2:$E645,$E645)=1,1,0))</f>
        <v/>
      </c>
      <c r="AP645">
        <f>IF($AO645=1,SUMPRODUCT(--($AS$2:$AS$1001&lt;$AS645))+1,"")</f>
        <v/>
      </c>
      <c r="AQ645">
        <f>IF($E645="","",IF(OR($V645=TRUE(),$V645="TRUE"),1,0))</f>
        <v/>
      </c>
      <c r="AR645">
        <f>IF($E645="","",IF($AE645="Yes",1,0))</f>
        <v/>
      </c>
      <c r="AS645">
        <f>IF($AO645=1,IFERROR(IF(VALUE($E645)&lt;100000000,VALUE($E645),1000000000),IFERROR(IF(VALUE(MID($E645,2,20))&lt;100000000,VALUE(MID($E645,2,20)),1000000000),1000000000))+ROW()/100000,"")</f>
        <v/>
      </c>
    </row>
    <row r="646">
      <c r="D646">
        <f>IF($E646="","",IFERROR(IF(INDEX('Per Invoice'!$A$2:$A$301,MATCH($E646,'Per Invoice'!$B$2:$B$301,0))=0,"",INDEX('Per Invoice'!$A$2:$A$301,MATCH($E646,'Per Invoice'!$B$2:$B$301,0))),""))</f>
        <v/>
      </c>
      <c r="H646" s="11" t="n"/>
      <c r="R646" s="7">
        <f>IF($E646="","",Q646*Z646/100)</f>
        <v/>
      </c>
      <c r="S646" s="7" t="n"/>
      <c r="Y646" s="7" t="n"/>
      <c r="Z646" s="7" t="n"/>
      <c r="AA646" s="7">
        <f>IF($E646="","",Z646*AF646/100)</f>
        <v/>
      </c>
      <c r="AB646" s="7">
        <f>IF($E646="","",Z646-AA646)</f>
        <v/>
      </c>
      <c r="AC646" s="7">
        <f>IF($E646="","",AB646-R646)</f>
        <v/>
      </c>
      <c r="AF646">
        <f>IF($E646="","",IF($AR646=1,0,IF($AQ646=1,Settings!$C$6,Settings!$C$7))*100)</f>
        <v/>
      </c>
      <c r="AJ646" s="7" t="n"/>
      <c r="AM646" s="11" t="n"/>
      <c r="AO646">
        <f>IF($E646="","",IF(COUNTIF($E$2:$E646,$E646)=1,1,0))</f>
        <v/>
      </c>
      <c r="AP646">
        <f>IF($AO646=1,SUMPRODUCT(--($AS$2:$AS$1001&lt;$AS646))+1,"")</f>
        <v/>
      </c>
      <c r="AQ646">
        <f>IF($E646="","",IF(OR($V646=TRUE(),$V646="TRUE"),1,0))</f>
        <v/>
      </c>
      <c r="AR646">
        <f>IF($E646="","",IF($AE646="Yes",1,0))</f>
        <v/>
      </c>
      <c r="AS646">
        <f>IF($AO646=1,IFERROR(IF(VALUE($E646)&lt;100000000,VALUE($E646),1000000000),IFERROR(IF(VALUE(MID($E646,2,20))&lt;100000000,VALUE(MID($E646,2,20)),1000000000),1000000000))+ROW()/100000,"")</f>
        <v/>
      </c>
    </row>
    <row r="647">
      <c r="D647">
        <f>IF($E647="","",IFERROR(IF(INDEX('Per Invoice'!$A$2:$A$301,MATCH($E647,'Per Invoice'!$B$2:$B$301,0))=0,"",INDEX('Per Invoice'!$A$2:$A$301,MATCH($E647,'Per Invoice'!$B$2:$B$301,0))),""))</f>
        <v/>
      </c>
      <c r="H647" s="11" t="n"/>
      <c r="R647" s="7">
        <f>IF($E647="","",Q647*Z647/100)</f>
        <v/>
      </c>
      <c r="S647" s="7" t="n"/>
      <c r="Y647" s="7" t="n"/>
      <c r="Z647" s="7" t="n"/>
      <c r="AA647" s="7">
        <f>IF($E647="","",Z647*AF647/100)</f>
        <v/>
      </c>
      <c r="AB647" s="7">
        <f>IF($E647="","",Z647-AA647)</f>
        <v/>
      </c>
      <c r="AC647" s="7">
        <f>IF($E647="","",AB647-R647)</f>
        <v/>
      </c>
      <c r="AF647">
        <f>IF($E647="","",IF($AR647=1,0,IF($AQ647=1,Settings!$C$6,Settings!$C$7))*100)</f>
        <v/>
      </c>
      <c r="AJ647" s="7" t="n"/>
      <c r="AM647" s="11" t="n"/>
      <c r="AO647">
        <f>IF($E647="","",IF(COUNTIF($E$2:$E647,$E647)=1,1,0))</f>
        <v/>
      </c>
      <c r="AP647">
        <f>IF($AO647=1,SUMPRODUCT(--($AS$2:$AS$1001&lt;$AS647))+1,"")</f>
        <v/>
      </c>
      <c r="AQ647">
        <f>IF($E647="","",IF(OR($V647=TRUE(),$V647="TRUE"),1,0))</f>
        <v/>
      </c>
      <c r="AR647">
        <f>IF($E647="","",IF($AE647="Yes",1,0))</f>
        <v/>
      </c>
      <c r="AS647">
        <f>IF($AO647=1,IFERROR(IF(VALUE($E647)&lt;100000000,VALUE($E647),1000000000),IFERROR(IF(VALUE(MID($E647,2,20))&lt;100000000,VALUE(MID($E647,2,20)),1000000000),1000000000))+ROW()/100000,"")</f>
        <v/>
      </c>
    </row>
    <row r="648">
      <c r="D648">
        <f>IF($E648="","",IFERROR(IF(INDEX('Per Invoice'!$A$2:$A$301,MATCH($E648,'Per Invoice'!$B$2:$B$301,0))=0,"",INDEX('Per Invoice'!$A$2:$A$301,MATCH($E648,'Per Invoice'!$B$2:$B$301,0))),""))</f>
        <v/>
      </c>
      <c r="H648" s="11" t="n"/>
      <c r="R648" s="7">
        <f>IF($E648="","",Q648*Z648/100)</f>
        <v/>
      </c>
      <c r="S648" s="7" t="n"/>
      <c r="Y648" s="7" t="n"/>
      <c r="Z648" s="7" t="n"/>
      <c r="AA648" s="7">
        <f>IF($E648="","",Z648*AF648/100)</f>
        <v/>
      </c>
      <c r="AB648" s="7">
        <f>IF($E648="","",Z648-AA648)</f>
        <v/>
      </c>
      <c r="AC648" s="7">
        <f>IF($E648="","",AB648-R648)</f>
        <v/>
      </c>
      <c r="AF648">
        <f>IF($E648="","",IF($AR648=1,0,IF($AQ648=1,Settings!$C$6,Settings!$C$7))*100)</f>
        <v/>
      </c>
      <c r="AJ648" s="7" t="n"/>
      <c r="AM648" s="11" t="n"/>
      <c r="AO648">
        <f>IF($E648="","",IF(COUNTIF($E$2:$E648,$E648)=1,1,0))</f>
        <v/>
      </c>
      <c r="AP648">
        <f>IF($AO648=1,SUMPRODUCT(--($AS$2:$AS$1001&lt;$AS648))+1,"")</f>
        <v/>
      </c>
      <c r="AQ648">
        <f>IF($E648="","",IF(OR($V648=TRUE(),$V648="TRUE"),1,0))</f>
        <v/>
      </c>
      <c r="AR648">
        <f>IF($E648="","",IF($AE648="Yes",1,0))</f>
        <v/>
      </c>
      <c r="AS648">
        <f>IF($AO648=1,IFERROR(IF(VALUE($E648)&lt;100000000,VALUE($E648),1000000000),IFERROR(IF(VALUE(MID($E648,2,20))&lt;100000000,VALUE(MID($E648,2,20)),1000000000),1000000000))+ROW()/100000,"")</f>
        <v/>
      </c>
    </row>
    <row r="649">
      <c r="D649">
        <f>IF($E649="","",IFERROR(IF(INDEX('Per Invoice'!$A$2:$A$301,MATCH($E649,'Per Invoice'!$B$2:$B$301,0))=0,"",INDEX('Per Invoice'!$A$2:$A$301,MATCH($E649,'Per Invoice'!$B$2:$B$301,0))),""))</f>
        <v/>
      </c>
      <c r="H649" s="11" t="n"/>
      <c r="R649" s="7">
        <f>IF($E649="","",Q649*Z649/100)</f>
        <v/>
      </c>
      <c r="S649" s="7" t="n"/>
      <c r="Y649" s="7" t="n"/>
      <c r="Z649" s="7" t="n"/>
      <c r="AA649" s="7">
        <f>IF($E649="","",Z649*AF649/100)</f>
        <v/>
      </c>
      <c r="AB649" s="7">
        <f>IF($E649="","",Z649-AA649)</f>
        <v/>
      </c>
      <c r="AC649" s="7">
        <f>IF($E649="","",AB649-R649)</f>
        <v/>
      </c>
      <c r="AF649">
        <f>IF($E649="","",IF($AR649=1,0,IF($AQ649=1,Settings!$C$6,Settings!$C$7))*100)</f>
        <v/>
      </c>
      <c r="AJ649" s="7" t="n"/>
      <c r="AM649" s="11" t="n"/>
      <c r="AO649">
        <f>IF($E649="","",IF(COUNTIF($E$2:$E649,$E649)=1,1,0))</f>
        <v/>
      </c>
      <c r="AP649">
        <f>IF($AO649=1,SUMPRODUCT(--($AS$2:$AS$1001&lt;$AS649))+1,"")</f>
        <v/>
      </c>
      <c r="AQ649">
        <f>IF($E649="","",IF(OR($V649=TRUE(),$V649="TRUE"),1,0))</f>
        <v/>
      </c>
      <c r="AR649">
        <f>IF($E649="","",IF($AE649="Yes",1,0))</f>
        <v/>
      </c>
      <c r="AS649">
        <f>IF($AO649=1,IFERROR(IF(VALUE($E649)&lt;100000000,VALUE($E649),1000000000),IFERROR(IF(VALUE(MID($E649,2,20))&lt;100000000,VALUE(MID($E649,2,20)),1000000000),1000000000))+ROW()/100000,"")</f>
        <v/>
      </c>
    </row>
    <row r="650">
      <c r="D650">
        <f>IF($E650="","",IFERROR(IF(INDEX('Per Invoice'!$A$2:$A$301,MATCH($E650,'Per Invoice'!$B$2:$B$301,0))=0,"",INDEX('Per Invoice'!$A$2:$A$301,MATCH($E650,'Per Invoice'!$B$2:$B$301,0))),""))</f>
        <v/>
      </c>
      <c r="H650" s="11" t="n"/>
      <c r="R650" s="7">
        <f>IF($E650="","",Q650*Z650/100)</f>
        <v/>
      </c>
      <c r="S650" s="7" t="n"/>
      <c r="Y650" s="7" t="n"/>
      <c r="Z650" s="7" t="n"/>
      <c r="AA650" s="7">
        <f>IF($E650="","",Z650*AF650/100)</f>
        <v/>
      </c>
      <c r="AB650" s="7">
        <f>IF($E650="","",Z650-AA650)</f>
        <v/>
      </c>
      <c r="AC650" s="7">
        <f>IF($E650="","",AB650-R650)</f>
        <v/>
      </c>
      <c r="AF650">
        <f>IF($E650="","",IF($AR650=1,0,IF($AQ650=1,Settings!$C$6,Settings!$C$7))*100)</f>
        <v/>
      </c>
      <c r="AJ650" s="7" t="n"/>
      <c r="AM650" s="11" t="n"/>
      <c r="AO650">
        <f>IF($E650="","",IF(COUNTIF($E$2:$E650,$E650)=1,1,0))</f>
        <v/>
      </c>
      <c r="AP650">
        <f>IF($AO650=1,SUMPRODUCT(--($AS$2:$AS$1001&lt;$AS650))+1,"")</f>
        <v/>
      </c>
      <c r="AQ650">
        <f>IF($E650="","",IF(OR($V650=TRUE(),$V650="TRUE"),1,0))</f>
        <v/>
      </c>
      <c r="AR650">
        <f>IF($E650="","",IF($AE650="Yes",1,0))</f>
        <v/>
      </c>
      <c r="AS650">
        <f>IF($AO650=1,IFERROR(IF(VALUE($E650)&lt;100000000,VALUE($E650),1000000000),IFERROR(IF(VALUE(MID($E650,2,20))&lt;100000000,VALUE(MID($E650,2,20)),1000000000),1000000000))+ROW()/100000,"")</f>
        <v/>
      </c>
    </row>
    <row r="651">
      <c r="D651">
        <f>IF($E651="","",IFERROR(IF(INDEX('Per Invoice'!$A$2:$A$301,MATCH($E651,'Per Invoice'!$B$2:$B$301,0))=0,"",INDEX('Per Invoice'!$A$2:$A$301,MATCH($E651,'Per Invoice'!$B$2:$B$301,0))),""))</f>
        <v/>
      </c>
      <c r="H651" s="11" t="n"/>
      <c r="R651" s="7">
        <f>IF($E651="","",Q651*Z651/100)</f>
        <v/>
      </c>
      <c r="S651" s="7" t="n"/>
      <c r="Y651" s="7" t="n"/>
      <c r="Z651" s="7" t="n"/>
      <c r="AA651" s="7">
        <f>IF($E651="","",Z651*AF651/100)</f>
        <v/>
      </c>
      <c r="AB651" s="7">
        <f>IF($E651="","",Z651-AA651)</f>
        <v/>
      </c>
      <c r="AC651" s="7">
        <f>IF($E651="","",AB651-R651)</f>
        <v/>
      </c>
      <c r="AF651">
        <f>IF($E651="","",IF($AR651=1,0,IF($AQ651=1,Settings!$C$6,Settings!$C$7))*100)</f>
        <v/>
      </c>
      <c r="AJ651" s="7" t="n"/>
      <c r="AM651" s="11" t="n"/>
      <c r="AO651">
        <f>IF($E651="","",IF(COUNTIF($E$2:$E651,$E651)=1,1,0))</f>
        <v/>
      </c>
      <c r="AP651">
        <f>IF($AO651=1,SUMPRODUCT(--($AS$2:$AS$1001&lt;$AS651))+1,"")</f>
        <v/>
      </c>
      <c r="AQ651">
        <f>IF($E651="","",IF(OR($V651=TRUE(),$V651="TRUE"),1,0))</f>
        <v/>
      </c>
      <c r="AR651">
        <f>IF($E651="","",IF($AE651="Yes",1,0))</f>
        <v/>
      </c>
      <c r="AS651">
        <f>IF($AO651=1,IFERROR(IF(VALUE($E651)&lt;100000000,VALUE($E651),1000000000),IFERROR(IF(VALUE(MID($E651,2,20))&lt;100000000,VALUE(MID($E651,2,20)),1000000000),1000000000))+ROW()/100000,"")</f>
        <v/>
      </c>
    </row>
    <row r="652">
      <c r="D652">
        <f>IF($E652="","",IFERROR(IF(INDEX('Per Invoice'!$A$2:$A$301,MATCH($E652,'Per Invoice'!$B$2:$B$301,0))=0,"",INDEX('Per Invoice'!$A$2:$A$301,MATCH($E652,'Per Invoice'!$B$2:$B$301,0))),""))</f>
        <v/>
      </c>
      <c r="H652" s="11" t="n"/>
      <c r="R652" s="7">
        <f>IF($E652="","",Q652*Z652/100)</f>
        <v/>
      </c>
      <c r="S652" s="7" t="n"/>
      <c r="Y652" s="7" t="n"/>
      <c r="Z652" s="7" t="n"/>
      <c r="AA652" s="7">
        <f>IF($E652="","",Z652*AF652/100)</f>
        <v/>
      </c>
      <c r="AB652" s="7">
        <f>IF($E652="","",Z652-AA652)</f>
        <v/>
      </c>
      <c r="AC652" s="7">
        <f>IF($E652="","",AB652-R652)</f>
        <v/>
      </c>
      <c r="AF652">
        <f>IF($E652="","",IF($AR652=1,0,IF($AQ652=1,Settings!$C$6,Settings!$C$7))*100)</f>
        <v/>
      </c>
      <c r="AJ652" s="7" t="n"/>
      <c r="AM652" s="11" t="n"/>
      <c r="AO652">
        <f>IF($E652="","",IF(COUNTIF($E$2:$E652,$E652)=1,1,0))</f>
        <v/>
      </c>
      <c r="AP652">
        <f>IF($AO652=1,SUMPRODUCT(--($AS$2:$AS$1001&lt;$AS652))+1,"")</f>
        <v/>
      </c>
      <c r="AQ652">
        <f>IF($E652="","",IF(OR($V652=TRUE(),$V652="TRUE"),1,0))</f>
        <v/>
      </c>
      <c r="AR652">
        <f>IF($E652="","",IF($AE652="Yes",1,0))</f>
        <v/>
      </c>
      <c r="AS652">
        <f>IF($AO652=1,IFERROR(IF(VALUE($E652)&lt;100000000,VALUE($E652),1000000000),IFERROR(IF(VALUE(MID($E652,2,20))&lt;100000000,VALUE(MID($E652,2,20)),1000000000),1000000000))+ROW()/100000,"")</f>
        <v/>
      </c>
    </row>
    <row r="653">
      <c r="D653">
        <f>IF($E653="","",IFERROR(IF(INDEX('Per Invoice'!$A$2:$A$301,MATCH($E653,'Per Invoice'!$B$2:$B$301,0))=0,"",INDEX('Per Invoice'!$A$2:$A$301,MATCH($E653,'Per Invoice'!$B$2:$B$301,0))),""))</f>
        <v/>
      </c>
      <c r="H653" s="11" t="n"/>
      <c r="R653" s="7">
        <f>IF($E653="","",Q653*Z653/100)</f>
        <v/>
      </c>
      <c r="S653" s="7" t="n"/>
      <c r="Y653" s="7" t="n"/>
      <c r="Z653" s="7" t="n"/>
      <c r="AA653" s="7">
        <f>IF($E653="","",Z653*AF653/100)</f>
        <v/>
      </c>
      <c r="AB653" s="7">
        <f>IF($E653="","",Z653-AA653)</f>
        <v/>
      </c>
      <c r="AC653" s="7">
        <f>IF($E653="","",AB653-R653)</f>
        <v/>
      </c>
      <c r="AF653">
        <f>IF($E653="","",IF($AR653=1,0,IF($AQ653=1,Settings!$C$6,Settings!$C$7))*100)</f>
        <v/>
      </c>
      <c r="AJ653" s="7" t="n"/>
      <c r="AM653" s="11" t="n"/>
      <c r="AO653">
        <f>IF($E653="","",IF(COUNTIF($E$2:$E653,$E653)=1,1,0))</f>
        <v/>
      </c>
      <c r="AP653">
        <f>IF($AO653=1,SUMPRODUCT(--($AS$2:$AS$1001&lt;$AS653))+1,"")</f>
        <v/>
      </c>
      <c r="AQ653">
        <f>IF($E653="","",IF(OR($V653=TRUE(),$V653="TRUE"),1,0))</f>
        <v/>
      </c>
      <c r="AR653">
        <f>IF($E653="","",IF($AE653="Yes",1,0))</f>
        <v/>
      </c>
      <c r="AS653">
        <f>IF($AO653=1,IFERROR(IF(VALUE($E653)&lt;100000000,VALUE($E653),1000000000),IFERROR(IF(VALUE(MID($E653,2,20))&lt;100000000,VALUE(MID($E653,2,20)),1000000000),1000000000))+ROW()/100000,"")</f>
        <v/>
      </c>
    </row>
    <row r="654">
      <c r="D654">
        <f>IF($E654="","",IFERROR(IF(INDEX('Per Invoice'!$A$2:$A$301,MATCH($E654,'Per Invoice'!$B$2:$B$301,0))=0,"",INDEX('Per Invoice'!$A$2:$A$301,MATCH($E654,'Per Invoice'!$B$2:$B$301,0))),""))</f>
        <v/>
      </c>
      <c r="H654" s="11" t="n"/>
      <c r="R654" s="7">
        <f>IF($E654="","",Q654*Z654/100)</f>
        <v/>
      </c>
      <c r="S654" s="7" t="n"/>
      <c r="Y654" s="7" t="n"/>
      <c r="Z654" s="7" t="n"/>
      <c r="AA654" s="7">
        <f>IF($E654="","",Z654*AF654/100)</f>
        <v/>
      </c>
      <c r="AB654" s="7">
        <f>IF($E654="","",Z654-AA654)</f>
        <v/>
      </c>
      <c r="AC654" s="7">
        <f>IF($E654="","",AB654-R654)</f>
        <v/>
      </c>
      <c r="AF654">
        <f>IF($E654="","",IF($AR654=1,0,IF($AQ654=1,Settings!$C$6,Settings!$C$7))*100)</f>
        <v/>
      </c>
      <c r="AJ654" s="7" t="n"/>
      <c r="AM654" s="11" t="n"/>
      <c r="AO654">
        <f>IF($E654="","",IF(COUNTIF($E$2:$E654,$E654)=1,1,0))</f>
        <v/>
      </c>
      <c r="AP654">
        <f>IF($AO654=1,SUMPRODUCT(--($AS$2:$AS$1001&lt;$AS654))+1,"")</f>
        <v/>
      </c>
      <c r="AQ654">
        <f>IF($E654="","",IF(OR($V654=TRUE(),$V654="TRUE"),1,0))</f>
        <v/>
      </c>
      <c r="AR654">
        <f>IF($E654="","",IF($AE654="Yes",1,0))</f>
        <v/>
      </c>
      <c r="AS654">
        <f>IF($AO654=1,IFERROR(IF(VALUE($E654)&lt;100000000,VALUE($E654),1000000000),IFERROR(IF(VALUE(MID($E654,2,20))&lt;100000000,VALUE(MID($E654,2,20)),1000000000),1000000000))+ROW()/100000,"")</f>
        <v/>
      </c>
    </row>
    <row r="655">
      <c r="D655">
        <f>IF($E655="","",IFERROR(IF(INDEX('Per Invoice'!$A$2:$A$301,MATCH($E655,'Per Invoice'!$B$2:$B$301,0))=0,"",INDEX('Per Invoice'!$A$2:$A$301,MATCH($E655,'Per Invoice'!$B$2:$B$301,0))),""))</f>
        <v/>
      </c>
      <c r="H655" s="11" t="n"/>
      <c r="R655" s="7">
        <f>IF($E655="","",Q655*Z655/100)</f>
        <v/>
      </c>
      <c r="S655" s="7" t="n"/>
      <c r="Y655" s="7" t="n"/>
      <c r="Z655" s="7" t="n"/>
      <c r="AA655" s="7">
        <f>IF($E655="","",Z655*AF655/100)</f>
        <v/>
      </c>
      <c r="AB655" s="7">
        <f>IF($E655="","",Z655-AA655)</f>
        <v/>
      </c>
      <c r="AC655" s="7">
        <f>IF($E655="","",AB655-R655)</f>
        <v/>
      </c>
      <c r="AF655">
        <f>IF($E655="","",IF($AR655=1,0,IF($AQ655=1,Settings!$C$6,Settings!$C$7))*100)</f>
        <v/>
      </c>
      <c r="AJ655" s="7" t="n"/>
      <c r="AM655" s="11" t="n"/>
      <c r="AO655">
        <f>IF($E655="","",IF(COUNTIF($E$2:$E655,$E655)=1,1,0))</f>
        <v/>
      </c>
      <c r="AP655">
        <f>IF($AO655=1,SUMPRODUCT(--($AS$2:$AS$1001&lt;$AS655))+1,"")</f>
        <v/>
      </c>
      <c r="AQ655">
        <f>IF($E655="","",IF(OR($V655=TRUE(),$V655="TRUE"),1,0))</f>
        <v/>
      </c>
      <c r="AR655">
        <f>IF($E655="","",IF($AE655="Yes",1,0))</f>
        <v/>
      </c>
      <c r="AS655">
        <f>IF($AO655=1,IFERROR(IF(VALUE($E655)&lt;100000000,VALUE($E655),1000000000),IFERROR(IF(VALUE(MID($E655,2,20))&lt;100000000,VALUE(MID($E655,2,20)),1000000000),1000000000))+ROW()/100000,"")</f>
        <v/>
      </c>
    </row>
    <row r="656">
      <c r="D656">
        <f>IF($E656="","",IFERROR(IF(INDEX('Per Invoice'!$A$2:$A$301,MATCH($E656,'Per Invoice'!$B$2:$B$301,0))=0,"",INDEX('Per Invoice'!$A$2:$A$301,MATCH($E656,'Per Invoice'!$B$2:$B$301,0))),""))</f>
        <v/>
      </c>
      <c r="H656" s="11" t="n"/>
      <c r="R656" s="7">
        <f>IF($E656="","",Q656*Z656/100)</f>
        <v/>
      </c>
      <c r="S656" s="7" t="n"/>
      <c r="Y656" s="7" t="n"/>
      <c r="Z656" s="7" t="n"/>
      <c r="AA656" s="7">
        <f>IF($E656="","",Z656*AF656/100)</f>
        <v/>
      </c>
      <c r="AB656" s="7">
        <f>IF($E656="","",Z656-AA656)</f>
        <v/>
      </c>
      <c r="AC656" s="7">
        <f>IF($E656="","",AB656-R656)</f>
        <v/>
      </c>
      <c r="AF656">
        <f>IF($E656="","",IF($AR656=1,0,IF($AQ656=1,Settings!$C$6,Settings!$C$7))*100)</f>
        <v/>
      </c>
      <c r="AJ656" s="7" t="n"/>
      <c r="AM656" s="11" t="n"/>
      <c r="AO656">
        <f>IF($E656="","",IF(COUNTIF($E$2:$E656,$E656)=1,1,0))</f>
        <v/>
      </c>
      <c r="AP656">
        <f>IF($AO656=1,SUMPRODUCT(--($AS$2:$AS$1001&lt;$AS656))+1,"")</f>
        <v/>
      </c>
      <c r="AQ656">
        <f>IF($E656="","",IF(OR($V656=TRUE(),$V656="TRUE"),1,0))</f>
        <v/>
      </c>
      <c r="AR656">
        <f>IF($E656="","",IF($AE656="Yes",1,0))</f>
        <v/>
      </c>
      <c r="AS656">
        <f>IF($AO656=1,IFERROR(IF(VALUE($E656)&lt;100000000,VALUE($E656),1000000000),IFERROR(IF(VALUE(MID($E656,2,20))&lt;100000000,VALUE(MID($E656,2,20)),1000000000),1000000000))+ROW()/100000,"")</f>
        <v/>
      </c>
    </row>
    <row r="657">
      <c r="D657">
        <f>IF($E657="","",IFERROR(IF(INDEX('Per Invoice'!$A$2:$A$301,MATCH($E657,'Per Invoice'!$B$2:$B$301,0))=0,"",INDEX('Per Invoice'!$A$2:$A$301,MATCH($E657,'Per Invoice'!$B$2:$B$301,0))),""))</f>
        <v/>
      </c>
      <c r="H657" s="11" t="n"/>
      <c r="R657" s="7">
        <f>IF($E657="","",Q657*Z657/100)</f>
        <v/>
      </c>
      <c r="S657" s="7" t="n"/>
      <c r="Y657" s="7" t="n"/>
      <c r="Z657" s="7" t="n"/>
      <c r="AA657" s="7">
        <f>IF($E657="","",Z657*AF657/100)</f>
        <v/>
      </c>
      <c r="AB657" s="7">
        <f>IF($E657="","",Z657-AA657)</f>
        <v/>
      </c>
      <c r="AC657" s="7">
        <f>IF($E657="","",AB657-R657)</f>
        <v/>
      </c>
      <c r="AF657">
        <f>IF($E657="","",IF($AR657=1,0,IF($AQ657=1,Settings!$C$6,Settings!$C$7))*100)</f>
        <v/>
      </c>
      <c r="AJ657" s="7" t="n"/>
      <c r="AM657" s="11" t="n"/>
      <c r="AO657">
        <f>IF($E657="","",IF(COUNTIF($E$2:$E657,$E657)=1,1,0))</f>
        <v/>
      </c>
      <c r="AP657">
        <f>IF($AO657=1,SUMPRODUCT(--($AS$2:$AS$1001&lt;$AS657))+1,"")</f>
        <v/>
      </c>
      <c r="AQ657">
        <f>IF($E657="","",IF(OR($V657=TRUE(),$V657="TRUE"),1,0))</f>
        <v/>
      </c>
      <c r="AR657">
        <f>IF($E657="","",IF($AE657="Yes",1,0))</f>
        <v/>
      </c>
      <c r="AS657">
        <f>IF($AO657=1,IFERROR(IF(VALUE($E657)&lt;100000000,VALUE($E657),1000000000),IFERROR(IF(VALUE(MID($E657,2,20))&lt;100000000,VALUE(MID($E657,2,20)),1000000000),1000000000))+ROW()/100000,"")</f>
        <v/>
      </c>
    </row>
    <row r="658">
      <c r="D658">
        <f>IF($E658="","",IFERROR(IF(INDEX('Per Invoice'!$A$2:$A$301,MATCH($E658,'Per Invoice'!$B$2:$B$301,0))=0,"",INDEX('Per Invoice'!$A$2:$A$301,MATCH($E658,'Per Invoice'!$B$2:$B$301,0))),""))</f>
        <v/>
      </c>
      <c r="H658" s="11" t="n"/>
      <c r="R658" s="7">
        <f>IF($E658="","",Q658*Z658/100)</f>
        <v/>
      </c>
      <c r="S658" s="7" t="n"/>
      <c r="Y658" s="7" t="n"/>
      <c r="Z658" s="7" t="n"/>
      <c r="AA658" s="7">
        <f>IF($E658="","",Z658*AF658/100)</f>
        <v/>
      </c>
      <c r="AB658" s="7">
        <f>IF($E658="","",Z658-AA658)</f>
        <v/>
      </c>
      <c r="AC658" s="7">
        <f>IF($E658="","",AB658-R658)</f>
        <v/>
      </c>
      <c r="AF658">
        <f>IF($E658="","",IF($AR658=1,0,IF($AQ658=1,Settings!$C$6,Settings!$C$7))*100)</f>
        <v/>
      </c>
      <c r="AJ658" s="7" t="n"/>
      <c r="AM658" s="11" t="n"/>
      <c r="AO658">
        <f>IF($E658="","",IF(COUNTIF($E$2:$E658,$E658)=1,1,0))</f>
        <v/>
      </c>
      <c r="AP658">
        <f>IF($AO658=1,SUMPRODUCT(--($AS$2:$AS$1001&lt;$AS658))+1,"")</f>
        <v/>
      </c>
      <c r="AQ658">
        <f>IF($E658="","",IF(OR($V658=TRUE(),$V658="TRUE"),1,0))</f>
        <v/>
      </c>
      <c r="AR658">
        <f>IF($E658="","",IF($AE658="Yes",1,0))</f>
        <v/>
      </c>
      <c r="AS658">
        <f>IF($AO658=1,IFERROR(IF(VALUE($E658)&lt;100000000,VALUE($E658),1000000000),IFERROR(IF(VALUE(MID($E658,2,20))&lt;100000000,VALUE(MID($E658,2,20)),1000000000),1000000000))+ROW()/100000,"")</f>
        <v/>
      </c>
    </row>
    <row r="659">
      <c r="D659">
        <f>IF($E659="","",IFERROR(IF(INDEX('Per Invoice'!$A$2:$A$301,MATCH($E659,'Per Invoice'!$B$2:$B$301,0))=0,"",INDEX('Per Invoice'!$A$2:$A$301,MATCH($E659,'Per Invoice'!$B$2:$B$301,0))),""))</f>
        <v/>
      </c>
      <c r="H659" s="11" t="n"/>
      <c r="R659" s="7">
        <f>IF($E659="","",Q659*Z659/100)</f>
        <v/>
      </c>
      <c r="S659" s="7" t="n"/>
      <c r="Y659" s="7" t="n"/>
      <c r="Z659" s="7" t="n"/>
      <c r="AA659" s="7">
        <f>IF($E659="","",Z659*AF659/100)</f>
        <v/>
      </c>
      <c r="AB659" s="7">
        <f>IF($E659="","",Z659-AA659)</f>
        <v/>
      </c>
      <c r="AC659" s="7">
        <f>IF($E659="","",AB659-R659)</f>
        <v/>
      </c>
      <c r="AF659">
        <f>IF($E659="","",IF($AR659=1,0,IF($AQ659=1,Settings!$C$6,Settings!$C$7))*100)</f>
        <v/>
      </c>
      <c r="AJ659" s="7" t="n"/>
      <c r="AM659" s="11" t="n"/>
      <c r="AO659">
        <f>IF($E659="","",IF(COUNTIF($E$2:$E659,$E659)=1,1,0))</f>
        <v/>
      </c>
      <c r="AP659">
        <f>IF($AO659=1,SUMPRODUCT(--($AS$2:$AS$1001&lt;$AS659))+1,"")</f>
        <v/>
      </c>
      <c r="AQ659">
        <f>IF($E659="","",IF(OR($V659=TRUE(),$V659="TRUE"),1,0))</f>
        <v/>
      </c>
      <c r="AR659">
        <f>IF($E659="","",IF($AE659="Yes",1,0))</f>
        <v/>
      </c>
      <c r="AS659">
        <f>IF($AO659=1,IFERROR(IF(VALUE($E659)&lt;100000000,VALUE($E659),1000000000),IFERROR(IF(VALUE(MID($E659,2,20))&lt;100000000,VALUE(MID($E659,2,20)),1000000000),1000000000))+ROW()/100000,"")</f>
        <v/>
      </c>
    </row>
    <row r="660">
      <c r="D660">
        <f>IF($E660="","",IFERROR(IF(INDEX('Per Invoice'!$A$2:$A$301,MATCH($E660,'Per Invoice'!$B$2:$B$301,0))=0,"",INDEX('Per Invoice'!$A$2:$A$301,MATCH($E660,'Per Invoice'!$B$2:$B$301,0))),""))</f>
        <v/>
      </c>
      <c r="H660" s="11" t="n"/>
      <c r="R660" s="7">
        <f>IF($E660="","",Q660*Z660/100)</f>
        <v/>
      </c>
      <c r="S660" s="7" t="n"/>
      <c r="Y660" s="7" t="n"/>
      <c r="Z660" s="7" t="n"/>
      <c r="AA660" s="7">
        <f>IF($E660="","",Z660*AF660/100)</f>
        <v/>
      </c>
      <c r="AB660" s="7">
        <f>IF($E660="","",Z660-AA660)</f>
        <v/>
      </c>
      <c r="AC660" s="7">
        <f>IF($E660="","",AB660-R660)</f>
        <v/>
      </c>
      <c r="AF660">
        <f>IF($E660="","",IF($AR660=1,0,IF($AQ660=1,Settings!$C$6,Settings!$C$7))*100)</f>
        <v/>
      </c>
      <c r="AJ660" s="7" t="n"/>
      <c r="AM660" s="11" t="n"/>
      <c r="AO660">
        <f>IF($E660="","",IF(COUNTIF($E$2:$E660,$E660)=1,1,0))</f>
        <v/>
      </c>
      <c r="AP660">
        <f>IF($AO660=1,SUMPRODUCT(--($AS$2:$AS$1001&lt;$AS660))+1,"")</f>
        <v/>
      </c>
      <c r="AQ660">
        <f>IF($E660="","",IF(OR($V660=TRUE(),$V660="TRUE"),1,0))</f>
        <v/>
      </c>
      <c r="AR660">
        <f>IF($E660="","",IF($AE660="Yes",1,0))</f>
        <v/>
      </c>
      <c r="AS660">
        <f>IF($AO660=1,IFERROR(IF(VALUE($E660)&lt;100000000,VALUE($E660),1000000000),IFERROR(IF(VALUE(MID($E660,2,20))&lt;100000000,VALUE(MID($E660,2,20)),1000000000),1000000000))+ROW()/100000,"")</f>
        <v/>
      </c>
    </row>
    <row r="661">
      <c r="D661">
        <f>IF($E661="","",IFERROR(IF(INDEX('Per Invoice'!$A$2:$A$301,MATCH($E661,'Per Invoice'!$B$2:$B$301,0))=0,"",INDEX('Per Invoice'!$A$2:$A$301,MATCH($E661,'Per Invoice'!$B$2:$B$301,0))),""))</f>
        <v/>
      </c>
      <c r="H661" s="11" t="n"/>
      <c r="R661" s="7">
        <f>IF($E661="","",Q661*Z661/100)</f>
        <v/>
      </c>
      <c r="S661" s="7" t="n"/>
      <c r="Y661" s="7" t="n"/>
      <c r="Z661" s="7" t="n"/>
      <c r="AA661" s="7">
        <f>IF($E661="","",Z661*AF661/100)</f>
        <v/>
      </c>
      <c r="AB661" s="7">
        <f>IF($E661="","",Z661-AA661)</f>
        <v/>
      </c>
      <c r="AC661" s="7">
        <f>IF($E661="","",AB661-R661)</f>
        <v/>
      </c>
      <c r="AF661">
        <f>IF($E661="","",IF($AR661=1,0,IF($AQ661=1,Settings!$C$6,Settings!$C$7))*100)</f>
        <v/>
      </c>
      <c r="AJ661" s="7" t="n"/>
      <c r="AM661" s="11" t="n"/>
      <c r="AO661">
        <f>IF($E661="","",IF(COUNTIF($E$2:$E661,$E661)=1,1,0))</f>
        <v/>
      </c>
      <c r="AP661">
        <f>IF($AO661=1,SUMPRODUCT(--($AS$2:$AS$1001&lt;$AS661))+1,"")</f>
        <v/>
      </c>
      <c r="AQ661">
        <f>IF($E661="","",IF(OR($V661=TRUE(),$V661="TRUE"),1,0))</f>
        <v/>
      </c>
      <c r="AR661">
        <f>IF($E661="","",IF($AE661="Yes",1,0))</f>
        <v/>
      </c>
      <c r="AS661">
        <f>IF($AO661=1,IFERROR(IF(VALUE($E661)&lt;100000000,VALUE($E661),1000000000),IFERROR(IF(VALUE(MID($E661,2,20))&lt;100000000,VALUE(MID($E661,2,20)),1000000000),1000000000))+ROW()/100000,"")</f>
        <v/>
      </c>
    </row>
    <row r="662">
      <c r="D662">
        <f>IF($E662="","",IFERROR(IF(INDEX('Per Invoice'!$A$2:$A$301,MATCH($E662,'Per Invoice'!$B$2:$B$301,0))=0,"",INDEX('Per Invoice'!$A$2:$A$301,MATCH($E662,'Per Invoice'!$B$2:$B$301,0))),""))</f>
        <v/>
      </c>
      <c r="H662" s="11" t="n"/>
      <c r="R662" s="7">
        <f>IF($E662="","",Q662*Z662/100)</f>
        <v/>
      </c>
      <c r="S662" s="7" t="n"/>
      <c r="Y662" s="7" t="n"/>
      <c r="Z662" s="7" t="n"/>
      <c r="AA662" s="7">
        <f>IF($E662="","",Z662*AF662/100)</f>
        <v/>
      </c>
      <c r="AB662" s="7">
        <f>IF($E662="","",Z662-AA662)</f>
        <v/>
      </c>
      <c r="AC662" s="7">
        <f>IF($E662="","",AB662-R662)</f>
        <v/>
      </c>
      <c r="AF662">
        <f>IF($E662="","",IF($AR662=1,0,IF($AQ662=1,Settings!$C$6,Settings!$C$7))*100)</f>
        <v/>
      </c>
      <c r="AJ662" s="7" t="n"/>
      <c r="AM662" s="11" t="n"/>
      <c r="AO662">
        <f>IF($E662="","",IF(COUNTIF($E$2:$E662,$E662)=1,1,0))</f>
        <v/>
      </c>
      <c r="AP662">
        <f>IF($AO662=1,SUMPRODUCT(--($AS$2:$AS$1001&lt;$AS662))+1,"")</f>
        <v/>
      </c>
      <c r="AQ662">
        <f>IF($E662="","",IF(OR($V662=TRUE(),$V662="TRUE"),1,0))</f>
        <v/>
      </c>
      <c r="AR662">
        <f>IF($E662="","",IF($AE662="Yes",1,0))</f>
        <v/>
      </c>
      <c r="AS662">
        <f>IF($AO662=1,IFERROR(IF(VALUE($E662)&lt;100000000,VALUE($E662),1000000000),IFERROR(IF(VALUE(MID($E662,2,20))&lt;100000000,VALUE(MID($E662,2,20)),1000000000),1000000000))+ROW()/100000,"")</f>
        <v/>
      </c>
    </row>
    <row r="663">
      <c r="D663">
        <f>IF($E663="","",IFERROR(IF(INDEX('Per Invoice'!$A$2:$A$301,MATCH($E663,'Per Invoice'!$B$2:$B$301,0))=0,"",INDEX('Per Invoice'!$A$2:$A$301,MATCH($E663,'Per Invoice'!$B$2:$B$301,0))),""))</f>
        <v/>
      </c>
      <c r="H663" s="11" t="n"/>
      <c r="R663" s="7">
        <f>IF($E663="","",Q663*Z663/100)</f>
        <v/>
      </c>
      <c r="S663" s="7" t="n"/>
      <c r="Y663" s="7" t="n"/>
      <c r="Z663" s="7" t="n"/>
      <c r="AA663" s="7">
        <f>IF($E663="","",Z663*AF663/100)</f>
        <v/>
      </c>
      <c r="AB663" s="7">
        <f>IF($E663="","",Z663-AA663)</f>
        <v/>
      </c>
      <c r="AC663" s="7">
        <f>IF($E663="","",AB663-R663)</f>
        <v/>
      </c>
      <c r="AF663">
        <f>IF($E663="","",IF($AR663=1,0,IF($AQ663=1,Settings!$C$6,Settings!$C$7))*100)</f>
        <v/>
      </c>
      <c r="AJ663" s="7" t="n"/>
      <c r="AM663" s="11" t="n"/>
      <c r="AO663">
        <f>IF($E663="","",IF(COUNTIF($E$2:$E663,$E663)=1,1,0))</f>
        <v/>
      </c>
      <c r="AP663">
        <f>IF($AO663=1,SUMPRODUCT(--($AS$2:$AS$1001&lt;$AS663))+1,"")</f>
        <v/>
      </c>
      <c r="AQ663">
        <f>IF($E663="","",IF(OR($V663=TRUE(),$V663="TRUE"),1,0))</f>
        <v/>
      </c>
      <c r="AR663">
        <f>IF($E663="","",IF($AE663="Yes",1,0))</f>
        <v/>
      </c>
      <c r="AS663">
        <f>IF($AO663=1,IFERROR(IF(VALUE($E663)&lt;100000000,VALUE($E663),1000000000),IFERROR(IF(VALUE(MID($E663,2,20))&lt;100000000,VALUE(MID($E663,2,20)),1000000000),1000000000))+ROW()/100000,"")</f>
        <v/>
      </c>
    </row>
    <row r="664">
      <c r="D664">
        <f>IF($E664="","",IFERROR(IF(INDEX('Per Invoice'!$A$2:$A$301,MATCH($E664,'Per Invoice'!$B$2:$B$301,0))=0,"",INDEX('Per Invoice'!$A$2:$A$301,MATCH($E664,'Per Invoice'!$B$2:$B$301,0))),""))</f>
        <v/>
      </c>
      <c r="H664" s="11" t="n"/>
      <c r="R664" s="7">
        <f>IF($E664="","",Q664*Z664/100)</f>
        <v/>
      </c>
      <c r="S664" s="7" t="n"/>
      <c r="Y664" s="7" t="n"/>
      <c r="Z664" s="7" t="n"/>
      <c r="AA664" s="7">
        <f>IF($E664="","",Z664*AF664/100)</f>
        <v/>
      </c>
      <c r="AB664" s="7">
        <f>IF($E664="","",Z664-AA664)</f>
        <v/>
      </c>
      <c r="AC664" s="7">
        <f>IF($E664="","",AB664-R664)</f>
        <v/>
      </c>
      <c r="AF664">
        <f>IF($E664="","",IF($AR664=1,0,IF($AQ664=1,Settings!$C$6,Settings!$C$7))*100)</f>
        <v/>
      </c>
      <c r="AJ664" s="7" t="n"/>
      <c r="AM664" s="11" t="n"/>
      <c r="AO664">
        <f>IF($E664="","",IF(COUNTIF($E$2:$E664,$E664)=1,1,0))</f>
        <v/>
      </c>
      <c r="AP664">
        <f>IF($AO664=1,SUMPRODUCT(--($AS$2:$AS$1001&lt;$AS664))+1,"")</f>
        <v/>
      </c>
      <c r="AQ664">
        <f>IF($E664="","",IF(OR($V664=TRUE(),$V664="TRUE"),1,0))</f>
        <v/>
      </c>
      <c r="AR664">
        <f>IF($E664="","",IF($AE664="Yes",1,0))</f>
        <v/>
      </c>
      <c r="AS664">
        <f>IF($AO664=1,IFERROR(IF(VALUE($E664)&lt;100000000,VALUE($E664),1000000000),IFERROR(IF(VALUE(MID($E664,2,20))&lt;100000000,VALUE(MID($E664,2,20)),1000000000),1000000000))+ROW()/100000,"")</f>
        <v/>
      </c>
    </row>
    <row r="665">
      <c r="D665">
        <f>IF($E665="","",IFERROR(IF(INDEX('Per Invoice'!$A$2:$A$301,MATCH($E665,'Per Invoice'!$B$2:$B$301,0))=0,"",INDEX('Per Invoice'!$A$2:$A$301,MATCH($E665,'Per Invoice'!$B$2:$B$301,0))),""))</f>
        <v/>
      </c>
      <c r="H665" s="11" t="n"/>
      <c r="R665" s="7">
        <f>IF($E665="","",Q665*Z665/100)</f>
        <v/>
      </c>
      <c r="S665" s="7" t="n"/>
      <c r="Y665" s="7" t="n"/>
      <c r="Z665" s="7" t="n"/>
      <c r="AA665" s="7">
        <f>IF($E665="","",Z665*AF665/100)</f>
        <v/>
      </c>
      <c r="AB665" s="7">
        <f>IF($E665="","",Z665-AA665)</f>
        <v/>
      </c>
      <c r="AC665" s="7">
        <f>IF($E665="","",AB665-R665)</f>
        <v/>
      </c>
      <c r="AF665">
        <f>IF($E665="","",IF($AR665=1,0,IF($AQ665=1,Settings!$C$6,Settings!$C$7))*100)</f>
        <v/>
      </c>
      <c r="AJ665" s="7" t="n"/>
      <c r="AM665" s="11" t="n"/>
      <c r="AO665">
        <f>IF($E665="","",IF(COUNTIF($E$2:$E665,$E665)=1,1,0))</f>
        <v/>
      </c>
      <c r="AP665">
        <f>IF($AO665=1,SUMPRODUCT(--($AS$2:$AS$1001&lt;$AS665))+1,"")</f>
        <v/>
      </c>
      <c r="AQ665">
        <f>IF($E665="","",IF(OR($V665=TRUE(),$V665="TRUE"),1,0))</f>
        <v/>
      </c>
      <c r="AR665">
        <f>IF($E665="","",IF($AE665="Yes",1,0))</f>
        <v/>
      </c>
      <c r="AS665">
        <f>IF($AO665=1,IFERROR(IF(VALUE($E665)&lt;100000000,VALUE($E665),1000000000),IFERROR(IF(VALUE(MID($E665,2,20))&lt;100000000,VALUE(MID($E665,2,20)),1000000000),1000000000))+ROW()/100000,"")</f>
        <v/>
      </c>
    </row>
    <row r="666">
      <c r="D666">
        <f>IF($E666="","",IFERROR(IF(INDEX('Per Invoice'!$A$2:$A$301,MATCH($E666,'Per Invoice'!$B$2:$B$301,0))=0,"",INDEX('Per Invoice'!$A$2:$A$301,MATCH($E666,'Per Invoice'!$B$2:$B$301,0))),""))</f>
        <v/>
      </c>
      <c r="H666" s="11" t="n"/>
      <c r="R666" s="7">
        <f>IF($E666="","",Q666*Z666/100)</f>
        <v/>
      </c>
      <c r="S666" s="7" t="n"/>
      <c r="Y666" s="7" t="n"/>
      <c r="Z666" s="7" t="n"/>
      <c r="AA666" s="7">
        <f>IF($E666="","",Z666*AF666/100)</f>
        <v/>
      </c>
      <c r="AB666" s="7">
        <f>IF($E666="","",Z666-AA666)</f>
        <v/>
      </c>
      <c r="AC666" s="7">
        <f>IF($E666="","",AB666-R666)</f>
        <v/>
      </c>
      <c r="AF666">
        <f>IF($E666="","",IF($AR666=1,0,IF($AQ666=1,Settings!$C$6,Settings!$C$7))*100)</f>
        <v/>
      </c>
      <c r="AJ666" s="7" t="n"/>
      <c r="AM666" s="11" t="n"/>
      <c r="AO666">
        <f>IF($E666="","",IF(COUNTIF($E$2:$E666,$E666)=1,1,0))</f>
        <v/>
      </c>
      <c r="AP666">
        <f>IF($AO666=1,SUMPRODUCT(--($AS$2:$AS$1001&lt;$AS666))+1,"")</f>
        <v/>
      </c>
      <c r="AQ666">
        <f>IF($E666="","",IF(OR($V666=TRUE(),$V666="TRUE"),1,0))</f>
        <v/>
      </c>
      <c r="AR666">
        <f>IF($E666="","",IF($AE666="Yes",1,0))</f>
        <v/>
      </c>
      <c r="AS666">
        <f>IF($AO666=1,IFERROR(IF(VALUE($E666)&lt;100000000,VALUE($E666),1000000000),IFERROR(IF(VALUE(MID($E666,2,20))&lt;100000000,VALUE(MID($E666,2,20)),1000000000),1000000000))+ROW()/100000,"")</f>
        <v/>
      </c>
    </row>
    <row r="667">
      <c r="D667">
        <f>IF($E667="","",IFERROR(IF(INDEX('Per Invoice'!$A$2:$A$301,MATCH($E667,'Per Invoice'!$B$2:$B$301,0))=0,"",INDEX('Per Invoice'!$A$2:$A$301,MATCH($E667,'Per Invoice'!$B$2:$B$301,0))),""))</f>
        <v/>
      </c>
      <c r="H667" s="11" t="n"/>
      <c r="R667" s="7">
        <f>IF($E667="","",Q667*Z667/100)</f>
        <v/>
      </c>
      <c r="S667" s="7" t="n"/>
      <c r="Y667" s="7" t="n"/>
      <c r="Z667" s="7" t="n"/>
      <c r="AA667" s="7">
        <f>IF($E667="","",Z667*AF667/100)</f>
        <v/>
      </c>
      <c r="AB667" s="7">
        <f>IF($E667="","",Z667-AA667)</f>
        <v/>
      </c>
      <c r="AC667" s="7">
        <f>IF($E667="","",AB667-R667)</f>
        <v/>
      </c>
      <c r="AF667">
        <f>IF($E667="","",IF($AR667=1,0,IF($AQ667=1,Settings!$C$6,Settings!$C$7))*100)</f>
        <v/>
      </c>
      <c r="AJ667" s="7" t="n"/>
      <c r="AM667" s="11" t="n"/>
      <c r="AO667">
        <f>IF($E667="","",IF(COUNTIF($E$2:$E667,$E667)=1,1,0))</f>
        <v/>
      </c>
      <c r="AP667">
        <f>IF($AO667=1,SUMPRODUCT(--($AS$2:$AS$1001&lt;$AS667))+1,"")</f>
        <v/>
      </c>
      <c r="AQ667">
        <f>IF($E667="","",IF(OR($V667=TRUE(),$V667="TRUE"),1,0))</f>
        <v/>
      </c>
      <c r="AR667">
        <f>IF($E667="","",IF($AE667="Yes",1,0))</f>
        <v/>
      </c>
      <c r="AS667">
        <f>IF($AO667=1,IFERROR(IF(VALUE($E667)&lt;100000000,VALUE($E667),1000000000),IFERROR(IF(VALUE(MID($E667,2,20))&lt;100000000,VALUE(MID($E667,2,20)),1000000000),1000000000))+ROW()/100000,"")</f>
        <v/>
      </c>
    </row>
    <row r="668">
      <c r="D668">
        <f>IF($E668="","",IFERROR(IF(INDEX('Per Invoice'!$A$2:$A$301,MATCH($E668,'Per Invoice'!$B$2:$B$301,0))=0,"",INDEX('Per Invoice'!$A$2:$A$301,MATCH($E668,'Per Invoice'!$B$2:$B$301,0))),""))</f>
        <v/>
      </c>
      <c r="H668" s="11" t="n"/>
      <c r="R668" s="7">
        <f>IF($E668="","",Q668*Z668/100)</f>
        <v/>
      </c>
      <c r="S668" s="7" t="n"/>
      <c r="Y668" s="7" t="n"/>
      <c r="Z668" s="7" t="n"/>
      <c r="AA668" s="7">
        <f>IF($E668="","",Z668*AF668/100)</f>
        <v/>
      </c>
      <c r="AB668" s="7">
        <f>IF($E668="","",Z668-AA668)</f>
        <v/>
      </c>
      <c r="AC668" s="7">
        <f>IF($E668="","",AB668-R668)</f>
        <v/>
      </c>
      <c r="AF668">
        <f>IF($E668="","",IF($AR668=1,0,IF($AQ668=1,Settings!$C$6,Settings!$C$7))*100)</f>
        <v/>
      </c>
      <c r="AJ668" s="7" t="n"/>
      <c r="AM668" s="11" t="n"/>
      <c r="AO668">
        <f>IF($E668="","",IF(COUNTIF($E$2:$E668,$E668)=1,1,0))</f>
        <v/>
      </c>
      <c r="AP668">
        <f>IF($AO668=1,SUMPRODUCT(--($AS$2:$AS$1001&lt;$AS668))+1,"")</f>
        <v/>
      </c>
      <c r="AQ668">
        <f>IF($E668="","",IF(OR($V668=TRUE(),$V668="TRUE"),1,0))</f>
        <v/>
      </c>
      <c r="AR668">
        <f>IF($E668="","",IF($AE668="Yes",1,0))</f>
        <v/>
      </c>
      <c r="AS668">
        <f>IF($AO668=1,IFERROR(IF(VALUE($E668)&lt;100000000,VALUE($E668),1000000000),IFERROR(IF(VALUE(MID($E668,2,20))&lt;100000000,VALUE(MID($E668,2,20)),1000000000),1000000000))+ROW()/100000,"")</f>
        <v/>
      </c>
    </row>
    <row r="669">
      <c r="D669">
        <f>IF($E669="","",IFERROR(IF(INDEX('Per Invoice'!$A$2:$A$301,MATCH($E669,'Per Invoice'!$B$2:$B$301,0))=0,"",INDEX('Per Invoice'!$A$2:$A$301,MATCH($E669,'Per Invoice'!$B$2:$B$301,0))),""))</f>
        <v/>
      </c>
      <c r="H669" s="11" t="n"/>
      <c r="R669" s="7">
        <f>IF($E669="","",Q669*Z669/100)</f>
        <v/>
      </c>
      <c r="S669" s="7" t="n"/>
      <c r="Y669" s="7" t="n"/>
      <c r="Z669" s="7" t="n"/>
      <c r="AA669" s="7">
        <f>IF($E669="","",Z669*AF669/100)</f>
        <v/>
      </c>
      <c r="AB669" s="7">
        <f>IF($E669="","",Z669-AA669)</f>
        <v/>
      </c>
      <c r="AC669" s="7">
        <f>IF($E669="","",AB669-R669)</f>
        <v/>
      </c>
      <c r="AF669">
        <f>IF($E669="","",IF($AR669=1,0,IF($AQ669=1,Settings!$C$6,Settings!$C$7))*100)</f>
        <v/>
      </c>
      <c r="AJ669" s="7" t="n"/>
      <c r="AM669" s="11" t="n"/>
      <c r="AO669">
        <f>IF($E669="","",IF(COUNTIF($E$2:$E669,$E669)=1,1,0))</f>
        <v/>
      </c>
      <c r="AP669">
        <f>IF($AO669=1,SUMPRODUCT(--($AS$2:$AS$1001&lt;$AS669))+1,"")</f>
        <v/>
      </c>
      <c r="AQ669">
        <f>IF($E669="","",IF(OR($V669=TRUE(),$V669="TRUE"),1,0))</f>
        <v/>
      </c>
      <c r="AR669">
        <f>IF($E669="","",IF($AE669="Yes",1,0))</f>
        <v/>
      </c>
      <c r="AS669">
        <f>IF($AO669=1,IFERROR(IF(VALUE($E669)&lt;100000000,VALUE($E669),1000000000),IFERROR(IF(VALUE(MID($E669,2,20))&lt;100000000,VALUE(MID($E669,2,20)),1000000000),1000000000))+ROW()/100000,"")</f>
        <v/>
      </c>
    </row>
    <row r="670">
      <c r="D670">
        <f>IF($E670="","",IFERROR(IF(INDEX('Per Invoice'!$A$2:$A$301,MATCH($E670,'Per Invoice'!$B$2:$B$301,0))=0,"",INDEX('Per Invoice'!$A$2:$A$301,MATCH($E670,'Per Invoice'!$B$2:$B$301,0))),""))</f>
        <v/>
      </c>
      <c r="H670" s="11" t="n"/>
      <c r="R670" s="7">
        <f>IF($E670="","",Q670*Z670/100)</f>
        <v/>
      </c>
      <c r="S670" s="7" t="n"/>
      <c r="Y670" s="7" t="n"/>
      <c r="Z670" s="7" t="n"/>
      <c r="AA670" s="7">
        <f>IF($E670="","",Z670*AF670/100)</f>
        <v/>
      </c>
      <c r="AB670" s="7">
        <f>IF($E670="","",Z670-AA670)</f>
        <v/>
      </c>
      <c r="AC670" s="7">
        <f>IF($E670="","",AB670-R670)</f>
        <v/>
      </c>
      <c r="AF670">
        <f>IF($E670="","",IF($AR670=1,0,IF($AQ670=1,Settings!$C$6,Settings!$C$7))*100)</f>
        <v/>
      </c>
      <c r="AJ670" s="7" t="n"/>
      <c r="AM670" s="11" t="n"/>
      <c r="AO670">
        <f>IF($E670="","",IF(COUNTIF($E$2:$E670,$E670)=1,1,0))</f>
        <v/>
      </c>
      <c r="AP670">
        <f>IF($AO670=1,SUMPRODUCT(--($AS$2:$AS$1001&lt;$AS670))+1,"")</f>
        <v/>
      </c>
      <c r="AQ670">
        <f>IF($E670="","",IF(OR($V670=TRUE(),$V670="TRUE"),1,0))</f>
        <v/>
      </c>
      <c r="AR670">
        <f>IF($E670="","",IF($AE670="Yes",1,0))</f>
        <v/>
      </c>
      <c r="AS670">
        <f>IF($AO670=1,IFERROR(IF(VALUE($E670)&lt;100000000,VALUE($E670),1000000000),IFERROR(IF(VALUE(MID($E670,2,20))&lt;100000000,VALUE(MID($E670,2,20)),1000000000),1000000000))+ROW()/100000,"")</f>
        <v/>
      </c>
    </row>
    <row r="671">
      <c r="D671">
        <f>IF($E671="","",IFERROR(IF(INDEX('Per Invoice'!$A$2:$A$301,MATCH($E671,'Per Invoice'!$B$2:$B$301,0))=0,"",INDEX('Per Invoice'!$A$2:$A$301,MATCH($E671,'Per Invoice'!$B$2:$B$301,0))),""))</f>
        <v/>
      </c>
      <c r="H671" s="11" t="n"/>
      <c r="R671" s="7">
        <f>IF($E671="","",Q671*Z671/100)</f>
        <v/>
      </c>
      <c r="S671" s="7" t="n"/>
      <c r="Y671" s="7" t="n"/>
      <c r="Z671" s="7" t="n"/>
      <c r="AA671" s="7">
        <f>IF($E671="","",Z671*AF671/100)</f>
        <v/>
      </c>
      <c r="AB671" s="7">
        <f>IF($E671="","",Z671-AA671)</f>
        <v/>
      </c>
      <c r="AC671" s="7">
        <f>IF($E671="","",AB671-R671)</f>
        <v/>
      </c>
      <c r="AF671">
        <f>IF($E671="","",IF($AR671=1,0,IF($AQ671=1,Settings!$C$6,Settings!$C$7))*100)</f>
        <v/>
      </c>
      <c r="AJ671" s="7" t="n"/>
      <c r="AM671" s="11" t="n"/>
      <c r="AO671">
        <f>IF($E671="","",IF(COUNTIF($E$2:$E671,$E671)=1,1,0))</f>
        <v/>
      </c>
      <c r="AP671">
        <f>IF($AO671=1,SUMPRODUCT(--($AS$2:$AS$1001&lt;$AS671))+1,"")</f>
        <v/>
      </c>
      <c r="AQ671">
        <f>IF($E671="","",IF(OR($V671=TRUE(),$V671="TRUE"),1,0))</f>
        <v/>
      </c>
      <c r="AR671">
        <f>IF($E671="","",IF($AE671="Yes",1,0))</f>
        <v/>
      </c>
      <c r="AS671">
        <f>IF($AO671=1,IFERROR(IF(VALUE($E671)&lt;100000000,VALUE($E671),1000000000),IFERROR(IF(VALUE(MID($E671,2,20))&lt;100000000,VALUE(MID($E671,2,20)),1000000000),1000000000))+ROW()/100000,"")</f>
        <v/>
      </c>
    </row>
    <row r="672">
      <c r="D672">
        <f>IF($E672="","",IFERROR(IF(INDEX('Per Invoice'!$A$2:$A$301,MATCH($E672,'Per Invoice'!$B$2:$B$301,0))=0,"",INDEX('Per Invoice'!$A$2:$A$301,MATCH($E672,'Per Invoice'!$B$2:$B$301,0))),""))</f>
        <v/>
      </c>
      <c r="H672" s="11" t="n"/>
      <c r="R672" s="7">
        <f>IF($E672="","",Q672*Z672/100)</f>
        <v/>
      </c>
      <c r="S672" s="7" t="n"/>
      <c r="Y672" s="7" t="n"/>
      <c r="Z672" s="7" t="n"/>
      <c r="AA672" s="7">
        <f>IF($E672="","",Z672*AF672/100)</f>
        <v/>
      </c>
      <c r="AB672" s="7">
        <f>IF($E672="","",Z672-AA672)</f>
        <v/>
      </c>
      <c r="AC672" s="7">
        <f>IF($E672="","",AB672-R672)</f>
        <v/>
      </c>
      <c r="AF672">
        <f>IF($E672="","",IF($AR672=1,0,IF($AQ672=1,Settings!$C$6,Settings!$C$7))*100)</f>
        <v/>
      </c>
      <c r="AJ672" s="7" t="n"/>
      <c r="AM672" s="11" t="n"/>
      <c r="AO672">
        <f>IF($E672="","",IF(COUNTIF($E$2:$E672,$E672)=1,1,0))</f>
        <v/>
      </c>
      <c r="AP672">
        <f>IF($AO672=1,SUMPRODUCT(--($AS$2:$AS$1001&lt;$AS672))+1,"")</f>
        <v/>
      </c>
      <c r="AQ672">
        <f>IF($E672="","",IF(OR($V672=TRUE(),$V672="TRUE"),1,0))</f>
        <v/>
      </c>
      <c r="AR672">
        <f>IF($E672="","",IF($AE672="Yes",1,0))</f>
        <v/>
      </c>
      <c r="AS672">
        <f>IF($AO672=1,IFERROR(IF(VALUE($E672)&lt;100000000,VALUE($E672),1000000000),IFERROR(IF(VALUE(MID($E672,2,20))&lt;100000000,VALUE(MID($E672,2,20)),1000000000),1000000000))+ROW()/100000,"")</f>
        <v/>
      </c>
    </row>
    <row r="673">
      <c r="D673">
        <f>IF($E673="","",IFERROR(IF(INDEX('Per Invoice'!$A$2:$A$301,MATCH($E673,'Per Invoice'!$B$2:$B$301,0))=0,"",INDEX('Per Invoice'!$A$2:$A$301,MATCH($E673,'Per Invoice'!$B$2:$B$301,0))),""))</f>
        <v/>
      </c>
      <c r="H673" s="11" t="n"/>
      <c r="R673" s="7">
        <f>IF($E673="","",Q673*Z673/100)</f>
        <v/>
      </c>
      <c r="S673" s="7" t="n"/>
      <c r="Y673" s="7" t="n"/>
      <c r="Z673" s="7" t="n"/>
      <c r="AA673" s="7">
        <f>IF($E673="","",Z673*AF673/100)</f>
        <v/>
      </c>
      <c r="AB673" s="7">
        <f>IF($E673="","",Z673-AA673)</f>
        <v/>
      </c>
      <c r="AC673" s="7">
        <f>IF($E673="","",AB673-R673)</f>
        <v/>
      </c>
      <c r="AF673">
        <f>IF($E673="","",IF($AR673=1,0,IF($AQ673=1,Settings!$C$6,Settings!$C$7))*100)</f>
        <v/>
      </c>
      <c r="AJ673" s="7" t="n"/>
      <c r="AM673" s="11" t="n"/>
      <c r="AO673">
        <f>IF($E673="","",IF(COUNTIF($E$2:$E673,$E673)=1,1,0))</f>
        <v/>
      </c>
      <c r="AP673">
        <f>IF($AO673=1,SUMPRODUCT(--($AS$2:$AS$1001&lt;$AS673))+1,"")</f>
        <v/>
      </c>
      <c r="AQ673">
        <f>IF($E673="","",IF(OR($V673=TRUE(),$V673="TRUE"),1,0))</f>
        <v/>
      </c>
      <c r="AR673">
        <f>IF($E673="","",IF($AE673="Yes",1,0))</f>
        <v/>
      </c>
      <c r="AS673">
        <f>IF($AO673=1,IFERROR(IF(VALUE($E673)&lt;100000000,VALUE($E673),1000000000),IFERROR(IF(VALUE(MID($E673,2,20))&lt;100000000,VALUE(MID($E673,2,20)),1000000000),1000000000))+ROW()/100000,"")</f>
        <v/>
      </c>
    </row>
    <row r="674">
      <c r="D674">
        <f>IF($E674="","",IFERROR(IF(INDEX('Per Invoice'!$A$2:$A$301,MATCH($E674,'Per Invoice'!$B$2:$B$301,0))=0,"",INDEX('Per Invoice'!$A$2:$A$301,MATCH($E674,'Per Invoice'!$B$2:$B$301,0))),""))</f>
        <v/>
      </c>
      <c r="H674" s="11" t="n"/>
      <c r="R674" s="7">
        <f>IF($E674="","",Q674*Z674/100)</f>
        <v/>
      </c>
      <c r="S674" s="7" t="n"/>
      <c r="Y674" s="7" t="n"/>
      <c r="Z674" s="7" t="n"/>
      <c r="AA674" s="7">
        <f>IF($E674="","",Z674*AF674/100)</f>
        <v/>
      </c>
      <c r="AB674" s="7">
        <f>IF($E674="","",Z674-AA674)</f>
        <v/>
      </c>
      <c r="AC674" s="7">
        <f>IF($E674="","",AB674-R674)</f>
        <v/>
      </c>
      <c r="AF674">
        <f>IF($E674="","",IF($AR674=1,0,IF($AQ674=1,Settings!$C$6,Settings!$C$7))*100)</f>
        <v/>
      </c>
      <c r="AJ674" s="7" t="n"/>
      <c r="AM674" s="11" t="n"/>
      <c r="AO674">
        <f>IF($E674="","",IF(COUNTIF($E$2:$E674,$E674)=1,1,0))</f>
        <v/>
      </c>
      <c r="AP674">
        <f>IF($AO674=1,SUMPRODUCT(--($AS$2:$AS$1001&lt;$AS674))+1,"")</f>
        <v/>
      </c>
      <c r="AQ674">
        <f>IF($E674="","",IF(OR($V674=TRUE(),$V674="TRUE"),1,0))</f>
        <v/>
      </c>
      <c r="AR674">
        <f>IF($E674="","",IF($AE674="Yes",1,0))</f>
        <v/>
      </c>
      <c r="AS674">
        <f>IF($AO674=1,IFERROR(IF(VALUE($E674)&lt;100000000,VALUE($E674),1000000000),IFERROR(IF(VALUE(MID($E674,2,20))&lt;100000000,VALUE(MID($E674,2,20)),1000000000),1000000000))+ROW()/100000,"")</f>
        <v/>
      </c>
    </row>
    <row r="675">
      <c r="D675">
        <f>IF($E675="","",IFERROR(IF(INDEX('Per Invoice'!$A$2:$A$301,MATCH($E675,'Per Invoice'!$B$2:$B$301,0))=0,"",INDEX('Per Invoice'!$A$2:$A$301,MATCH($E675,'Per Invoice'!$B$2:$B$301,0))),""))</f>
        <v/>
      </c>
      <c r="H675" s="11" t="n"/>
      <c r="R675" s="7">
        <f>IF($E675="","",Q675*Z675/100)</f>
        <v/>
      </c>
      <c r="S675" s="7" t="n"/>
      <c r="Y675" s="7" t="n"/>
      <c r="Z675" s="7" t="n"/>
      <c r="AA675" s="7">
        <f>IF($E675="","",Z675*AF675/100)</f>
        <v/>
      </c>
      <c r="AB675" s="7">
        <f>IF($E675="","",Z675-AA675)</f>
        <v/>
      </c>
      <c r="AC675" s="7">
        <f>IF($E675="","",AB675-R675)</f>
        <v/>
      </c>
      <c r="AF675">
        <f>IF($E675="","",IF($AR675=1,0,IF($AQ675=1,Settings!$C$6,Settings!$C$7))*100)</f>
        <v/>
      </c>
      <c r="AJ675" s="7" t="n"/>
      <c r="AM675" s="11" t="n"/>
      <c r="AO675">
        <f>IF($E675="","",IF(COUNTIF($E$2:$E675,$E675)=1,1,0))</f>
        <v/>
      </c>
      <c r="AP675">
        <f>IF($AO675=1,SUMPRODUCT(--($AS$2:$AS$1001&lt;$AS675))+1,"")</f>
        <v/>
      </c>
      <c r="AQ675">
        <f>IF($E675="","",IF(OR($V675=TRUE(),$V675="TRUE"),1,0))</f>
        <v/>
      </c>
      <c r="AR675">
        <f>IF($E675="","",IF($AE675="Yes",1,0))</f>
        <v/>
      </c>
      <c r="AS675">
        <f>IF($AO675=1,IFERROR(IF(VALUE($E675)&lt;100000000,VALUE($E675),1000000000),IFERROR(IF(VALUE(MID($E675,2,20))&lt;100000000,VALUE(MID($E675,2,20)),1000000000),1000000000))+ROW()/100000,"")</f>
        <v/>
      </c>
    </row>
    <row r="676">
      <c r="D676">
        <f>IF($E676="","",IFERROR(IF(INDEX('Per Invoice'!$A$2:$A$301,MATCH($E676,'Per Invoice'!$B$2:$B$301,0))=0,"",INDEX('Per Invoice'!$A$2:$A$301,MATCH($E676,'Per Invoice'!$B$2:$B$301,0))),""))</f>
        <v/>
      </c>
      <c r="H676" s="11" t="n"/>
      <c r="R676" s="7">
        <f>IF($E676="","",Q676*Z676/100)</f>
        <v/>
      </c>
      <c r="S676" s="7" t="n"/>
      <c r="Y676" s="7" t="n"/>
      <c r="Z676" s="7" t="n"/>
      <c r="AA676" s="7">
        <f>IF($E676="","",Z676*AF676/100)</f>
        <v/>
      </c>
      <c r="AB676" s="7">
        <f>IF($E676="","",Z676-AA676)</f>
        <v/>
      </c>
      <c r="AC676" s="7">
        <f>IF($E676="","",AB676-R676)</f>
        <v/>
      </c>
      <c r="AF676">
        <f>IF($E676="","",IF($AR676=1,0,IF($AQ676=1,Settings!$C$6,Settings!$C$7))*100)</f>
        <v/>
      </c>
      <c r="AJ676" s="7" t="n"/>
      <c r="AM676" s="11" t="n"/>
      <c r="AO676">
        <f>IF($E676="","",IF(COUNTIF($E$2:$E676,$E676)=1,1,0))</f>
        <v/>
      </c>
      <c r="AP676">
        <f>IF($AO676=1,SUMPRODUCT(--($AS$2:$AS$1001&lt;$AS676))+1,"")</f>
        <v/>
      </c>
      <c r="AQ676">
        <f>IF($E676="","",IF(OR($V676=TRUE(),$V676="TRUE"),1,0))</f>
        <v/>
      </c>
      <c r="AR676">
        <f>IF($E676="","",IF($AE676="Yes",1,0))</f>
        <v/>
      </c>
      <c r="AS676">
        <f>IF($AO676=1,IFERROR(IF(VALUE($E676)&lt;100000000,VALUE($E676),1000000000),IFERROR(IF(VALUE(MID($E676,2,20))&lt;100000000,VALUE(MID($E676,2,20)),1000000000),1000000000))+ROW()/100000,"")</f>
        <v/>
      </c>
    </row>
    <row r="677">
      <c r="D677">
        <f>IF($E677="","",IFERROR(IF(INDEX('Per Invoice'!$A$2:$A$301,MATCH($E677,'Per Invoice'!$B$2:$B$301,0))=0,"",INDEX('Per Invoice'!$A$2:$A$301,MATCH($E677,'Per Invoice'!$B$2:$B$301,0))),""))</f>
        <v/>
      </c>
      <c r="H677" s="11" t="n"/>
      <c r="R677" s="7">
        <f>IF($E677="","",Q677*Z677/100)</f>
        <v/>
      </c>
      <c r="S677" s="7" t="n"/>
      <c r="Y677" s="7" t="n"/>
      <c r="Z677" s="7" t="n"/>
      <c r="AA677" s="7">
        <f>IF($E677="","",Z677*AF677/100)</f>
        <v/>
      </c>
      <c r="AB677" s="7">
        <f>IF($E677="","",Z677-AA677)</f>
        <v/>
      </c>
      <c r="AC677" s="7">
        <f>IF($E677="","",AB677-R677)</f>
        <v/>
      </c>
      <c r="AF677">
        <f>IF($E677="","",IF($AR677=1,0,IF($AQ677=1,Settings!$C$6,Settings!$C$7))*100)</f>
        <v/>
      </c>
      <c r="AJ677" s="7" t="n"/>
      <c r="AM677" s="11" t="n"/>
      <c r="AO677">
        <f>IF($E677="","",IF(COUNTIF($E$2:$E677,$E677)=1,1,0))</f>
        <v/>
      </c>
      <c r="AP677">
        <f>IF($AO677=1,SUMPRODUCT(--($AS$2:$AS$1001&lt;$AS677))+1,"")</f>
        <v/>
      </c>
      <c r="AQ677">
        <f>IF($E677="","",IF(OR($V677=TRUE(),$V677="TRUE"),1,0))</f>
        <v/>
      </c>
      <c r="AR677">
        <f>IF($E677="","",IF($AE677="Yes",1,0))</f>
        <v/>
      </c>
      <c r="AS677">
        <f>IF($AO677=1,IFERROR(IF(VALUE($E677)&lt;100000000,VALUE($E677),1000000000),IFERROR(IF(VALUE(MID($E677,2,20))&lt;100000000,VALUE(MID($E677,2,20)),1000000000),1000000000))+ROW()/100000,"")</f>
        <v/>
      </c>
    </row>
    <row r="678">
      <c r="D678">
        <f>IF($E678="","",IFERROR(IF(INDEX('Per Invoice'!$A$2:$A$301,MATCH($E678,'Per Invoice'!$B$2:$B$301,0))=0,"",INDEX('Per Invoice'!$A$2:$A$301,MATCH($E678,'Per Invoice'!$B$2:$B$301,0))),""))</f>
        <v/>
      </c>
      <c r="H678" s="11" t="n"/>
      <c r="R678" s="7">
        <f>IF($E678="","",Q678*Z678/100)</f>
        <v/>
      </c>
      <c r="S678" s="7" t="n"/>
      <c r="Y678" s="7" t="n"/>
      <c r="Z678" s="7" t="n"/>
      <c r="AA678" s="7">
        <f>IF($E678="","",Z678*AF678/100)</f>
        <v/>
      </c>
      <c r="AB678" s="7">
        <f>IF($E678="","",Z678-AA678)</f>
        <v/>
      </c>
      <c r="AC678" s="7">
        <f>IF($E678="","",AB678-R678)</f>
        <v/>
      </c>
      <c r="AF678">
        <f>IF($E678="","",IF($AR678=1,0,IF($AQ678=1,Settings!$C$6,Settings!$C$7))*100)</f>
        <v/>
      </c>
      <c r="AJ678" s="7" t="n"/>
      <c r="AM678" s="11" t="n"/>
      <c r="AO678">
        <f>IF($E678="","",IF(COUNTIF($E$2:$E678,$E678)=1,1,0))</f>
        <v/>
      </c>
      <c r="AP678">
        <f>IF($AO678=1,SUMPRODUCT(--($AS$2:$AS$1001&lt;$AS678))+1,"")</f>
        <v/>
      </c>
      <c r="AQ678">
        <f>IF($E678="","",IF(OR($V678=TRUE(),$V678="TRUE"),1,0))</f>
        <v/>
      </c>
      <c r="AR678">
        <f>IF($E678="","",IF($AE678="Yes",1,0))</f>
        <v/>
      </c>
      <c r="AS678">
        <f>IF($AO678=1,IFERROR(IF(VALUE($E678)&lt;100000000,VALUE($E678),1000000000),IFERROR(IF(VALUE(MID($E678,2,20))&lt;100000000,VALUE(MID($E678,2,20)),1000000000),1000000000))+ROW()/100000,"")</f>
        <v/>
      </c>
    </row>
    <row r="679">
      <c r="D679">
        <f>IF($E679="","",IFERROR(IF(INDEX('Per Invoice'!$A$2:$A$301,MATCH($E679,'Per Invoice'!$B$2:$B$301,0))=0,"",INDEX('Per Invoice'!$A$2:$A$301,MATCH($E679,'Per Invoice'!$B$2:$B$301,0))),""))</f>
        <v/>
      </c>
      <c r="H679" s="11" t="n"/>
      <c r="R679" s="7">
        <f>IF($E679="","",Q679*Z679/100)</f>
        <v/>
      </c>
      <c r="S679" s="7" t="n"/>
      <c r="Y679" s="7" t="n"/>
      <c r="Z679" s="7" t="n"/>
      <c r="AA679" s="7">
        <f>IF($E679="","",Z679*AF679/100)</f>
        <v/>
      </c>
      <c r="AB679" s="7">
        <f>IF($E679="","",Z679-AA679)</f>
        <v/>
      </c>
      <c r="AC679" s="7">
        <f>IF($E679="","",AB679-R679)</f>
        <v/>
      </c>
      <c r="AF679">
        <f>IF($E679="","",IF($AR679=1,0,IF($AQ679=1,Settings!$C$6,Settings!$C$7))*100)</f>
        <v/>
      </c>
      <c r="AJ679" s="7" t="n"/>
      <c r="AM679" s="11" t="n"/>
      <c r="AO679">
        <f>IF($E679="","",IF(COUNTIF($E$2:$E679,$E679)=1,1,0))</f>
        <v/>
      </c>
      <c r="AP679">
        <f>IF($AO679=1,SUMPRODUCT(--($AS$2:$AS$1001&lt;$AS679))+1,"")</f>
        <v/>
      </c>
      <c r="AQ679">
        <f>IF($E679="","",IF(OR($V679=TRUE(),$V679="TRUE"),1,0))</f>
        <v/>
      </c>
      <c r="AR679">
        <f>IF($E679="","",IF($AE679="Yes",1,0))</f>
        <v/>
      </c>
      <c r="AS679">
        <f>IF($AO679=1,IFERROR(IF(VALUE($E679)&lt;100000000,VALUE($E679),1000000000),IFERROR(IF(VALUE(MID($E679,2,20))&lt;100000000,VALUE(MID($E679,2,20)),1000000000),1000000000))+ROW()/100000,"")</f>
        <v/>
      </c>
    </row>
    <row r="680">
      <c r="D680">
        <f>IF($E680="","",IFERROR(IF(INDEX('Per Invoice'!$A$2:$A$301,MATCH($E680,'Per Invoice'!$B$2:$B$301,0))=0,"",INDEX('Per Invoice'!$A$2:$A$301,MATCH($E680,'Per Invoice'!$B$2:$B$301,0))),""))</f>
        <v/>
      </c>
      <c r="H680" s="11" t="n"/>
      <c r="R680" s="7">
        <f>IF($E680="","",Q680*Z680/100)</f>
        <v/>
      </c>
      <c r="S680" s="7" t="n"/>
      <c r="Y680" s="7" t="n"/>
      <c r="Z680" s="7" t="n"/>
      <c r="AA680" s="7">
        <f>IF($E680="","",Z680*AF680/100)</f>
        <v/>
      </c>
      <c r="AB680" s="7">
        <f>IF($E680="","",Z680-AA680)</f>
        <v/>
      </c>
      <c r="AC680" s="7">
        <f>IF($E680="","",AB680-R680)</f>
        <v/>
      </c>
      <c r="AF680">
        <f>IF($E680="","",IF($AR680=1,0,IF($AQ680=1,Settings!$C$6,Settings!$C$7))*100)</f>
        <v/>
      </c>
      <c r="AJ680" s="7" t="n"/>
      <c r="AM680" s="11" t="n"/>
      <c r="AO680">
        <f>IF($E680="","",IF(COUNTIF($E$2:$E680,$E680)=1,1,0))</f>
        <v/>
      </c>
      <c r="AP680">
        <f>IF($AO680=1,SUMPRODUCT(--($AS$2:$AS$1001&lt;$AS680))+1,"")</f>
        <v/>
      </c>
      <c r="AQ680">
        <f>IF($E680="","",IF(OR($V680=TRUE(),$V680="TRUE"),1,0))</f>
        <v/>
      </c>
      <c r="AR680">
        <f>IF($E680="","",IF($AE680="Yes",1,0))</f>
        <v/>
      </c>
      <c r="AS680">
        <f>IF($AO680=1,IFERROR(IF(VALUE($E680)&lt;100000000,VALUE($E680),1000000000),IFERROR(IF(VALUE(MID($E680,2,20))&lt;100000000,VALUE(MID($E680,2,20)),1000000000),1000000000))+ROW()/100000,"")</f>
        <v/>
      </c>
    </row>
    <row r="681">
      <c r="D681">
        <f>IF($E681="","",IFERROR(IF(INDEX('Per Invoice'!$A$2:$A$301,MATCH($E681,'Per Invoice'!$B$2:$B$301,0))=0,"",INDEX('Per Invoice'!$A$2:$A$301,MATCH($E681,'Per Invoice'!$B$2:$B$301,0))),""))</f>
        <v/>
      </c>
      <c r="H681" s="11" t="n"/>
      <c r="R681" s="7">
        <f>IF($E681="","",Q681*Z681/100)</f>
        <v/>
      </c>
      <c r="S681" s="7" t="n"/>
      <c r="Y681" s="7" t="n"/>
      <c r="Z681" s="7" t="n"/>
      <c r="AA681" s="7">
        <f>IF($E681="","",Z681*AF681/100)</f>
        <v/>
      </c>
      <c r="AB681" s="7">
        <f>IF($E681="","",Z681-AA681)</f>
        <v/>
      </c>
      <c r="AC681" s="7">
        <f>IF($E681="","",AB681-R681)</f>
        <v/>
      </c>
      <c r="AF681">
        <f>IF($E681="","",IF($AR681=1,0,IF($AQ681=1,Settings!$C$6,Settings!$C$7))*100)</f>
        <v/>
      </c>
      <c r="AJ681" s="7" t="n"/>
      <c r="AM681" s="11" t="n"/>
      <c r="AO681">
        <f>IF($E681="","",IF(COUNTIF($E$2:$E681,$E681)=1,1,0))</f>
        <v/>
      </c>
      <c r="AP681">
        <f>IF($AO681=1,SUMPRODUCT(--($AS$2:$AS$1001&lt;$AS681))+1,"")</f>
        <v/>
      </c>
      <c r="AQ681">
        <f>IF($E681="","",IF(OR($V681=TRUE(),$V681="TRUE"),1,0))</f>
        <v/>
      </c>
      <c r="AR681">
        <f>IF($E681="","",IF($AE681="Yes",1,0))</f>
        <v/>
      </c>
      <c r="AS681">
        <f>IF($AO681=1,IFERROR(IF(VALUE($E681)&lt;100000000,VALUE($E681),1000000000),IFERROR(IF(VALUE(MID($E681,2,20))&lt;100000000,VALUE(MID($E681,2,20)),1000000000),1000000000))+ROW()/100000,"")</f>
        <v/>
      </c>
    </row>
    <row r="682">
      <c r="D682">
        <f>IF($E682="","",IFERROR(IF(INDEX('Per Invoice'!$A$2:$A$301,MATCH($E682,'Per Invoice'!$B$2:$B$301,0))=0,"",INDEX('Per Invoice'!$A$2:$A$301,MATCH($E682,'Per Invoice'!$B$2:$B$301,0))),""))</f>
        <v/>
      </c>
      <c r="H682" s="11" t="n"/>
      <c r="R682" s="7">
        <f>IF($E682="","",Q682*Z682/100)</f>
        <v/>
      </c>
      <c r="S682" s="7" t="n"/>
      <c r="Y682" s="7" t="n"/>
      <c r="Z682" s="7" t="n"/>
      <c r="AA682" s="7">
        <f>IF($E682="","",Z682*AF682/100)</f>
        <v/>
      </c>
      <c r="AB682" s="7">
        <f>IF($E682="","",Z682-AA682)</f>
        <v/>
      </c>
      <c r="AC682" s="7">
        <f>IF($E682="","",AB682-R682)</f>
        <v/>
      </c>
      <c r="AF682">
        <f>IF($E682="","",IF($AR682=1,0,IF($AQ682=1,Settings!$C$6,Settings!$C$7))*100)</f>
        <v/>
      </c>
      <c r="AJ682" s="7" t="n"/>
      <c r="AM682" s="11" t="n"/>
      <c r="AO682">
        <f>IF($E682="","",IF(COUNTIF($E$2:$E682,$E682)=1,1,0))</f>
        <v/>
      </c>
      <c r="AP682">
        <f>IF($AO682=1,SUMPRODUCT(--($AS$2:$AS$1001&lt;$AS682))+1,"")</f>
        <v/>
      </c>
      <c r="AQ682">
        <f>IF($E682="","",IF(OR($V682=TRUE(),$V682="TRUE"),1,0))</f>
        <v/>
      </c>
      <c r="AR682">
        <f>IF($E682="","",IF($AE682="Yes",1,0))</f>
        <v/>
      </c>
      <c r="AS682">
        <f>IF($AO682=1,IFERROR(IF(VALUE($E682)&lt;100000000,VALUE($E682),1000000000),IFERROR(IF(VALUE(MID($E682,2,20))&lt;100000000,VALUE(MID($E682,2,20)),1000000000),1000000000))+ROW()/100000,"")</f>
        <v/>
      </c>
    </row>
    <row r="683">
      <c r="D683">
        <f>IF($E683="","",IFERROR(IF(INDEX('Per Invoice'!$A$2:$A$301,MATCH($E683,'Per Invoice'!$B$2:$B$301,0))=0,"",INDEX('Per Invoice'!$A$2:$A$301,MATCH($E683,'Per Invoice'!$B$2:$B$301,0))),""))</f>
        <v/>
      </c>
      <c r="H683" s="11" t="n"/>
      <c r="R683" s="7">
        <f>IF($E683="","",Q683*Z683/100)</f>
        <v/>
      </c>
      <c r="S683" s="7" t="n"/>
      <c r="Y683" s="7" t="n"/>
      <c r="Z683" s="7" t="n"/>
      <c r="AA683" s="7">
        <f>IF($E683="","",Z683*AF683/100)</f>
        <v/>
      </c>
      <c r="AB683" s="7">
        <f>IF($E683="","",Z683-AA683)</f>
        <v/>
      </c>
      <c r="AC683" s="7">
        <f>IF($E683="","",AB683-R683)</f>
        <v/>
      </c>
      <c r="AF683">
        <f>IF($E683="","",IF($AR683=1,0,IF($AQ683=1,Settings!$C$6,Settings!$C$7))*100)</f>
        <v/>
      </c>
      <c r="AJ683" s="7" t="n"/>
      <c r="AM683" s="11" t="n"/>
      <c r="AO683">
        <f>IF($E683="","",IF(COUNTIF($E$2:$E683,$E683)=1,1,0))</f>
        <v/>
      </c>
      <c r="AP683">
        <f>IF($AO683=1,SUMPRODUCT(--($AS$2:$AS$1001&lt;$AS683))+1,"")</f>
        <v/>
      </c>
      <c r="AQ683">
        <f>IF($E683="","",IF(OR($V683=TRUE(),$V683="TRUE"),1,0))</f>
        <v/>
      </c>
      <c r="AR683">
        <f>IF($E683="","",IF($AE683="Yes",1,0))</f>
        <v/>
      </c>
      <c r="AS683">
        <f>IF($AO683=1,IFERROR(IF(VALUE($E683)&lt;100000000,VALUE($E683),1000000000),IFERROR(IF(VALUE(MID($E683,2,20))&lt;100000000,VALUE(MID($E683,2,20)),1000000000),1000000000))+ROW()/100000,"")</f>
        <v/>
      </c>
    </row>
    <row r="684">
      <c r="D684">
        <f>IF($E684="","",IFERROR(IF(INDEX('Per Invoice'!$A$2:$A$301,MATCH($E684,'Per Invoice'!$B$2:$B$301,0))=0,"",INDEX('Per Invoice'!$A$2:$A$301,MATCH($E684,'Per Invoice'!$B$2:$B$301,0))),""))</f>
        <v/>
      </c>
      <c r="H684" s="11" t="n"/>
      <c r="R684" s="7">
        <f>IF($E684="","",Q684*Z684/100)</f>
        <v/>
      </c>
      <c r="S684" s="7" t="n"/>
      <c r="Y684" s="7" t="n"/>
      <c r="Z684" s="7" t="n"/>
      <c r="AA684" s="7">
        <f>IF($E684="","",Z684*AF684/100)</f>
        <v/>
      </c>
      <c r="AB684" s="7">
        <f>IF($E684="","",Z684-AA684)</f>
        <v/>
      </c>
      <c r="AC684" s="7">
        <f>IF($E684="","",AB684-R684)</f>
        <v/>
      </c>
      <c r="AF684">
        <f>IF($E684="","",IF($AR684=1,0,IF($AQ684=1,Settings!$C$6,Settings!$C$7))*100)</f>
        <v/>
      </c>
      <c r="AJ684" s="7" t="n"/>
      <c r="AM684" s="11" t="n"/>
      <c r="AO684">
        <f>IF($E684="","",IF(COUNTIF($E$2:$E684,$E684)=1,1,0))</f>
        <v/>
      </c>
      <c r="AP684">
        <f>IF($AO684=1,SUMPRODUCT(--($AS$2:$AS$1001&lt;$AS684))+1,"")</f>
        <v/>
      </c>
      <c r="AQ684">
        <f>IF($E684="","",IF(OR($V684=TRUE(),$V684="TRUE"),1,0))</f>
        <v/>
      </c>
      <c r="AR684">
        <f>IF($E684="","",IF($AE684="Yes",1,0))</f>
        <v/>
      </c>
      <c r="AS684">
        <f>IF($AO684=1,IFERROR(IF(VALUE($E684)&lt;100000000,VALUE($E684),1000000000),IFERROR(IF(VALUE(MID($E684,2,20))&lt;100000000,VALUE(MID($E684,2,20)),1000000000),1000000000))+ROW()/100000,"")</f>
        <v/>
      </c>
    </row>
    <row r="685">
      <c r="D685">
        <f>IF($E685="","",IFERROR(IF(INDEX('Per Invoice'!$A$2:$A$301,MATCH($E685,'Per Invoice'!$B$2:$B$301,0))=0,"",INDEX('Per Invoice'!$A$2:$A$301,MATCH($E685,'Per Invoice'!$B$2:$B$301,0))),""))</f>
        <v/>
      </c>
      <c r="H685" s="11" t="n"/>
      <c r="R685" s="7">
        <f>IF($E685="","",Q685*Z685/100)</f>
        <v/>
      </c>
      <c r="S685" s="7" t="n"/>
      <c r="Y685" s="7" t="n"/>
      <c r="Z685" s="7" t="n"/>
      <c r="AA685" s="7">
        <f>IF($E685="","",Z685*AF685/100)</f>
        <v/>
      </c>
      <c r="AB685" s="7">
        <f>IF($E685="","",Z685-AA685)</f>
        <v/>
      </c>
      <c r="AC685" s="7">
        <f>IF($E685="","",AB685-R685)</f>
        <v/>
      </c>
      <c r="AF685">
        <f>IF($E685="","",IF($AR685=1,0,IF($AQ685=1,Settings!$C$6,Settings!$C$7))*100)</f>
        <v/>
      </c>
      <c r="AJ685" s="7" t="n"/>
      <c r="AM685" s="11" t="n"/>
      <c r="AO685">
        <f>IF($E685="","",IF(COUNTIF($E$2:$E685,$E685)=1,1,0))</f>
        <v/>
      </c>
      <c r="AP685">
        <f>IF($AO685=1,SUMPRODUCT(--($AS$2:$AS$1001&lt;$AS685))+1,"")</f>
        <v/>
      </c>
      <c r="AQ685">
        <f>IF($E685="","",IF(OR($V685=TRUE(),$V685="TRUE"),1,0))</f>
        <v/>
      </c>
      <c r="AR685">
        <f>IF($E685="","",IF($AE685="Yes",1,0))</f>
        <v/>
      </c>
      <c r="AS685">
        <f>IF($AO685=1,IFERROR(IF(VALUE($E685)&lt;100000000,VALUE($E685),1000000000),IFERROR(IF(VALUE(MID($E685,2,20))&lt;100000000,VALUE(MID($E685,2,20)),1000000000),1000000000))+ROW()/100000,"")</f>
        <v/>
      </c>
    </row>
    <row r="686">
      <c r="D686">
        <f>IF($E686="","",IFERROR(IF(INDEX('Per Invoice'!$A$2:$A$301,MATCH($E686,'Per Invoice'!$B$2:$B$301,0))=0,"",INDEX('Per Invoice'!$A$2:$A$301,MATCH($E686,'Per Invoice'!$B$2:$B$301,0))),""))</f>
        <v/>
      </c>
      <c r="H686" s="11" t="n"/>
      <c r="R686" s="7">
        <f>IF($E686="","",Q686*Z686/100)</f>
        <v/>
      </c>
      <c r="S686" s="7" t="n"/>
      <c r="Y686" s="7" t="n"/>
      <c r="Z686" s="7" t="n"/>
      <c r="AA686" s="7">
        <f>IF($E686="","",Z686*AF686/100)</f>
        <v/>
      </c>
      <c r="AB686" s="7">
        <f>IF($E686="","",Z686-AA686)</f>
        <v/>
      </c>
      <c r="AC686" s="7">
        <f>IF($E686="","",AB686-R686)</f>
        <v/>
      </c>
      <c r="AF686">
        <f>IF($E686="","",IF($AR686=1,0,IF($AQ686=1,Settings!$C$6,Settings!$C$7))*100)</f>
        <v/>
      </c>
      <c r="AJ686" s="7" t="n"/>
      <c r="AM686" s="11" t="n"/>
      <c r="AO686">
        <f>IF($E686="","",IF(COUNTIF($E$2:$E686,$E686)=1,1,0))</f>
        <v/>
      </c>
      <c r="AP686">
        <f>IF($AO686=1,SUMPRODUCT(--($AS$2:$AS$1001&lt;$AS686))+1,"")</f>
        <v/>
      </c>
      <c r="AQ686">
        <f>IF($E686="","",IF(OR($V686=TRUE(),$V686="TRUE"),1,0))</f>
        <v/>
      </c>
      <c r="AR686">
        <f>IF($E686="","",IF($AE686="Yes",1,0))</f>
        <v/>
      </c>
      <c r="AS686">
        <f>IF($AO686=1,IFERROR(IF(VALUE($E686)&lt;100000000,VALUE($E686),1000000000),IFERROR(IF(VALUE(MID($E686,2,20))&lt;100000000,VALUE(MID($E686,2,20)),1000000000),1000000000))+ROW()/100000,"")</f>
        <v/>
      </c>
    </row>
    <row r="687">
      <c r="D687">
        <f>IF($E687="","",IFERROR(IF(INDEX('Per Invoice'!$A$2:$A$301,MATCH($E687,'Per Invoice'!$B$2:$B$301,0))=0,"",INDEX('Per Invoice'!$A$2:$A$301,MATCH($E687,'Per Invoice'!$B$2:$B$301,0))),""))</f>
        <v/>
      </c>
      <c r="H687" s="11" t="n"/>
      <c r="R687" s="7">
        <f>IF($E687="","",Q687*Z687/100)</f>
        <v/>
      </c>
      <c r="S687" s="7" t="n"/>
      <c r="Y687" s="7" t="n"/>
      <c r="Z687" s="7" t="n"/>
      <c r="AA687" s="7">
        <f>IF($E687="","",Z687*AF687/100)</f>
        <v/>
      </c>
      <c r="AB687" s="7">
        <f>IF($E687="","",Z687-AA687)</f>
        <v/>
      </c>
      <c r="AC687" s="7">
        <f>IF($E687="","",AB687-R687)</f>
        <v/>
      </c>
      <c r="AF687">
        <f>IF($E687="","",IF($AR687=1,0,IF($AQ687=1,Settings!$C$6,Settings!$C$7))*100)</f>
        <v/>
      </c>
      <c r="AJ687" s="7" t="n"/>
      <c r="AM687" s="11" t="n"/>
      <c r="AO687">
        <f>IF($E687="","",IF(COUNTIF($E$2:$E687,$E687)=1,1,0))</f>
        <v/>
      </c>
      <c r="AP687">
        <f>IF($AO687=1,SUMPRODUCT(--($AS$2:$AS$1001&lt;$AS687))+1,"")</f>
        <v/>
      </c>
      <c r="AQ687">
        <f>IF($E687="","",IF(OR($V687=TRUE(),$V687="TRUE"),1,0))</f>
        <v/>
      </c>
      <c r="AR687">
        <f>IF($E687="","",IF($AE687="Yes",1,0))</f>
        <v/>
      </c>
      <c r="AS687">
        <f>IF($AO687=1,IFERROR(IF(VALUE($E687)&lt;100000000,VALUE($E687),1000000000),IFERROR(IF(VALUE(MID($E687,2,20))&lt;100000000,VALUE(MID($E687,2,20)),1000000000),1000000000))+ROW()/100000,"")</f>
        <v/>
      </c>
    </row>
    <row r="688">
      <c r="D688">
        <f>IF($E688="","",IFERROR(IF(INDEX('Per Invoice'!$A$2:$A$301,MATCH($E688,'Per Invoice'!$B$2:$B$301,0))=0,"",INDEX('Per Invoice'!$A$2:$A$301,MATCH($E688,'Per Invoice'!$B$2:$B$301,0))),""))</f>
        <v/>
      </c>
      <c r="H688" s="11" t="n"/>
      <c r="R688" s="7">
        <f>IF($E688="","",Q688*Z688/100)</f>
        <v/>
      </c>
      <c r="S688" s="7" t="n"/>
      <c r="Y688" s="7" t="n"/>
      <c r="Z688" s="7" t="n"/>
      <c r="AA688" s="7">
        <f>IF($E688="","",Z688*AF688/100)</f>
        <v/>
      </c>
      <c r="AB688" s="7">
        <f>IF($E688="","",Z688-AA688)</f>
        <v/>
      </c>
      <c r="AC688" s="7">
        <f>IF($E688="","",AB688-R688)</f>
        <v/>
      </c>
      <c r="AF688">
        <f>IF($E688="","",IF($AR688=1,0,IF($AQ688=1,Settings!$C$6,Settings!$C$7))*100)</f>
        <v/>
      </c>
      <c r="AJ688" s="7" t="n"/>
      <c r="AM688" s="11" t="n"/>
      <c r="AO688">
        <f>IF($E688="","",IF(COUNTIF($E$2:$E688,$E688)=1,1,0))</f>
        <v/>
      </c>
      <c r="AP688">
        <f>IF($AO688=1,SUMPRODUCT(--($AS$2:$AS$1001&lt;$AS688))+1,"")</f>
        <v/>
      </c>
      <c r="AQ688">
        <f>IF($E688="","",IF(OR($V688=TRUE(),$V688="TRUE"),1,0))</f>
        <v/>
      </c>
      <c r="AR688">
        <f>IF($E688="","",IF($AE688="Yes",1,0))</f>
        <v/>
      </c>
      <c r="AS688">
        <f>IF($AO688=1,IFERROR(IF(VALUE($E688)&lt;100000000,VALUE($E688),1000000000),IFERROR(IF(VALUE(MID($E688,2,20))&lt;100000000,VALUE(MID($E688,2,20)),1000000000),1000000000))+ROW()/100000,"")</f>
        <v/>
      </c>
    </row>
    <row r="689">
      <c r="D689">
        <f>IF($E689="","",IFERROR(IF(INDEX('Per Invoice'!$A$2:$A$301,MATCH($E689,'Per Invoice'!$B$2:$B$301,0))=0,"",INDEX('Per Invoice'!$A$2:$A$301,MATCH($E689,'Per Invoice'!$B$2:$B$301,0))),""))</f>
        <v/>
      </c>
      <c r="H689" s="11" t="n"/>
      <c r="R689" s="7">
        <f>IF($E689="","",Q689*Z689/100)</f>
        <v/>
      </c>
      <c r="S689" s="7" t="n"/>
      <c r="Y689" s="7" t="n"/>
      <c r="Z689" s="7" t="n"/>
      <c r="AA689" s="7">
        <f>IF($E689="","",Z689*AF689/100)</f>
        <v/>
      </c>
      <c r="AB689" s="7">
        <f>IF($E689="","",Z689-AA689)</f>
        <v/>
      </c>
      <c r="AC689" s="7">
        <f>IF($E689="","",AB689-R689)</f>
        <v/>
      </c>
      <c r="AF689">
        <f>IF($E689="","",IF($AR689=1,0,IF($AQ689=1,Settings!$C$6,Settings!$C$7))*100)</f>
        <v/>
      </c>
      <c r="AJ689" s="7" t="n"/>
      <c r="AM689" s="11" t="n"/>
      <c r="AO689">
        <f>IF($E689="","",IF(COUNTIF($E$2:$E689,$E689)=1,1,0))</f>
        <v/>
      </c>
      <c r="AP689">
        <f>IF($AO689=1,SUMPRODUCT(--($AS$2:$AS$1001&lt;$AS689))+1,"")</f>
        <v/>
      </c>
      <c r="AQ689">
        <f>IF($E689="","",IF(OR($V689=TRUE(),$V689="TRUE"),1,0))</f>
        <v/>
      </c>
      <c r="AR689">
        <f>IF($E689="","",IF($AE689="Yes",1,0))</f>
        <v/>
      </c>
      <c r="AS689">
        <f>IF($AO689=1,IFERROR(IF(VALUE($E689)&lt;100000000,VALUE($E689),1000000000),IFERROR(IF(VALUE(MID($E689,2,20))&lt;100000000,VALUE(MID($E689,2,20)),1000000000),1000000000))+ROW()/100000,"")</f>
        <v/>
      </c>
    </row>
    <row r="690">
      <c r="D690">
        <f>IF($E690="","",IFERROR(IF(INDEX('Per Invoice'!$A$2:$A$301,MATCH($E690,'Per Invoice'!$B$2:$B$301,0))=0,"",INDEX('Per Invoice'!$A$2:$A$301,MATCH($E690,'Per Invoice'!$B$2:$B$301,0))),""))</f>
        <v/>
      </c>
      <c r="H690" s="11" t="n"/>
      <c r="R690" s="7">
        <f>IF($E690="","",Q690*Z690/100)</f>
        <v/>
      </c>
      <c r="S690" s="7" t="n"/>
      <c r="Y690" s="7" t="n"/>
      <c r="Z690" s="7" t="n"/>
      <c r="AA690" s="7">
        <f>IF($E690="","",Z690*AF690/100)</f>
        <v/>
      </c>
      <c r="AB690" s="7">
        <f>IF($E690="","",Z690-AA690)</f>
        <v/>
      </c>
      <c r="AC690" s="7">
        <f>IF($E690="","",AB690-R690)</f>
        <v/>
      </c>
      <c r="AF690">
        <f>IF($E690="","",IF($AR690=1,0,IF($AQ690=1,Settings!$C$6,Settings!$C$7))*100)</f>
        <v/>
      </c>
      <c r="AJ690" s="7" t="n"/>
      <c r="AM690" s="11" t="n"/>
      <c r="AO690">
        <f>IF($E690="","",IF(COUNTIF($E$2:$E690,$E690)=1,1,0))</f>
        <v/>
      </c>
      <c r="AP690">
        <f>IF($AO690=1,SUMPRODUCT(--($AS$2:$AS$1001&lt;$AS690))+1,"")</f>
        <v/>
      </c>
      <c r="AQ690">
        <f>IF($E690="","",IF(OR($V690=TRUE(),$V690="TRUE"),1,0))</f>
        <v/>
      </c>
      <c r="AR690">
        <f>IF($E690="","",IF($AE690="Yes",1,0))</f>
        <v/>
      </c>
      <c r="AS690">
        <f>IF($AO690=1,IFERROR(IF(VALUE($E690)&lt;100000000,VALUE($E690),1000000000),IFERROR(IF(VALUE(MID($E690,2,20))&lt;100000000,VALUE(MID($E690,2,20)),1000000000),1000000000))+ROW()/100000,"")</f>
        <v/>
      </c>
    </row>
    <row r="691">
      <c r="D691">
        <f>IF($E691="","",IFERROR(IF(INDEX('Per Invoice'!$A$2:$A$301,MATCH($E691,'Per Invoice'!$B$2:$B$301,0))=0,"",INDEX('Per Invoice'!$A$2:$A$301,MATCH($E691,'Per Invoice'!$B$2:$B$301,0))),""))</f>
        <v/>
      </c>
      <c r="H691" s="11" t="n"/>
      <c r="R691" s="7">
        <f>IF($E691="","",Q691*Z691/100)</f>
        <v/>
      </c>
      <c r="S691" s="7" t="n"/>
      <c r="Y691" s="7" t="n"/>
      <c r="Z691" s="7" t="n"/>
      <c r="AA691" s="7">
        <f>IF($E691="","",Z691*AF691/100)</f>
        <v/>
      </c>
      <c r="AB691" s="7">
        <f>IF($E691="","",Z691-AA691)</f>
        <v/>
      </c>
      <c r="AC691" s="7">
        <f>IF($E691="","",AB691-R691)</f>
        <v/>
      </c>
      <c r="AF691">
        <f>IF($E691="","",IF($AR691=1,0,IF($AQ691=1,Settings!$C$6,Settings!$C$7))*100)</f>
        <v/>
      </c>
      <c r="AJ691" s="7" t="n"/>
      <c r="AM691" s="11" t="n"/>
      <c r="AO691">
        <f>IF($E691="","",IF(COUNTIF($E$2:$E691,$E691)=1,1,0))</f>
        <v/>
      </c>
      <c r="AP691">
        <f>IF($AO691=1,SUMPRODUCT(--($AS$2:$AS$1001&lt;$AS691))+1,"")</f>
        <v/>
      </c>
      <c r="AQ691">
        <f>IF($E691="","",IF(OR($V691=TRUE(),$V691="TRUE"),1,0))</f>
        <v/>
      </c>
      <c r="AR691">
        <f>IF($E691="","",IF($AE691="Yes",1,0))</f>
        <v/>
      </c>
      <c r="AS691">
        <f>IF($AO691=1,IFERROR(IF(VALUE($E691)&lt;100000000,VALUE($E691),1000000000),IFERROR(IF(VALUE(MID($E691,2,20))&lt;100000000,VALUE(MID($E691,2,20)),1000000000),1000000000))+ROW()/100000,"")</f>
        <v/>
      </c>
    </row>
    <row r="692">
      <c r="D692">
        <f>IF($E692="","",IFERROR(IF(INDEX('Per Invoice'!$A$2:$A$301,MATCH($E692,'Per Invoice'!$B$2:$B$301,0))=0,"",INDEX('Per Invoice'!$A$2:$A$301,MATCH($E692,'Per Invoice'!$B$2:$B$301,0))),""))</f>
        <v/>
      </c>
      <c r="H692" s="11" t="n"/>
      <c r="R692" s="7">
        <f>IF($E692="","",Q692*Z692/100)</f>
        <v/>
      </c>
      <c r="S692" s="7" t="n"/>
      <c r="Y692" s="7" t="n"/>
      <c r="Z692" s="7" t="n"/>
      <c r="AA692" s="7">
        <f>IF($E692="","",Z692*AF692/100)</f>
        <v/>
      </c>
      <c r="AB692" s="7">
        <f>IF($E692="","",Z692-AA692)</f>
        <v/>
      </c>
      <c r="AC692" s="7">
        <f>IF($E692="","",AB692-R692)</f>
        <v/>
      </c>
      <c r="AF692">
        <f>IF($E692="","",IF($AR692=1,0,IF($AQ692=1,Settings!$C$6,Settings!$C$7))*100)</f>
        <v/>
      </c>
      <c r="AJ692" s="7" t="n"/>
      <c r="AM692" s="11" t="n"/>
      <c r="AO692">
        <f>IF($E692="","",IF(COUNTIF($E$2:$E692,$E692)=1,1,0))</f>
        <v/>
      </c>
      <c r="AP692">
        <f>IF($AO692=1,SUMPRODUCT(--($AS$2:$AS$1001&lt;$AS692))+1,"")</f>
        <v/>
      </c>
      <c r="AQ692">
        <f>IF($E692="","",IF(OR($V692=TRUE(),$V692="TRUE"),1,0))</f>
        <v/>
      </c>
      <c r="AR692">
        <f>IF($E692="","",IF($AE692="Yes",1,0))</f>
        <v/>
      </c>
      <c r="AS692">
        <f>IF($AO692=1,IFERROR(IF(VALUE($E692)&lt;100000000,VALUE($E692),1000000000),IFERROR(IF(VALUE(MID($E692,2,20))&lt;100000000,VALUE(MID($E692,2,20)),1000000000),1000000000))+ROW()/100000,"")</f>
        <v/>
      </c>
    </row>
    <row r="693">
      <c r="D693">
        <f>IF($E693="","",IFERROR(IF(INDEX('Per Invoice'!$A$2:$A$301,MATCH($E693,'Per Invoice'!$B$2:$B$301,0))=0,"",INDEX('Per Invoice'!$A$2:$A$301,MATCH($E693,'Per Invoice'!$B$2:$B$301,0))),""))</f>
        <v/>
      </c>
      <c r="H693" s="11" t="n"/>
      <c r="R693" s="7">
        <f>IF($E693="","",Q693*Z693/100)</f>
        <v/>
      </c>
      <c r="S693" s="7" t="n"/>
      <c r="Y693" s="7" t="n"/>
      <c r="Z693" s="7" t="n"/>
      <c r="AA693" s="7">
        <f>IF($E693="","",Z693*AF693/100)</f>
        <v/>
      </c>
      <c r="AB693" s="7">
        <f>IF($E693="","",Z693-AA693)</f>
        <v/>
      </c>
      <c r="AC693" s="7">
        <f>IF($E693="","",AB693-R693)</f>
        <v/>
      </c>
      <c r="AF693">
        <f>IF($E693="","",IF($AR693=1,0,IF($AQ693=1,Settings!$C$6,Settings!$C$7))*100)</f>
        <v/>
      </c>
      <c r="AJ693" s="7" t="n"/>
      <c r="AM693" s="11" t="n"/>
      <c r="AO693">
        <f>IF($E693="","",IF(COUNTIF($E$2:$E693,$E693)=1,1,0))</f>
        <v/>
      </c>
      <c r="AP693">
        <f>IF($AO693=1,SUMPRODUCT(--($AS$2:$AS$1001&lt;$AS693))+1,"")</f>
        <v/>
      </c>
      <c r="AQ693">
        <f>IF($E693="","",IF(OR($V693=TRUE(),$V693="TRUE"),1,0))</f>
        <v/>
      </c>
      <c r="AR693">
        <f>IF($E693="","",IF($AE693="Yes",1,0))</f>
        <v/>
      </c>
      <c r="AS693">
        <f>IF($AO693=1,IFERROR(IF(VALUE($E693)&lt;100000000,VALUE($E693),1000000000),IFERROR(IF(VALUE(MID($E693,2,20))&lt;100000000,VALUE(MID($E693,2,20)),1000000000),1000000000))+ROW()/100000,"")</f>
        <v/>
      </c>
    </row>
    <row r="694">
      <c r="D694">
        <f>IF($E694="","",IFERROR(IF(INDEX('Per Invoice'!$A$2:$A$301,MATCH($E694,'Per Invoice'!$B$2:$B$301,0))=0,"",INDEX('Per Invoice'!$A$2:$A$301,MATCH($E694,'Per Invoice'!$B$2:$B$301,0))),""))</f>
        <v/>
      </c>
      <c r="H694" s="11" t="n"/>
      <c r="R694" s="7">
        <f>IF($E694="","",Q694*Z694/100)</f>
        <v/>
      </c>
      <c r="S694" s="7" t="n"/>
      <c r="Y694" s="7" t="n"/>
      <c r="Z694" s="7" t="n"/>
      <c r="AA694" s="7">
        <f>IF($E694="","",Z694*AF694/100)</f>
        <v/>
      </c>
      <c r="AB694" s="7">
        <f>IF($E694="","",Z694-AA694)</f>
        <v/>
      </c>
      <c r="AC694" s="7">
        <f>IF($E694="","",AB694-R694)</f>
        <v/>
      </c>
      <c r="AF694">
        <f>IF($E694="","",IF($AR694=1,0,IF($AQ694=1,Settings!$C$6,Settings!$C$7))*100)</f>
        <v/>
      </c>
      <c r="AJ694" s="7" t="n"/>
      <c r="AM694" s="11" t="n"/>
      <c r="AO694">
        <f>IF($E694="","",IF(COUNTIF($E$2:$E694,$E694)=1,1,0))</f>
        <v/>
      </c>
      <c r="AP694">
        <f>IF($AO694=1,SUMPRODUCT(--($AS$2:$AS$1001&lt;$AS694))+1,"")</f>
        <v/>
      </c>
      <c r="AQ694">
        <f>IF($E694="","",IF(OR($V694=TRUE(),$V694="TRUE"),1,0))</f>
        <v/>
      </c>
      <c r="AR694">
        <f>IF($E694="","",IF($AE694="Yes",1,0))</f>
        <v/>
      </c>
      <c r="AS694">
        <f>IF($AO694=1,IFERROR(IF(VALUE($E694)&lt;100000000,VALUE($E694),1000000000),IFERROR(IF(VALUE(MID($E694,2,20))&lt;100000000,VALUE(MID($E694,2,20)),1000000000),1000000000))+ROW()/100000,"")</f>
        <v/>
      </c>
    </row>
    <row r="695">
      <c r="D695">
        <f>IF($E695="","",IFERROR(IF(INDEX('Per Invoice'!$A$2:$A$301,MATCH($E695,'Per Invoice'!$B$2:$B$301,0))=0,"",INDEX('Per Invoice'!$A$2:$A$301,MATCH($E695,'Per Invoice'!$B$2:$B$301,0))),""))</f>
        <v/>
      </c>
      <c r="H695" s="11" t="n"/>
      <c r="R695" s="7">
        <f>IF($E695="","",Q695*Z695/100)</f>
        <v/>
      </c>
      <c r="S695" s="7" t="n"/>
      <c r="Y695" s="7" t="n"/>
      <c r="Z695" s="7" t="n"/>
      <c r="AA695" s="7">
        <f>IF($E695="","",Z695*AF695/100)</f>
        <v/>
      </c>
      <c r="AB695" s="7">
        <f>IF($E695="","",Z695-AA695)</f>
        <v/>
      </c>
      <c r="AC695" s="7">
        <f>IF($E695="","",AB695-R695)</f>
        <v/>
      </c>
      <c r="AF695">
        <f>IF($E695="","",IF($AR695=1,0,IF($AQ695=1,Settings!$C$6,Settings!$C$7))*100)</f>
        <v/>
      </c>
      <c r="AJ695" s="7" t="n"/>
      <c r="AM695" s="11" t="n"/>
      <c r="AO695">
        <f>IF($E695="","",IF(COUNTIF($E$2:$E695,$E695)=1,1,0))</f>
        <v/>
      </c>
      <c r="AP695">
        <f>IF($AO695=1,SUMPRODUCT(--($AS$2:$AS$1001&lt;$AS695))+1,"")</f>
        <v/>
      </c>
      <c r="AQ695">
        <f>IF($E695="","",IF(OR($V695=TRUE(),$V695="TRUE"),1,0))</f>
        <v/>
      </c>
      <c r="AR695">
        <f>IF($E695="","",IF($AE695="Yes",1,0))</f>
        <v/>
      </c>
      <c r="AS695">
        <f>IF($AO695=1,IFERROR(IF(VALUE($E695)&lt;100000000,VALUE($E695),1000000000),IFERROR(IF(VALUE(MID($E695,2,20))&lt;100000000,VALUE(MID($E695,2,20)),1000000000),1000000000))+ROW()/100000,"")</f>
        <v/>
      </c>
    </row>
    <row r="696">
      <c r="D696">
        <f>IF($E696="","",IFERROR(IF(INDEX('Per Invoice'!$A$2:$A$301,MATCH($E696,'Per Invoice'!$B$2:$B$301,0))=0,"",INDEX('Per Invoice'!$A$2:$A$301,MATCH($E696,'Per Invoice'!$B$2:$B$301,0))),""))</f>
        <v/>
      </c>
      <c r="H696" s="11" t="n"/>
      <c r="R696" s="7">
        <f>IF($E696="","",Q696*Z696/100)</f>
        <v/>
      </c>
      <c r="S696" s="7" t="n"/>
      <c r="Y696" s="7" t="n"/>
      <c r="Z696" s="7" t="n"/>
      <c r="AA696" s="7">
        <f>IF($E696="","",Z696*AF696/100)</f>
        <v/>
      </c>
      <c r="AB696" s="7">
        <f>IF($E696="","",Z696-AA696)</f>
        <v/>
      </c>
      <c r="AC696" s="7">
        <f>IF($E696="","",AB696-R696)</f>
        <v/>
      </c>
      <c r="AF696">
        <f>IF($E696="","",IF($AR696=1,0,IF($AQ696=1,Settings!$C$6,Settings!$C$7))*100)</f>
        <v/>
      </c>
      <c r="AJ696" s="7" t="n"/>
      <c r="AM696" s="11" t="n"/>
      <c r="AO696">
        <f>IF($E696="","",IF(COUNTIF($E$2:$E696,$E696)=1,1,0))</f>
        <v/>
      </c>
      <c r="AP696">
        <f>IF($AO696=1,SUMPRODUCT(--($AS$2:$AS$1001&lt;$AS696))+1,"")</f>
        <v/>
      </c>
      <c r="AQ696">
        <f>IF($E696="","",IF(OR($V696=TRUE(),$V696="TRUE"),1,0))</f>
        <v/>
      </c>
      <c r="AR696">
        <f>IF($E696="","",IF($AE696="Yes",1,0))</f>
        <v/>
      </c>
      <c r="AS696">
        <f>IF($AO696=1,IFERROR(IF(VALUE($E696)&lt;100000000,VALUE($E696),1000000000),IFERROR(IF(VALUE(MID($E696,2,20))&lt;100000000,VALUE(MID($E696,2,20)),1000000000),1000000000))+ROW()/100000,"")</f>
        <v/>
      </c>
    </row>
    <row r="697">
      <c r="D697">
        <f>IF($E697="","",IFERROR(IF(INDEX('Per Invoice'!$A$2:$A$301,MATCH($E697,'Per Invoice'!$B$2:$B$301,0))=0,"",INDEX('Per Invoice'!$A$2:$A$301,MATCH($E697,'Per Invoice'!$B$2:$B$301,0))),""))</f>
        <v/>
      </c>
      <c r="H697" s="11" t="n"/>
      <c r="R697" s="7">
        <f>IF($E697="","",Q697*Z697/100)</f>
        <v/>
      </c>
      <c r="S697" s="7" t="n"/>
      <c r="Y697" s="7" t="n"/>
      <c r="Z697" s="7" t="n"/>
      <c r="AA697" s="7">
        <f>IF($E697="","",Z697*AF697/100)</f>
        <v/>
      </c>
      <c r="AB697" s="7">
        <f>IF($E697="","",Z697-AA697)</f>
        <v/>
      </c>
      <c r="AC697" s="7">
        <f>IF($E697="","",AB697-R697)</f>
        <v/>
      </c>
      <c r="AF697">
        <f>IF($E697="","",IF($AR697=1,0,IF($AQ697=1,Settings!$C$6,Settings!$C$7))*100)</f>
        <v/>
      </c>
      <c r="AJ697" s="7" t="n"/>
      <c r="AM697" s="11" t="n"/>
      <c r="AO697">
        <f>IF($E697="","",IF(COUNTIF($E$2:$E697,$E697)=1,1,0))</f>
        <v/>
      </c>
      <c r="AP697">
        <f>IF($AO697=1,SUMPRODUCT(--($AS$2:$AS$1001&lt;$AS697))+1,"")</f>
        <v/>
      </c>
      <c r="AQ697">
        <f>IF($E697="","",IF(OR($V697=TRUE(),$V697="TRUE"),1,0))</f>
        <v/>
      </c>
      <c r="AR697">
        <f>IF($E697="","",IF($AE697="Yes",1,0))</f>
        <v/>
      </c>
      <c r="AS697">
        <f>IF($AO697=1,IFERROR(IF(VALUE($E697)&lt;100000000,VALUE($E697),1000000000),IFERROR(IF(VALUE(MID($E697,2,20))&lt;100000000,VALUE(MID($E697,2,20)),1000000000),1000000000))+ROW()/100000,"")</f>
        <v/>
      </c>
    </row>
    <row r="698">
      <c r="D698">
        <f>IF($E698="","",IFERROR(IF(INDEX('Per Invoice'!$A$2:$A$301,MATCH($E698,'Per Invoice'!$B$2:$B$301,0))=0,"",INDEX('Per Invoice'!$A$2:$A$301,MATCH($E698,'Per Invoice'!$B$2:$B$301,0))),""))</f>
        <v/>
      </c>
      <c r="H698" s="11" t="n"/>
      <c r="R698" s="7">
        <f>IF($E698="","",Q698*Z698/100)</f>
        <v/>
      </c>
      <c r="S698" s="7" t="n"/>
      <c r="Y698" s="7" t="n"/>
      <c r="Z698" s="7" t="n"/>
      <c r="AA698" s="7">
        <f>IF($E698="","",Z698*AF698/100)</f>
        <v/>
      </c>
      <c r="AB698" s="7">
        <f>IF($E698="","",Z698-AA698)</f>
        <v/>
      </c>
      <c r="AC698" s="7">
        <f>IF($E698="","",AB698-R698)</f>
        <v/>
      </c>
      <c r="AF698">
        <f>IF($E698="","",IF($AR698=1,0,IF($AQ698=1,Settings!$C$6,Settings!$C$7))*100)</f>
        <v/>
      </c>
      <c r="AJ698" s="7" t="n"/>
      <c r="AM698" s="11" t="n"/>
      <c r="AO698">
        <f>IF($E698="","",IF(COUNTIF($E$2:$E698,$E698)=1,1,0))</f>
        <v/>
      </c>
      <c r="AP698">
        <f>IF($AO698=1,SUMPRODUCT(--($AS$2:$AS$1001&lt;$AS698))+1,"")</f>
        <v/>
      </c>
      <c r="AQ698">
        <f>IF($E698="","",IF(OR($V698=TRUE(),$V698="TRUE"),1,0))</f>
        <v/>
      </c>
      <c r="AR698">
        <f>IF($E698="","",IF($AE698="Yes",1,0))</f>
        <v/>
      </c>
      <c r="AS698">
        <f>IF($AO698=1,IFERROR(IF(VALUE($E698)&lt;100000000,VALUE($E698),1000000000),IFERROR(IF(VALUE(MID($E698,2,20))&lt;100000000,VALUE(MID($E698,2,20)),1000000000),1000000000))+ROW()/100000,"")</f>
        <v/>
      </c>
    </row>
    <row r="699">
      <c r="D699">
        <f>IF($E699="","",IFERROR(IF(INDEX('Per Invoice'!$A$2:$A$301,MATCH($E699,'Per Invoice'!$B$2:$B$301,0))=0,"",INDEX('Per Invoice'!$A$2:$A$301,MATCH($E699,'Per Invoice'!$B$2:$B$301,0))),""))</f>
        <v/>
      </c>
      <c r="H699" s="11" t="n"/>
      <c r="R699" s="7">
        <f>IF($E699="","",Q699*Z699/100)</f>
        <v/>
      </c>
      <c r="S699" s="7" t="n"/>
      <c r="Y699" s="7" t="n"/>
      <c r="Z699" s="7" t="n"/>
      <c r="AA699" s="7">
        <f>IF($E699="","",Z699*AF699/100)</f>
        <v/>
      </c>
      <c r="AB699" s="7">
        <f>IF($E699="","",Z699-AA699)</f>
        <v/>
      </c>
      <c r="AC699" s="7">
        <f>IF($E699="","",AB699-R699)</f>
        <v/>
      </c>
      <c r="AF699">
        <f>IF($E699="","",IF($AR699=1,0,IF($AQ699=1,Settings!$C$6,Settings!$C$7))*100)</f>
        <v/>
      </c>
      <c r="AJ699" s="7" t="n"/>
      <c r="AM699" s="11" t="n"/>
      <c r="AO699">
        <f>IF($E699="","",IF(COUNTIF($E$2:$E699,$E699)=1,1,0))</f>
        <v/>
      </c>
      <c r="AP699">
        <f>IF($AO699=1,SUMPRODUCT(--($AS$2:$AS$1001&lt;$AS699))+1,"")</f>
        <v/>
      </c>
      <c r="AQ699">
        <f>IF($E699="","",IF(OR($V699=TRUE(),$V699="TRUE"),1,0))</f>
        <v/>
      </c>
      <c r="AR699">
        <f>IF($E699="","",IF($AE699="Yes",1,0))</f>
        <v/>
      </c>
      <c r="AS699">
        <f>IF($AO699=1,IFERROR(IF(VALUE($E699)&lt;100000000,VALUE($E699),1000000000),IFERROR(IF(VALUE(MID($E699,2,20))&lt;100000000,VALUE(MID($E699,2,20)),1000000000),1000000000))+ROW()/100000,"")</f>
        <v/>
      </c>
    </row>
    <row r="700">
      <c r="D700">
        <f>IF($E700="","",IFERROR(IF(INDEX('Per Invoice'!$A$2:$A$301,MATCH($E700,'Per Invoice'!$B$2:$B$301,0))=0,"",INDEX('Per Invoice'!$A$2:$A$301,MATCH($E700,'Per Invoice'!$B$2:$B$301,0))),""))</f>
        <v/>
      </c>
      <c r="H700" s="11" t="n"/>
      <c r="R700" s="7">
        <f>IF($E700="","",Q700*Z700/100)</f>
        <v/>
      </c>
      <c r="S700" s="7" t="n"/>
      <c r="Y700" s="7" t="n"/>
      <c r="Z700" s="7" t="n"/>
      <c r="AA700" s="7">
        <f>IF($E700="","",Z700*AF700/100)</f>
        <v/>
      </c>
      <c r="AB700" s="7">
        <f>IF($E700="","",Z700-AA700)</f>
        <v/>
      </c>
      <c r="AC700" s="7">
        <f>IF($E700="","",AB700-R700)</f>
        <v/>
      </c>
      <c r="AF700">
        <f>IF($E700="","",IF($AR700=1,0,IF($AQ700=1,Settings!$C$6,Settings!$C$7))*100)</f>
        <v/>
      </c>
      <c r="AJ700" s="7" t="n"/>
      <c r="AM700" s="11" t="n"/>
      <c r="AO700">
        <f>IF($E700="","",IF(COUNTIF($E$2:$E700,$E700)=1,1,0))</f>
        <v/>
      </c>
      <c r="AP700">
        <f>IF($AO700=1,SUMPRODUCT(--($AS$2:$AS$1001&lt;$AS700))+1,"")</f>
        <v/>
      </c>
      <c r="AQ700">
        <f>IF($E700="","",IF(OR($V700=TRUE(),$V700="TRUE"),1,0))</f>
        <v/>
      </c>
      <c r="AR700">
        <f>IF($E700="","",IF($AE700="Yes",1,0))</f>
        <v/>
      </c>
      <c r="AS700">
        <f>IF($AO700=1,IFERROR(IF(VALUE($E700)&lt;100000000,VALUE($E700),1000000000),IFERROR(IF(VALUE(MID($E700,2,20))&lt;100000000,VALUE(MID($E700,2,20)),1000000000),1000000000))+ROW()/100000,"")</f>
        <v/>
      </c>
    </row>
    <row r="701">
      <c r="D701">
        <f>IF($E701="","",IFERROR(IF(INDEX('Per Invoice'!$A$2:$A$301,MATCH($E701,'Per Invoice'!$B$2:$B$301,0))=0,"",INDEX('Per Invoice'!$A$2:$A$301,MATCH($E701,'Per Invoice'!$B$2:$B$301,0))),""))</f>
        <v/>
      </c>
      <c r="H701" s="11" t="n"/>
      <c r="R701" s="7">
        <f>IF($E701="","",Q701*Z701/100)</f>
        <v/>
      </c>
      <c r="S701" s="7" t="n"/>
      <c r="Y701" s="7" t="n"/>
      <c r="Z701" s="7" t="n"/>
      <c r="AA701" s="7">
        <f>IF($E701="","",Z701*AF701/100)</f>
        <v/>
      </c>
      <c r="AB701" s="7">
        <f>IF($E701="","",Z701-AA701)</f>
        <v/>
      </c>
      <c r="AC701" s="7">
        <f>IF($E701="","",AB701-R701)</f>
        <v/>
      </c>
      <c r="AF701">
        <f>IF($E701="","",IF($AR701=1,0,IF($AQ701=1,Settings!$C$6,Settings!$C$7))*100)</f>
        <v/>
      </c>
      <c r="AJ701" s="7" t="n"/>
      <c r="AM701" s="11" t="n"/>
      <c r="AO701">
        <f>IF($E701="","",IF(COUNTIF($E$2:$E701,$E701)=1,1,0))</f>
        <v/>
      </c>
      <c r="AP701">
        <f>IF($AO701=1,SUMPRODUCT(--($AS$2:$AS$1001&lt;$AS701))+1,"")</f>
        <v/>
      </c>
      <c r="AQ701">
        <f>IF($E701="","",IF(OR($V701=TRUE(),$V701="TRUE"),1,0))</f>
        <v/>
      </c>
      <c r="AR701">
        <f>IF($E701="","",IF($AE701="Yes",1,0))</f>
        <v/>
      </c>
      <c r="AS701">
        <f>IF($AO701=1,IFERROR(IF(VALUE($E701)&lt;100000000,VALUE($E701),1000000000),IFERROR(IF(VALUE(MID($E701,2,20))&lt;100000000,VALUE(MID($E701,2,20)),1000000000),1000000000))+ROW()/100000,"")</f>
        <v/>
      </c>
    </row>
    <row r="702">
      <c r="D702">
        <f>IF($E702="","",IFERROR(IF(INDEX('Per Invoice'!$A$2:$A$301,MATCH($E702,'Per Invoice'!$B$2:$B$301,0))=0,"",INDEX('Per Invoice'!$A$2:$A$301,MATCH($E702,'Per Invoice'!$B$2:$B$301,0))),""))</f>
        <v/>
      </c>
      <c r="H702" s="11" t="n"/>
      <c r="R702" s="7">
        <f>IF($E702="","",Q702*Z702/100)</f>
        <v/>
      </c>
      <c r="S702" s="7" t="n"/>
      <c r="Y702" s="7" t="n"/>
      <c r="Z702" s="7" t="n"/>
      <c r="AA702" s="7">
        <f>IF($E702="","",Z702*AF702/100)</f>
        <v/>
      </c>
      <c r="AB702" s="7">
        <f>IF($E702="","",Z702-AA702)</f>
        <v/>
      </c>
      <c r="AC702" s="7">
        <f>IF($E702="","",AB702-R702)</f>
        <v/>
      </c>
      <c r="AF702">
        <f>IF($E702="","",IF($AR702=1,0,IF($AQ702=1,Settings!$C$6,Settings!$C$7))*100)</f>
        <v/>
      </c>
      <c r="AJ702" s="7" t="n"/>
      <c r="AM702" s="11" t="n"/>
      <c r="AO702">
        <f>IF($E702="","",IF(COUNTIF($E$2:$E702,$E702)=1,1,0))</f>
        <v/>
      </c>
      <c r="AP702">
        <f>IF($AO702=1,SUMPRODUCT(--($AS$2:$AS$1001&lt;$AS702))+1,"")</f>
        <v/>
      </c>
      <c r="AQ702">
        <f>IF($E702="","",IF(OR($V702=TRUE(),$V702="TRUE"),1,0))</f>
        <v/>
      </c>
      <c r="AR702">
        <f>IF($E702="","",IF($AE702="Yes",1,0))</f>
        <v/>
      </c>
      <c r="AS702">
        <f>IF($AO702=1,IFERROR(IF(VALUE($E702)&lt;100000000,VALUE($E702),1000000000),IFERROR(IF(VALUE(MID($E702,2,20))&lt;100000000,VALUE(MID($E702,2,20)),1000000000),1000000000))+ROW()/100000,"")</f>
        <v/>
      </c>
    </row>
    <row r="703">
      <c r="D703">
        <f>IF($E703="","",IFERROR(IF(INDEX('Per Invoice'!$A$2:$A$301,MATCH($E703,'Per Invoice'!$B$2:$B$301,0))=0,"",INDEX('Per Invoice'!$A$2:$A$301,MATCH($E703,'Per Invoice'!$B$2:$B$301,0))),""))</f>
        <v/>
      </c>
      <c r="H703" s="11" t="n"/>
      <c r="R703" s="7">
        <f>IF($E703="","",Q703*Z703/100)</f>
        <v/>
      </c>
      <c r="S703" s="7" t="n"/>
      <c r="Y703" s="7" t="n"/>
      <c r="Z703" s="7" t="n"/>
      <c r="AA703" s="7">
        <f>IF($E703="","",Z703*AF703/100)</f>
        <v/>
      </c>
      <c r="AB703" s="7">
        <f>IF($E703="","",Z703-AA703)</f>
        <v/>
      </c>
      <c r="AC703" s="7">
        <f>IF($E703="","",AB703-R703)</f>
        <v/>
      </c>
      <c r="AF703">
        <f>IF($E703="","",IF($AR703=1,0,IF($AQ703=1,Settings!$C$6,Settings!$C$7))*100)</f>
        <v/>
      </c>
      <c r="AJ703" s="7" t="n"/>
      <c r="AM703" s="11" t="n"/>
      <c r="AO703">
        <f>IF($E703="","",IF(COUNTIF($E$2:$E703,$E703)=1,1,0))</f>
        <v/>
      </c>
      <c r="AP703">
        <f>IF($AO703=1,SUMPRODUCT(--($AS$2:$AS$1001&lt;$AS703))+1,"")</f>
        <v/>
      </c>
      <c r="AQ703">
        <f>IF($E703="","",IF(OR($V703=TRUE(),$V703="TRUE"),1,0))</f>
        <v/>
      </c>
      <c r="AR703">
        <f>IF($E703="","",IF($AE703="Yes",1,0))</f>
        <v/>
      </c>
      <c r="AS703">
        <f>IF($AO703=1,IFERROR(IF(VALUE($E703)&lt;100000000,VALUE($E703),1000000000),IFERROR(IF(VALUE(MID($E703,2,20))&lt;100000000,VALUE(MID($E703,2,20)),1000000000),1000000000))+ROW()/100000,"")</f>
        <v/>
      </c>
    </row>
    <row r="704">
      <c r="D704">
        <f>IF($E704="","",IFERROR(IF(INDEX('Per Invoice'!$A$2:$A$301,MATCH($E704,'Per Invoice'!$B$2:$B$301,0))=0,"",INDEX('Per Invoice'!$A$2:$A$301,MATCH($E704,'Per Invoice'!$B$2:$B$301,0))),""))</f>
        <v/>
      </c>
      <c r="H704" s="11" t="n"/>
      <c r="R704" s="7">
        <f>IF($E704="","",Q704*Z704/100)</f>
        <v/>
      </c>
      <c r="S704" s="7" t="n"/>
      <c r="Y704" s="7" t="n"/>
      <c r="Z704" s="7" t="n"/>
      <c r="AA704" s="7">
        <f>IF($E704="","",Z704*AF704/100)</f>
        <v/>
      </c>
      <c r="AB704" s="7">
        <f>IF($E704="","",Z704-AA704)</f>
        <v/>
      </c>
      <c r="AC704" s="7">
        <f>IF($E704="","",AB704-R704)</f>
        <v/>
      </c>
      <c r="AF704">
        <f>IF($E704="","",IF($AR704=1,0,IF($AQ704=1,Settings!$C$6,Settings!$C$7))*100)</f>
        <v/>
      </c>
      <c r="AJ704" s="7" t="n"/>
      <c r="AM704" s="11" t="n"/>
      <c r="AO704">
        <f>IF($E704="","",IF(COUNTIF($E$2:$E704,$E704)=1,1,0))</f>
        <v/>
      </c>
      <c r="AP704">
        <f>IF($AO704=1,SUMPRODUCT(--($AS$2:$AS$1001&lt;$AS704))+1,"")</f>
        <v/>
      </c>
      <c r="AQ704">
        <f>IF($E704="","",IF(OR($V704=TRUE(),$V704="TRUE"),1,0))</f>
        <v/>
      </c>
      <c r="AR704">
        <f>IF($E704="","",IF($AE704="Yes",1,0))</f>
        <v/>
      </c>
      <c r="AS704">
        <f>IF($AO704=1,IFERROR(IF(VALUE($E704)&lt;100000000,VALUE($E704),1000000000),IFERROR(IF(VALUE(MID($E704,2,20))&lt;100000000,VALUE(MID($E704,2,20)),1000000000),1000000000))+ROW()/100000,"")</f>
        <v/>
      </c>
    </row>
    <row r="705">
      <c r="D705">
        <f>IF($E705="","",IFERROR(IF(INDEX('Per Invoice'!$A$2:$A$301,MATCH($E705,'Per Invoice'!$B$2:$B$301,0))=0,"",INDEX('Per Invoice'!$A$2:$A$301,MATCH($E705,'Per Invoice'!$B$2:$B$301,0))),""))</f>
        <v/>
      </c>
      <c r="H705" s="11" t="n"/>
      <c r="R705" s="7">
        <f>IF($E705="","",Q705*Z705/100)</f>
        <v/>
      </c>
      <c r="S705" s="7" t="n"/>
      <c r="Y705" s="7" t="n"/>
      <c r="Z705" s="7" t="n"/>
      <c r="AA705" s="7">
        <f>IF($E705="","",Z705*AF705/100)</f>
        <v/>
      </c>
      <c r="AB705" s="7">
        <f>IF($E705="","",Z705-AA705)</f>
        <v/>
      </c>
      <c r="AC705" s="7">
        <f>IF($E705="","",AB705-R705)</f>
        <v/>
      </c>
      <c r="AF705">
        <f>IF($E705="","",IF($AR705=1,0,IF($AQ705=1,Settings!$C$6,Settings!$C$7))*100)</f>
        <v/>
      </c>
      <c r="AJ705" s="7" t="n"/>
      <c r="AM705" s="11" t="n"/>
      <c r="AO705">
        <f>IF($E705="","",IF(COUNTIF($E$2:$E705,$E705)=1,1,0))</f>
        <v/>
      </c>
      <c r="AP705">
        <f>IF($AO705=1,SUMPRODUCT(--($AS$2:$AS$1001&lt;$AS705))+1,"")</f>
        <v/>
      </c>
      <c r="AQ705">
        <f>IF($E705="","",IF(OR($V705=TRUE(),$V705="TRUE"),1,0))</f>
        <v/>
      </c>
      <c r="AR705">
        <f>IF($E705="","",IF($AE705="Yes",1,0))</f>
        <v/>
      </c>
      <c r="AS705">
        <f>IF($AO705=1,IFERROR(IF(VALUE($E705)&lt;100000000,VALUE($E705),1000000000),IFERROR(IF(VALUE(MID($E705,2,20))&lt;100000000,VALUE(MID($E705,2,20)),1000000000),1000000000))+ROW()/100000,"")</f>
        <v/>
      </c>
    </row>
    <row r="706">
      <c r="D706">
        <f>IF($E706="","",IFERROR(IF(INDEX('Per Invoice'!$A$2:$A$301,MATCH($E706,'Per Invoice'!$B$2:$B$301,0))=0,"",INDEX('Per Invoice'!$A$2:$A$301,MATCH($E706,'Per Invoice'!$B$2:$B$301,0))),""))</f>
        <v/>
      </c>
      <c r="H706" s="11" t="n"/>
      <c r="R706" s="7">
        <f>IF($E706="","",Q706*Z706/100)</f>
        <v/>
      </c>
      <c r="S706" s="7" t="n"/>
      <c r="Y706" s="7" t="n"/>
      <c r="Z706" s="7" t="n"/>
      <c r="AA706" s="7">
        <f>IF($E706="","",Z706*AF706/100)</f>
        <v/>
      </c>
      <c r="AB706" s="7">
        <f>IF($E706="","",Z706-AA706)</f>
        <v/>
      </c>
      <c r="AC706" s="7">
        <f>IF($E706="","",AB706-R706)</f>
        <v/>
      </c>
      <c r="AF706">
        <f>IF($E706="","",IF($AR706=1,0,IF($AQ706=1,Settings!$C$6,Settings!$C$7))*100)</f>
        <v/>
      </c>
      <c r="AJ706" s="7" t="n"/>
      <c r="AM706" s="11" t="n"/>
      <c r="AO706">
        <f>IF($E706="","",IF(COUNTIF($E$2:$E706,$E706)=1,1,0))</f>
        <v/>
      </c>
      <c r="AP706">
        <f>IF($AO706=1,SUMPRODUCT(--($AS$2:$AS$1001&lt;$AS706))+1,"")</f>
        <v/>
      </c>
      <c r="AQ706">
        <f>IF($E706="","",IF(OR($V706=TRUE(),$V706="TRUE"),1,0))</f>
        <v/>
      </c>
      <c r="AR706">
        <f>IF($E706="","",IF($AE706="Yes",1,0))</f>
        <v/>
      </c>
      <c r="AS706">
        <f>IF($AO706=1,IFERROR(IF(VALUE($E706)&lt;100000000,VALUE($E706),1000000000),IFERROR(IF(VALUE(MID($E706,2,20))&lt;100000000,VALUE(MID($E706,2,20)),1000000000),1000000000))+ROW()/100000,"")</f>
        <v/>
      </c>
    </row>
    <row r="707">
      <c r="D707">
        <f>IF($E707="","",IFERROR(IF(INDEX('Per Invoice'!$A$2:$A$301,MATCH($E707,'Per Invoice'!$B$2:$B$301,0))=0,"",INDEX('Per Invoice'!$A$2:$A$301,MATCH($E707,'Per Invoice'!$B$2:$B$301,0))),""))</f>
        <v/>
      </c>
      <c r="H707" s="11" t="n"/>
      <c r="R707" s="7">
        <f>IF($E707="","",Q707*Z707/100)</f>
        <v/>
      </c>
      <c r="S707" s="7" t="n"/>
      <c r="Y707" s="7" t="n"/>
      <c r="Z707" s="7" t="n"/>
      <c r="AA707" s="7">
        <f>IF($E707="","",Z707*AF707/100)</f>
        <v/>
      </c>
      <c r="AB707" s="7">
        <f>IF($E707="","",Z707-AA707)</f>
        <v/>
      </c>
      <c r="AC707" s="7">
        <f>IF($E707="","",AB707-R707)</f>
        <v/>
      </c>
      <c r="AF707">
        <f>IF($E707="","",IF($AR707=1,0,IF($AQ707=1,Settings!$C$6,Settings!$C$7))*100)</f>
        <v/>
      </c>
      <c r="AJ707" s="7" t="n"/>
      <c r="AM707" s="11" t="n"/>
      <c r="AO707">
        <f>IF($E707="","",IF(COUNTIF($E$2:$E707,$E707)=1,1,0))</f>
        <v/>
      </c>
      <c r="AP707">
        <f>IF($AO707=1,SUMPRODUCT(--($AS$2:$AS$1001&lt;$AS707))+1,"")</f>
        <v/>
      </c>
      <c r="AQ707">
        <f>IF($E707="","",IF(OR($V707=TRUE(),$V707="TRUE"),1,0))</f>
        <v/>
      </c>
      <c r="AR707">
        <f>IF($E707="","",IF($AE707="Yes",1,0))</f>
        <v/>
      </c>
      <c r="AS707">
        <f>IF($AO707=1,IFERROR(IF(VALUE($E707)&lt;100000000,VALUE($E707),1000000000),IFERROR(IF(VALUE(MID($E707,2,20))&lt;100000000,VALUE(MID($E707,2,20)),1000000000),1000000000))+ROW()/100000,"")</f>
        <v/>
      </c>
    </row>
    <row r="708">
      <c r="D708">
        <f>IF($E708="","",IFERROR(IF(INDEX('Per Invoice'!$A$2:$A$301,MATCH($E708,'Per Invoice'!$B$2:$B$301,0))=0,"",INDEX('Per Invoice'!$A$2:$A$301,MATCH($E708,'Per Invoice'!$B$2:$B$301,0))),""))</f>
        <v/>
      </c>
      <c r="H708" s="11" t="n"/>
      <c r="R708" s="7">
        <f>IF($E708="","",Q708*Z708/100)</f>
        <v/>
      </c>
      <c r="S708" s="7" t="n"/>
      <c r="Y708" s="7" t="n"/>
      <c r="Z708" s="7" t="n"/>
      <c r="AA708" s="7">
        <f>IF($E708="","",Z708*AF708/100)</f>
        <v/>
      </c>
      <c r="AB708" s="7">
        <f>IF($E708="","",Z708-AA708)</f>
        <v/>
      </c>
      <c r="AC708" s="7">
        <f>IF($E708="","",AB708-R708)</f>
        <v/>
      </c>
      <c r="AF708">
        <f>IF($E708="","",IF($AR708=1,0,IF($AQ708=1,Settings!$C$6,Settings!$C$7))*100)</f>
        <v/>
      </c>
      <c r="AJ708" s="7" t="n"/>
      <c r="AM708" s="11" t="n"/>
      <c r="AO708">
        <f>IF($E708="","",IF(COUNTIF($E$2:$E708,$E708)=1,1,0))</f>
        <v/>
      </c>
      <c r="AP708">
        <f>IF($AO708=1,SUMPRODUCT(--($AS$2:$AS$1001&lt;$AS708))+1,"")</f>
        <v/>
      </c>
      <c r="AQ708">
        <f>IF($E708="","",IF(OR($V708=TRUE(),$V708="TRUE"),1,0))</f>
        <v/>
      </c>
      <c r="AR708">
        <f>IF($E708="","",IF($AE708="Yes",1,0))</f>
        <v/>
      </c>
      <c r="AS708">
        <f>IF($AO708=1,IFERROR(IF(VALUE($E708)&lt;100000000,VALUE($E708),1000000000),IFERROR(IF(VALUE(MID($E708,2,20))&lt;100000000,VALUE(MID($E708,2,20)),1000000000),1000000000))+ROW()/100000,"")</f>
        <v/>
      </c>
    </row>
    <row r="709">
      <c r="D709">
        <f>IF($E709="","",IFERROR(IF(INDEX('Per Invoice'!$A$2:$A$301,MATCH($E709,'Per Invoice'!$B$2:$B$301,0))=0,"",INDEX('Per Invoice'!$A$2:$A$301,MATCH($E709,'Per Invoice'!$B$2:$B$301,0))),""))</f>
        <v/>
      </c>
      <c r="H709" s="11" t="n"/>
      <c r="R709" s="7">
        <f>IF($E709="","",Q709*Z709/100)</f>
        <v/>
      </c>
      <c r="S709" s="7" t="n"/>
      <c r="Y709" s="7" t="n"/>
      <c r="Z709" s="7" t="n"/>
      <c r="AA709" s="7">
        <f>IF($E709="","",Z709*AF709/100)</f>
        <v/>
      </c>
      <c r="AB709" s="7">
        <f>IF($E709="","",Z709-AA709)</f>
        <v/>
      </c>
      <c r="AC709" s="7">
        <f>IF($E709="","",AB709-R709)</f>
        <v/>
      </c>
      <c r="AF709">
        <f>IF($E709="","",IF($AR709=1,0,IF($AQ709=1,Settings!$C$6,Settings!$C$7))*100)</f>
        <v/>
      </c>
      <c r="AJ709" s="7" t="n"/>
      <c r="AM709" s="11" t="n"/>
      <c r="AO709">
        <f>IF($E709="","",IF(COUNTIF($E$2:$E709,$E709)=1,1,0))</f>
        <v/>
      </c>
      <c r="AP709">
        <f>IF($AO709=1,SUMPRODUCT(--($AS$2:$AS$1001&lt;$AS709))+1,"")</f>
        <v/>
      </c>
      <c r="AQ709">
        <f>IF($E709="","",IF(OR($V709=TRUE(),$V709="TRUE"),1,0))</f>
        <v/>
      </c>
      <c r="AR709">
        <f>IF($E709="","",IF($AE709="Yes",1,0))</f>
        <v/>
      </c>
      <c r="AS709">
        <f>IF($AO709=1,IFERROR(IF(VALUE($E709)&lt;100000000,VALUE($E709),1000000000),IFERROR(IF(VALUE(MID($E709,2,20))&lt;100000000,VALUE(MID($E709,2,20)),1000000000),1000000000))+ROW()/100000,"")</f>
        <v/>
      </c>
    </row>
    <row r="710">
      <c r="D710">
        <f>IF($E710="","",IFERROR(IF(INDEX('Per Invoice'!$A$2:$A$301,MATCH($E710,'Per Invoice'!$B$2:$B$301,0))=0,"",INDEX('Per Invoice'!$A$2:$A$301,MATCH($E710,'Per Invoice'!$B$2:$B$301,0))),""))</f>
        <v/>
      </c>
      <c r="H710" s="11" t="n"/>
      <c r="R710" s="7">
        <f>IF($E710="","",Q710*Z710/100)</f>
        <v/>
      </c>
      <c r="S710" s="7" t="n"/>
      <c r="Y710" s="7" t="n"/>
      <c r="Z710" s="7" t="n"/>
      <c r="AA710" s="7">
        <f>IF($E710="","",Z710*AF710/100)</f>
        <v/>
      </c>
      <c r="AB710" s="7">
        <f>IF($E710="","",Z710-AA710)</f>
        <v/>
      </c>
      <c r="AC710" s="7">
        <f>IF($E710="","",AB710-R710)</f>
        <v/>
      </c>
      <c r="AF710">
        <f>IF($E710="","",IF($AR710=1,0,IF($AQ710=1,Settings!$C$6,Settings!$C$7))*100)</f>
        <v/>
      </c>
      <c r="AJ710" s="7" t="n"/>
      <c r="AM710" s="11" t="n"/>
      <c r="AO710">
        <f>IF($E710="","",IF(COUNTIF($E$2:$E710,$E710)=1,1,0))</f>
        <v/>
      </c>
      <c r="AP710">
        <f>IF($AO710=1,SUMPRODUCT(--($AS$2:$AS$1001&lt;$AS710))+1,"")</f>
        <v/>
      </c>
      <c r="AQ710">
        <f>IF($E710="","",IF(OR($V710=TRUE(),$V710="TRUE"),1,0))</f>
        <v/>
      </c>
      <c r="AR710">
        <f>IF($E710="","",IF($AE710="Yes",1,0))</f>
        <v/>
      </c>
      <c r="AS710">
        <f>IF($AO710=1,IFERROR(IF(VALUE($E710)&lt;100000000,VALUE($E710),1000000000),IFERROR(IF(VALUE(MID($E710,2,20))&lt;100000000,VALUE(MID($E710,2,20)),1000000000),1000000000))+ROW()/100000,"")</f>
        <v/>
      </c>
    </row>
    <row r="711">
      <c r="D711">
        <f>IF($E711="","",IFERROR(IF(INDEX('Per Invoice'!$A$2:$A$301,MATCH($E711,'Per Invoice'!$B$2:$B$301,0))=0,"",INDEX('Per Invoice'!$A$2:$A$301,MATCH($E711,'Per Invoice'!$B$2:$B$301,0))),""))</f>
        <v/>
      </c>
      <c r="H711" s="11" t="n"/>
      <c r="R711" s="7">
        <f>IF($E711="","",Q711*Z711/100)</f>
        <v/>
      </c>
      <c r="S711" s="7" t="n"/>
      <c r="Y711" s="7" t="n"/>
      <c r="Z711" s="7" t="n"/>
      <c r="AA711" s="7">
        <f>IF($E711="","",Z711*AF711/100)</f>
        <v/>
      </c>
      <c r="AB711" s="7">
        <f>IF($E711="","",Z711-AA711)</f>
        <v/>
      </c>
      <c r="AC711" s="7">
        <f>IF($E711="","",AB711-R711)</f>
        <v/>
      </c>
      <c r="AF711">
        <f>IF($E711="","",IF($AR711=1,0,IF($AQ711=1,Settings!$C$6,Settings!$C$7))*100)</f>
        <v/>
      </c>
      <c r="AJ711" s="7" t="n"/>
      <c r="AM711" s="11" t="n"/>
      <c r="AO711">
        <f>IF($E711="","",IF(COUNTIF($E$2:$E711,$E711)=1,1,0))</f>
        <v/>
      </c>
      <c r="AP711">
        <f>IF($AO711=1,SUMPRODUCT(--($AS$2:$AS$1001&lt;$AS711))+1,"")</f>
        <v/>
      </c>
      <c r="AQ711">
        <f>IF($E711="","",IF(OR($V711=TRUE(),$V711="TRUE"),1,0))</f>
        <v/>
      </c>
      <c r="AR711">
        <f>IF($E711="","",IF($AE711="Yes",1,0))</f>
        <v/>
      </c>
      <c r="AS711">
        <f>IF($AO711=1,IFERROR(IF(VALUE($E711)&lt;100000000,VALUE($E711),1000000000),IFERROR(IF(VALUE(MID($E711,2,20))&lt;100000000,VALUE(MID($E711,2,20)),1000000000),1000000000))+ROW()/100000,"")</f>
        <v/>
      </c>
    </row>
    <row r="712">
      <c r="D712">
        <f>IF($E712="","",IFERROR(IF(INDEX('Per Invoice'!$A$2:$A$301,MATCH($E712,'Per Invoice'!$B$2:$B$301,0))=0,"",INDEX('Per Invoice'!$A$2:$A$301,MATCH($E712,'Per Invoice'!$B$2:$B$301,0))),""))</f>
        <v/>
      </c>
      <c r="H712" s="11" t="n"/>
      <c r="R712" s="7">
        <f>IF($E712="","",Q712*Z712/100)</f>
        <v/>
      </c>
      <c r="S712" s="7" t="n"/>
      <c r="Y712" s="7" t="n"/>
      <c r="Z712" s="7" t="n"/>
      <c r="AA712" s="7">
        <f>IF($E712="","",Z712*AF712/100)</f>
        <v/>
      </c>
      <c r="AB712" s="7">
        <f>IF($E712="","",Z712-AA712)</f>
        <v/>
      </c>
      <c r="AC712" s="7">
        <f>IF($E712="","",AB712-R712)</f>
        <v/>
      </c>
      <c r="AF712">
        <f>IF($E712="","",IF($AR712=1,0,IF($AQ712=1,Settings!$C$6,Settings!$C$7))*100)</f>
        <v/>
      </c>
      <c r="AJ712" s="7" t="n"/>
      <c r="AM712" s="11" t="n"/>
      <c r="AO712">
        <f>IF($E712="","",IF(COUNTIF($E$2:$E712,$E712)=1,1,0))</f>
        <v/>
      </c>
      <c r="AP712">
        <f>IF($AO712=1,SUMPRODUCT(--($AS$2:$AS$1001&lt;$AS712))+1,"")</f>
        <v/>
      </c>
      <c r="AQ712">
        <f>IF($E712="","",IF(OR($V712=TRUE(),$V712="TRUE"),1,0))</f>
        <v/>
      </c>
      <c r="AR712">
        <f>IF($E712="","",IF($AE712="Yes",1,0))</f>
        <v/>
      </c>
      <c r="AS712">
        <f>IF($AO712=1,IFERROR(IF(VALUE($E712)&lt;100000000,VALUE($E712),1000000000),IFERROR(IF(VALUE(MID($E712,2,20))&lt;100000000,VALUE(MID($E712,2,20)),1000000000),1000000000))+ROW()/100000,"")</f>
        <v/>
      </c>
    </row>
    <row r="713">
      <c r="D713">
        <f>IF($E713="","",IFERROR(IF(INDEX('Per Invoice'!$A$2:$A$301,MATCH($E713,'Per Invoice'!$B$2:$B$301,0))=0,"",INDEX('Per Invoice'!$A$2:$A$301,MATCH($E713,'Per Invoice'!$B$2:$B$301,0))),""))</f>
        <v/>
      </c>
      <c r="H713" s="11" t="n"/>
      <c r="R713" s="7">
        <f>IF($E713="","",Q713*Z713/100)</f>
        <v/>
      </c>
      <c r="S713" s="7" t="n"/>
      <c r="Y713" s="7" t="n"/>
      <c r="Z713" s="7" t="n"/>
      <c r="AA713" s="7">
        <f>IF($E713="","",Z713*AF713/100)</f>
        <v/>
      </c>
      <c r="AB713" s="7">
        <f>IF($E713="","",Z713-AA713)</f>
        <v/>
      </c>
      <c r="AC713" s="7">
        <f>IF($E713="","",AB713-R713)</f>
        <v/>
      </c>
      <c r="AF713">
        <f>IF($E713="","",IF($AR713=1,0,IF($AQ713=1,Settings!$C$6,Settings!$C$7))*100)</f>
        <v/>
      </c>
      <c r="AJ713" s="7" t="n"/>
      <c r="AM713" s="11" t="n"/>
      <c r="AO713">
        <f>IF($E713="","",IF(COUNTIF($E$2:$E713,$E713)=1,1,0))</f>
        <v/>
      </c>
      <c r="AP713">
        <f>IF($AO713=1,SUMPRODUCT(--($AS$2:$AS$1001&lt;$AS713))+1,"")</f>
        <v/>
      </c>
      <c r="AQ713">
        <f>IF($E713="","",IF(OR($V713=TRUE(),$V713="TRUE"),1,0))</f>
        <v/>
      </c>
      <c r="AR713">
        <f>IF($E713="","",IF($AE713="Yes",1,0))</f>
        <v/>
      </c>
      <c r="AS713">
        <f>IF($AO713=1,IFERROR(IF(VALUE($E713)&lt;100000000,VALUE($E713),1000000000),IFERROR(IF(VALUE(MID($E713,2,20))&lt;100000000,VALUE(MID($E713,2,20)),1000000000),1000000000))+ROW()/100000,"")</f>
        <v/>
      </c>
    </row>
    <row r="714">
      <c r="D714">
        <f>IF($E714="","",IFERROR(IF(INDEX('Per Invoice'!$A$2:$A$301,MATCH($E714,'Per Invoice'!$B$2:$B$301,0))=0,"",INDEX('Per Invoice'!$A$2:$A$301,MATCH($E714,'Per Invoice'!$B$2:$B$301,0))),""))</f>
        <v/>
      </c>
      <c r="H714" s="11" t="n"/>
      <c r="R714" s="7">
        <f>IF($E714="","",Q714*Z714/100)</f>
        <v/>
      </c>
      <c r="S714" s="7" t="n"/>
      <c r="Y714" s="7" t="n"/>
      <c r="Z714" s="7" t="n"/>
      <c r="AA714" s="7">
        <f>IF($E714="","",Z714*AF714/100)</f>
        <v/>
      </c>
      <c r="AB714" s="7">
        <f>IF($E714="","",Z714-AA714)</f>
        <v/>
      </c>
      <c r="AC714" s="7">
        <f>IF($E714="","",AB714-R714)</f>
        <v/>
      </c>
      <c r="AF714">
        <f>IF($E714="","",IF($AR714=1,0,IF($AQ714=1,Settings!$C$6,Settings!$C$7))*100)</f>
        <v/>
      </c>
      <c r="AJ714" s="7" t="n"/>
      <c r="AM714" s="11" t="n"/>
      <c r="AO714">
        <f>IF($E714="","",IF(COUNTIF($E$2:$E714,$E714)=1,1,0))</f>
        <v/>
      </c>
      <c r="AP714">
        <f>IF($AO714=1,SUMPRODUCT(--($AS$2:$AS$1001&lt;$AS714))+1,"")</f>
        <v/>
      </c>
      <c r="AQ714">
        <f>IF($E714="","",IF(OR($V714=TRUE(),$V714="TRUE"),1,0))</f>
        <v/>
      </c>
      <c r="AR714">
        <f>IF($E714="","",IF($AE714="Yes",1,0))</f>
        <v/>
      </c>
      <c r="AS714">
        <f>IF($AO714=1,IFERROR(IF(VALUE($E714)&lt;100000000,VALUE($E714),1000000000),IFERROR(IF(VALUE(MID($E714,2,20))&lt;100000000,VALUE(MID($E714,2,20)),1000000000),1000000000))+ROW()/100000,"")</f>
        <v/>
      </c>
    </row>
    <row r="715">
      <c r="D715">
        <f>IF($E715="","",IFERROR(IF(INDEX('Per Invoice'!$A$2:$A$301,MATCH($E715,'Per Invoice'!$B$2:$B$301,0))=0,"",INDEX('Per Invoice'!$A$2:$A$301,MATCH($E715,'Per Invoice'!$B$2:$B$301,0))),""))</f>
        <v/>
      </c>
      <c r="H715" s="11" t="n"/>
      <c r="R715" s="7">
        <f>IF($E715="","",Q715*Z715/100)</f>
        <v/>
      </c>
      <c r="S715" s="7" t="n"/>
      <c r="Y715" s="7" t="n"/>
      <c r="Z715" s="7" t="n"/>
      <c r="AA715" s="7">
        <f>IF($E715="","",Z715*AF715/100)</f>
        <v/>
      </c>
      <c r="AB715" s="7">
        <f>IF($E715="","",Z715-AA715)</f>
        <v/>
      </c>
      <c r="AC715" s="7">
        <f>IF($E715="","",AB715-R715)</f>
        <v/>
      </c>
      <c r="AF715">
        <f>IF($E715="","",IF($AR715=1,0,IF($AQ715=1,Settings!$C$6,Settings!$C$7))*100)</f>
        <v/>
      </c>
      <c r="AJ715" s="7" t="n"/>
      <c r="AM715" s="11" t="n"/>
      <c r="AO715">
        <f>IF($E715="","",IF(COUNTIF($E$2:$E715,$E715)=1,1,0))</f>
        <v/>
      </c>
      <c r="AP715">
        <f>IF($AO715=1,SUMPRODUCT(--($AS$2:$AS$1001&lt;$AS715))+1,"")</f>
        <v/>
      </c>
      <c r="AQ715">
        <f>IF($E715="","",IF(OR($V715=TRUE(),$V715="TRUE"),1,0))</f>
        <v/>
      </c>
      <c r="AR715">
        <f>IF($E715="","",IF($AE715="Yes",1,0))</f>
        <v/>
      </c>
      <c r="AS715">
        <f>IF($AO715=1,IFERROR(IF(VALUE($E715)&lt;100000000,VALUE($E715),1000000000),IFERROR(IF(VALUE(MID($E715,2,20))&lt;100000000,VALUE(MID($E715,2,20)),1000000000),1000000000))+ROW()/100000,"")</f>
        <v/>
      </c>
    </row>
    <row r="716">
      <c r="D716">
        <f>IF($E716="","",IFERROR(IF(INDEX('Per Invoice'!$A$2:$A$301,MATCH($E716,'Per Invoice'!$B$2:$B$301,0))=0,"",INDEX('Per Invoice'!$A$2:$A$301,MATCH($E716,'Per Invoice'!$B$2:$B$301,0))),""))</f>
        <v/>
      </c>
      <c r="H716" s="11" t="n"/>
      <c r="R716" s="7">
        <f>IF($E716="","",Q716*Z716/100)</f>
        <v/>
      </c>
      <c r="S716" s="7" t="n"/>
      <c r="Y716" s="7" t="n"/>
      <c r="Z716" s="7" t="n"/>
      <c r="AA716" s="7">
        <f>IF($E716="","",Z716*AF716/100)</f>
        <v/>
      </c>
      <c r="AB716" s="7">
        <f>IF($E716="","",Z716-AA716)</f>
        <v/>
      </c>
      <c r="AC716" s="7">
        <f>IF($E716="","",AB716-R716)</f>
        <v/>
      </c>
      <c r="AF716">
        <f>IF($E716="","",IF($AR716=1,0,IF($AQ716=1,Settings!$C$6,Settings!$C$7))*100)</f>
        <v/>
      </c>
      <c r="AJ716" s="7" t="n"/>
      <c r="AM716" s="11" t="n"/>
      <c r="AO716">
        <f>IF($E716="","",IF(COUNTIF($E$2:$E716,$E716)=1,1,0))</f>
        <v/>
      </c>
      <c r="AP716">
        <f>IF($AO716=1,SUMPRODUCT(--($AS$2:$AS$1001&lt;$AS716))+1,"")</f>
        <v/>
      </c>
      <c r="AQ716">
        <f>IF($E716="","",IF(OR($V716=TRUE(),$V716="TRUE"),1,0))</f>
        <v/>
      </c>
      <c r="AR716">
        <f>IF($E716="","",IF($AE716="Yes",1,0))</f>
        <v/>
      </c>
      <c r="AS716">
        <f>IF($AO716=1,IFERROR(IF(VALUE($E716)&lt;100000000,VALUE($E716),1000000000),IFERROR(IF(VALUE(MID($E716,2,20))&lt;100000000,VALUE(MID($E716,2,20)),1000000000),1000000000))+ROW()/100000,"")</f>
        <v/>
      </c>
    </row>
    <row r="717">
      <c r="D717">
        <f>IF($E717="","",IFERROR(IF(INDEX('Per Invoice'!$A$2:$A$301,MATCH($E717,'Per Invoice'!$B$2:$B$301,0))=0,"",INDEX('Per Invoice'!$A$2:$A$301,MATCH($E717,'Per Invoice'!$B$2:$B$301,0))),""))</f>
        <v/>
      </c>
      <c r="H717" s="11" t="n"/>
      <c r="R717" s="7">
        <f>IF($E717="","",Q717*Z717/100)</f>
        <v/>
      </c>
      <c r="S717" s="7" t="n"/>
      <c r="Y717" s="7" t="n"/>
      <c r="Z717" s="7" t="n"/>
      <c r="AA717" s="7">
        <f>IF($E717="","",Z717*AF717/100)</f>
        <v/>
      </c>
      <c r="AB717" s="7">
        <f>IF($E717="","",Z717-AA717)</f>
        <v/>
      </c>
      <c r="AC717" s="7">
        <f>IF($E717="","",AB717-R717)</f>
        <v/>
      </c>
      <c r="AF717">
        <f>IF($E717="","",IF($AR717=1,0,IF($AQ717=1,Settings!$C$6,Settings!$C$7))*100)</f>
        <v/>
      </c>
      <c r="AJ717" s="7" t="n"/>
      <c r="AM717" s="11" t="n"/>
      <c r="AO717">
        <f>IF($E717="","",IF(COUNTIF($E$2:$E717,$E717)=1,1,0))</f>
        <v/>
      </c>
      <c r="AP717">
        <f>IF($AO717=1,SUMPRODUCT(--($AS$2:$AS$1001&lt;$AS717))+1,"")</f>
        <v/>
      </c>
      <c r="AQ717">
        <f>IF($E717="","",IF(OR($V717=TRUE(),$V717="TRUE"),1,0))</f>
        <v/>
      </c>
      <c r="AR717">
        <f>IF($E717="","",IF($AE717="Yes",1,0))</f>
        <v/>
      </c>
      <c r="AS717">
        <f>IF($AO717=1,IFERROR(IF(VALUE($E717)&lt;100000000,VALUE($E717),1000000000),IFERROR(IF(VALUE(MID($E717,2,20))&lt;100000000,VALUE(MID($E717,2,20)),1000000000),1000000000))+ROW()/100000,"")</f>
        <v/>
      </c>
    </row>
    <row r="718">
      <c r="D718">
        <f>IF($E718="","",IFERROR(IF(INDEX('Per Invoice'!$A$2:$A$301,MATCH($E718,'Per Invoice'!$B$2:$B$301,0))=0,"",INDEX('Per Invoice'!$A$2:$A$301,MATCH($E718,'Per Invoice'!$B$2:$B$301,0))),""))</f>
        <v/>
      </c>
      <c r="H718" s="11" t="n"/>
      <c r="R718" s="7">
        <f>IF($E718="","",Q718*Z718/100)</f>
        <v/>
      </c>
      <c r="S718" s="7" t="n"/>
      <c r="Y718" s="7" t="n"/>
      <c r="Z718" s="7" t="n"/>
      <c r="AA718" s="7">
        <f>IF($E718="","",Z718*AF718/100)</f>
        <v/>
      </c>
      <c r="AB718" s="7">
        <f>IF($E718="","",Z718-AA718)</f>
        <v/>
      </c>
      <c r="AC718" s="7">
        <f>IF($E718="","",AB718-R718)</f>
        <v/>
      </c>
      <c r="AF718">
        <f>IF($E718="","",IF($AR718=1,0,IF($AQ718=1,Settings!$C$6,Settings!$C$7))*100)</f>
        <v/>
      </c>
      <c r="AJ718" s="7" t="n"/>
      <c r="AM718" s="11" t="n"/>
      <c r="AO718">
        <f>IF($E718="","",IF(COUNTIF($E$2:$E718,$E718)=1,1,0))</f>
        <v/>
      </c>
      <c r="AP718">
        <f>IF($AO718=1,SUMPRODUCT(--($AS$2:$AS$1001&lt;$AS718))+1,"")</f>
        <v/>
      </c>
      <c r="AQ718">
        <f>IF($E718="","",IF(OR($V718=TRUE(),$V718="TRUE"),1,0))</f>
        <v/>
      </c>
      <c r="AR718">
        <f>IF($E718="","",IF($AE718="Yes",1,0))</f>
        <v/>
      </c>
      <c r="AS718">
        <f>IF($AO718=1,IFERROR(IF(VALUE($E718)&lt;100000000,VALUE($E718),1000000000),IFERROR(IF(VALUE(MID($E718,2,20))&lt;100000000,VALUE(MID($E718,2,20)),1000000000),1000000000))+ROW()/100000,"")</f>
        <v/>
      </c>
    </row>
    <row r="719">
      <c r="D719">
        <f>IF($E719="","",IFERROR(IF(INDEX('Per Invoice'!$A$2:$A$301,MATCH($E719,'Per Invoice'!$B$2:$B$301,0))=0,"",INDEX('Per Invoice'!$A$2:$A$301,MATCH($E719,'Per Invoice'!$B$2:$B$301,0))),""))</f>
        <v/>
      </c>
      <c r="H719" s="11" t="n"/>
      <c r="R719" s="7">
        <f>IF($E719="","",Q719*Z719/100)</f>
        <v/>
      </c>
      <c r="S719" s="7" t="n"/>
      <c r="Y719" s="7" t="n"/>
      <c r="Z719" s="7" t="n"/>
      <c r="AA719" s="7">
        <f>IF($E719="","",Z719*AF719/100)</f>
        <v/>
      </c>
      <c r="AB719" s="7">
        <f>IF($E719="","",Z719-AA719)</f>
        <v/>
      </c>
      <c r="AC719" s="7">
        <f>IF($E719="","",AB719-R719)</f>
        <v/>
      </c>
      <c r="AF719">
        <f>IF($E719="","",IF($AR719=1,0,IF($AQ719=1,Settings!$C$6,Settings!$C$7))*100)</f>
        <v/>
      </c>
      <c r="AJ719" s="7" t="n"/>
      <c r="AM719" s="11" t="n"/>
      <c r="AO719">
        <f>IF($E719="","",IF(COUNTIF($E$2:$E719,$E719)=1,1,0))</f>
        <v/>
      </c>
      <c r="AP719">
        <f>IF($AO719=1,SUMPRODUCT(--($AS$2:$AS$1001&lt;$AS719))+1,"")</f>
        <v/>
      </c>
      <c r="AQ719">
        <f>IF($E719="","",IF(OR($V719=TRUE(),$V719="TRUE"),1,0))</f>
        <v/>
      </c>
      <c r="AR719">
        <f>IF($E719="","",IF($AE719="Yes",1,0))</f>
        <v/>
      </c>
      <c r="AS719">
        <f>IF($AO719=1,IFERROR(IF(VALUE($E719)&lt;100000000,VALUE($E719),1000000000),IFERROR(IF(VALUE(MID($E719,2,20))&lt;100000000,VALUE(MID($E719,2,20)),1000000000),1000000000))+ROW()/100000,"")</f>
        <v/>
      </c>
    </row>
    <row r="720">
      <c r="D720">
        <f>IF($E720="","",IFERROR(IF(INDEX('Per Invoice'!$A$2:$A$301,MATCH($E720,'Per Invoice'!$B$2:$B$301,0))=0,"",INDEX('Per Invoice'!$A$2:$A$301,MATCH($E720,'Per Invoice'!$B$2:$B$301,0))),""))</f>
        <v/>
      </c>
      <c r="H720" s="11" t="n"/>
      <c r="R720" s="7">
        <f>IF($E720="","",Q720*Z720/100)</f>
        <v/>
      </c>
      <c r="S720" s="7" t="n"/>
      <c r="Y720" s="7" t="n"/>
      <c r="Z720" s="7" t="n"/>
      <c r="AA720" s="7">
        <f>IF($E720="","",Z720*AF720/100)</f>
        <v/>
      </c>
      <c r="AB720" s="7">
        <f>IF($E720="","",Z720-AA720)</f>
        <v/>
      </c>
      <c r="AC720" s="7">
        <f>IF($E720="","",AB720-R720)</f>
        <v/>
      </c>
      <c r="AF720">
        <f>IF($E720="","",IF($AR720=1,0,IF($AQ720=1,Settings!$C$6,Settings!$C$7))*100)</f>
        <v/>
      </c>
      <c r="AJ720" s="7" t="n"/>
      <c r="AM720" s="11" t="n"/>
      <c r="AO720">
        <f>IF($E720="","",IF(COUNTIF($E$2:$E720,$E720)=1,1,0))</f>
        <v/>
      </c>
      <c r="AP720">
        <f>IF($AO720=1,SUMPRODUCT(--($AS$2:$AS$1001&lt;$AS720))+1,"")</f>
        <v/>
      </c>
      <c r="AQ720">
        <f>IF($E720="","",IF(OR($V720=TRUE(),$V720="TRUE"),1,0))</f>
        <v/>
      </c>
      <c r="AR720">
        <f>IF($E720="","",IF($AE720="Yes",1,0))</f>
        <v/>
      </c>
      <c r="AS720">
        <f>IF($AO720=1,IFERROR(IF(VALUE($E720)&lt;100000000,VALUE($E720),1000000000),IFERROR(IF(VALUE(MID($E720,2,20))&lt;100000000,VALUE(MID($E720,2,20)),1000000000),1000000000))+ROW()/100000,"")</f>
        <v/>
      </c>
    </row>
    <row r="721">
      <c r="D721">
        <f>IF($E721="","",IFERROR(IF(INDEX('Per Invoice'!$A$2:$A$301,MATCH($E721,'Per Invoice'!$B$2:$B$301,0))=0,"",INDEX('Per Invoice'!$A$2:$A$301,MATCH($E721,'Per Invoice'!$B$2:$B$301,0))),""))</f>
        <v/>
      </c>
      <c r="H721" s="11" t="n"/>
      <c r="R721" s="7">
        <f>IF($E721="","",Q721*Z721/100)</f>
        <v/>
      </c>
      <c r="S721" s="7" t="n"/>
      <c r="Y721" s="7" t="n"/>
      <c r="Z721" s="7" t="n"/>
      <c r="AA721" s="7">
        <f>IF($E721="","",Z721*AF721/100)</f>
        <v/>
      </c>
      <c r="AB721" s="7">
        <f>IF($E721="","",Z721-AA721)</f>
        <v/>
      </c>
      <c r="AC721" s="7">
        <f>IF($E721="","",AB721-R721)</f>
        <v/>
      </c>
      <c r="AF721">
        <f>IF($E721="","",IF($AR721=1,0,IF($AQ721=1,Settings!$C$6,Settings!$C$7))*100)</f>
        <v/>
      </c>
      <c r="AJ721" s="7" t="n"/>
      <c r="AM721" s="11" t="n"/>
      <c r="AO721">
        <f>IF($E721="","",IF(COUNTIF($E$2:$E721,$E721)=1,1,0))</f>
        <v/>
      </c>
      <c r="AP721">
        <f>IF($AO721=1,SUMPRODUCT(--($AS$2:$AS$1001&lt;$AS721))+1,"")</f>
        <v/>
      </c>
      <c r="AQ721">
        <f>IF($E721="","",IF(OR($V721=TRUE(),$V721="TRUE"),1,0))</f>
        <v/>
      </c>
      <c r="AR721">
        <f>IF($E721="","",IF($AE721="Yes",1,0))</f>
        <v/>
      </c>
      <c r="AS721">
        <f>IF($AO721=1,IFERROR(IF(VALUE($E721)&lt;100000000,VALUE($E721),1000000000),IFERROR(IF(VALUE(MID($E721,2,20))&lt;100000000,VALUE(MID($E721,2,20)),1000000000),1000000000))+ROW()/100000,"")</f>
        <v/>
      </c>
    </row>
    <row r="722">
      <c r="D722">
        <f>IF($E722="","",IFERROR(IF(INDEX('Per Invoice'!$A$2:$A$301,MATCH($E722,'Per Invoice'!$B$2:$B$301,0))=0,"",INDEX('Per Invoice'!$A$2:$A$301,MATCH($E722,'Per Invoice'!$B$2:$B$301,0))),""))</f>
        <v/>
      </c>
      <c r="H722" s="11" t="n"/>
      <c r="R722" s="7">
        <f>IF($E722="","",Q722*Z722/100)</f>
        <v/>
      </c>
      <c r="S722" s="7" t="n"/>
      <c r="Y722" s="7" t="n"/>
      <c r="Z722" s="7" t="n"/>
      <c r="AA722" s="7">
        <f>IF($E722="","",Z722*AF722/100)</f>
        <v/>
      </c>
      <c r="AB722" s="7">
        <f>IF($E722="","",Z722-AA722)</f>
        <v/>
      </c>
      <c r="AC722" s="7">
        <f>IF($E722="","",AB722-R722)</f>
        <v/>
      </c>
      <c r="AF722">
        <f>IF($E722="","",IF($AR722=1,0,IF($AQ722=1,Settings!$C$6,Settings!$C$7))*100)</f>
        <v/>
      </c>
      <c r="AJ722" s="7" t="n"/>
      <c r="AM722" s="11" t="n"/>
      <c r="AO722">
        <f>IF($E722="","",IF(COUNTIF($E$2:$E722,$E722)=1,1,0))</f>
        <v/>
      </c>
      <c r="AP722">
        <f>IF($AO722=1,SUMPRODUCT(--($AS$2:$AS$1001&lt;$AS722))+1,"")</f>
        <v/>
      </c>
      <c r="AQ722">
        <f>IF($E722="","",IF(OR($V722=TRUE(),$V722="TRUE"),1,0))</f>
        <v/>
      </c>
      <c r="AR722">
        <f>IF($E722="","",IF($AE722="Yes",1,0))</f>
        <v/>
      </c>
      <c r="AS722">
        <f>IF($AO722=1,IFERROR(IF(VALUE($E722)&lt;100000000,VALUE($E722),1000000000),IFERROR(IF(VALUE(MID($E722,2,20))&lt;100000000,VALUE(MID($E722,2,20)),1000000000),1000000000))+ROW()/100000,"")</f>
        <v/>
      </c>
    </row>
    <row r="723">
      <c r="D723">
        <f>IF($E723="","",IFERROR(IF(INDEX('Per Invoice'!$A$2:$A$301,MATCH($E723,'Per Invoice'!$B$2:$B$301,0))=0,"",INDEX('Per Invoice'!$A$2:$A$301,MATCH($E723,'Per Invoice'!$B$2:$B$301,0))),""))</f>
        <v/>
      </c>
      <c r="H723" s="11" t="n"/>
      <c r="R723" s="7">
        <f>IF($E723="","",Q723*Z723/100)</f>
        <v/>
      </c>
      <c r="S723" s="7" t="n"/>
      <c r="Y723" s="7" t="n"/>
      <c r="Z723" s="7" t="n"/>
      <c r="AA723" s="7">
        <f>IF($E723="","",Z723*AF723/100)</f>
        <v/>
      </c>
      <c r="AB723" s="7">
        <f>IF($E723="","",Z723-AA723)</f>
        <v/>
      </c>
      <c r="AC723" s="7">
        <f>IF($E723="","",AB723-R723)</f>
        <v/>
      </c>
      <c r="AF723">
        <f>IF($E723="","",IF($AR723=1,0,IF($AQ723=1,Settings!$C$6,Settings!$C$7))*100)</f>
        <v/>
      </c>
      <c r="AJ723" s="7" t="n"/>
      <c r="AM723" s="11" t="n"/>
      <c r="AO723">
        <f>IF($E723="","",IF(COUNTIF($E$2:$E723,$E723)=1,1,0))</f>
        <v/>
      </c>
      <c r="AP723">
        <f>IF($AO723=1,SUMPRODUCT(--($AS$2:$AS$1001&lt;$AS723))+1,"")</f>
        <v/>
      </c>
      <c r="AQ723">
        <f>IF($E723="","",IF(OR($V723=TRUE(),$V723="TRUE"),1,0))</f>
        <v/>
      </c>
      <c r="AR723">
        <f>IF($E723="","",IF($AE723="Yes",1,0))</f>
        <v/>
      </c>
      <c r="AS723">
        <f>IF($AO723=1,IFERROR(IF(VALUE($E723)&lt;100000000,VALUE($E723),1000000000),IFERROR(IF(VALUE(MID($E723,2,20))&lt;100000000,VALUE(MID($E723,2,20)),1000000000),1000000000))+ROW()/100000,"")</f>
        <v/>
      </c>
    </row>
    <row r="724">
      <c r="D724">
        <f>IF($E724="","",IFERROR(IF(INDEX('Per Invoice'!$A$2:$A$301,MATCH($E724,'Per Invoice'!$B$2:$B$301,0))=0,"",INDEX('Per Invoice'!$A$2:$A$301,MATCH($E724,'Per Invoice'!$B$2:$B$301,0))),""))</f>
        <v/>
      </c>
      <c r="H724" s="11" t="n"/>
      <c r="R724" s="7">
        <f>IF($E724="","",Q724*Z724/100)</f>
        <v/>
      </c>
      <c r="S724" s="7" t="n"/>
      <c r="Y724" s="7" t="n"/>
      <c r="Z724" s="7" t="n"/>
      <c r="AA724" s="7">
        <f>IF($E724="","",Z724*AF724/100)</f>
        <v/>
      </c>
      <c r="AB724" s="7">
        <f>IF($E724="","",Z724-AA724)</f>
        <v/>
      </c>
      <c r="AC724" s="7">
        <f>IF($E724="","",AB724-R724)</f>
        <v/>
      </c>
      <c r="AF724">
        <f>IF($E724="","",IF($AR724=1,0,IF($AQ724=1,Settings!$C$6,Settings!$C$7))*100)</f>
        <v/>
      </c>
      <c r="AJ724" s="7" t="n"/>
      <c r="AM724" s="11" t="n"/>
      <c r="AO724">
        <f>IF($E724="","",IF(COUNTIF($E$2:$E724,$E724)=1,1,0))</f>
        <v/>
      </c>
      <c r="AP724">
        <f>IF($AO724=1,SUMPRODUCT(--($AS$2:$AS$1001&lt;$AS724))+1,"")</f>
        <v/>
      </c>
      <c r="AQ724">
        <f>IF($E724="","",IF(OR($V724=TRUE(),$V724="TRUE"),1,0))</f>
        <v/>
      </c>
      <c r="AR724">
        <f>IF($E724="","",IF($AE724="Yes",1,0))</f>
        <v/>
      </c>
      <c r="AS724">
        <f>IF($AO724=1,IFERROR(IF(VALUE($E724)&lt;100000000,VALUE($E724),1000000000),IFERROR(IF(VALUE(MID($E724,2,20))&lt;100000000,VALUE(MID($E724,2,20)),1000000000),1000000000))+ROW()/100000,"")</f>
        <v/>
      </c>
    </row>
    <row r="725">
      <c r="D725">
        <f>IF($E725="","",IFERROR(IF(INDEX('Per Invoice'!$A$2:$A$301,MATCH($E725,'Per Invoice'!$B$2:$B$301,0))=0,"",INDEX('Per Invoice'!$A$2:$A$301,MATCH($E725,'Per Invoice'!$B$2:$B$301,0))),""))</f>
        <v/>
      </c>
      <c r="H725" s="11" t="n"/>
      <c r="R725" s="7">
        <f>IF($E725="","",Q725*Z725/100)</f>
        <v/>
      </c>
      <c r="S725" s="7" t="n"/>
      <c r="Y725" s="7" t="n"/>
      <c r="Z725" s="7" t="n"/>
      <c r="AA725" s="7">
        <f>IF($E725="","",Z725*AF725/100)</f>
        <v/>
      </c>
      <c r="AB725" s="7">
        <f>IF($E725="","",Z725-AA725)</f>
        <v/>
      </c>
      <c r="AC725" s="7">
        <f>IF($E725="","",AB725-R725)</f>
        <v/>
      </c>
      <c r="AF725">
        <f>IF($E725="","",IF($AR725=1,0,IF($AQ725=1,Settings!$C$6,Settings!$C$7))*100)</f>
        <v/>
      </c>
      <c r="AJ725" s="7" t="n"/>
      <c r="AM725" s="11" t="n"/>
      <c r="AO725">
        <f>IF($E725="","",IF(COUNTIF($E$2:$E725,$E725)=1,1,0))</f>
        <v/>
      </c>
      <c r="AP725">
        <f>IF($AO725=1,SUMPRODUCT(--($AS$2:$AS$1001&lt;$AS725))+1,"")</f>
        <v/>
      </c>
      <c r="AQ725">
        <f>IF($E725="","",IF(OR($V725=TRUE(),$V725="TRUE"),1,0))</f>
        <v/>
      </c>
      <c r="AR725">
        <f>IF($E725="","",IF($AE725="Yes",1,0))</f>
        <v/>
      </c>
      <c r="AS725">
        <f>IF($AO725=1,IFERROR(IF(VALUE($E725)&lt;100000000,VALUE($E725),1000000000),IFERROR(IF(VALUE(MID($E725,2,20))&lt;100000000,VALUE(MID($E725,2,20)),1000000000),1000000000))+ROW()/100000,"")</f>
        <v/>
      </c>
    </row>
    <row r="726">
      <c r="D726">
        <f>IF($E726="","",IFERROR(IF(INDEX('Per Invoice'!$A$2:$A$301,MATCH($E726,'Per Invoice'!$B$2:$B$301,0))=0,"",INDEX('Per Invoice'!$A$2:$A$301,MATCH($E726,'Per Invoice'!$B$2:$B$301,0))),""))</f>
        <v/>
      </c>
      <c r="H726" s="11" t="n"/>
      <c r="R726" s="7">
        <f>IF($E726="","",Q726*Z726/100)</f>
        <v/>
      </c>
      <c r="S726" s="7" t="n"/>
      <c r="Y726" s="7" t="n"/>
      <c r="Z726" s="7" t="n"/>
      <c r="AA726" s="7">
        <f>IF($E726="","",Z726*AF726/100)</f>
        <v/>
      </c>
      <c r="AB726" s="7">
        <f>IF($E726="","",Z726-AA726)</f>
        <v/>
      </c>
      <c r="AC726" s="7">
        <f>IF($E726="","",AB726-R726)</f>
        <v/>
      </c>
      <c r="AF726">
        <f>IF($E726="","",IF($AR726=1,0,IF($AQ726=1,Settings!$C$6,Settings!$C$7))*100)</f>
        <v/>
      </c>
      <c r="AJ726" s="7" t="n"/>
      <c r="AM726" s="11" t="n"/>
      <c r="AO726">
        <f>IF($E726="","",IF(COUNTIF($E$2:$E726,$E726)=1,1,0))</f>
        <v/>
      </c>
      <c r="AP726">
        <f>IF($AO726=1,SUMPRODUCT(--($AS$2:$AS$1001&lt;$AS726))+1,"")</f>
        <v/>
      </c>
      <c r="AQ726">
        <f>IF($E726="","",IF(OR($V726=TRUE(),$V726="TRUE"),1,0))</f>
        <v/>
      </c>
      <c r="AR726">
        <f>IF($E726="","",IF($AE726="Yes",1,0))</f>
        <v/>
      </c>
      <c r="AS726">
        <f>IF($AO726=1,IFERROR(IF(VALUE($E726)&lt;100000000,VALUE($E726),1000000000),IFERROR(IF(VALUE(MID($E726,2,20))&lt;100000000,VALUE(MID($E726,2,20)),1000000000),1000000000))+ROW()/100000,"")</f>
        <v/>
      </c>
    </row>
    <row r="727">
      <c r="D727">
        <f>IF($E727="","",IFERROR(IF(INDEX('Per Invoice'!$A$2:$A$301,MATCH($E727,'Per Invoice'!$B$2:$B$301,0))=0,"",INDEX('Per Invoice'!$A$2:$A$301,MATCH($E727,'Per Invoice'!$B$2:$B$301,0))),""))</f>
        <v/>
      </c>
      <c r="H727" s="11" t="n"/>
      <c r="R727" s="7">
        <f>IF($E727="","",Q727*Z727/100)</f>
        <v/>
      </c>
      <c r="S727" s="7" t="n"/>
      <c r="Y727" s="7" t="n"/>
      <c r="Z727" s="7" t="n"/>
      <c r="AA727" s="7">
        <f>IF($E727="","",Z727*AF727/100)</f>
        <v/>
      </c>
      <c r="AB727" s="7">
        <f>IF($E727="","",Z727-AA727)</f>
        <v/>
      </c>
      <c r="AC727" s="7">
        <f>IF($E727="","",AB727-R727)</f>
        <v/>
      </c>
      <c r="AF727">
        <f>IF($E727="","",IF($AR727=1,0,IF($AQ727=1,Settings!$C$6,Settings!$C$7))*100)</f>
        <v/>
      </c>
      <c r="AJ727" s="7" t="n"/>
      <c r="AM727" s="11" t="n"/>
      <c r="AO727">
        <f>IF($E727="","",IF(COUNTIF($E$2:$E727,$E727)=1,1,0))</f>
        <v/>
      </c>
      <c r="AP727">
        <f>IF($AO727=1,SUMPRODUCT(--($AS$2:$AS$1001&lt;$AS727))+1,"")</f>
        <v/>
      </c>
      <c r="AQ727">
        <f>IF($E727="","",IF(OR($V727=TRUE(),$V727="TRUE"),1,0))</f>
        <v/>
      </c>
      <c r="AR727">
        <f>IF($E727="","",IF($AE727="Yes",1,0))</f>
        <v/>
      </c>
      <c r="AS727">
        <f>IF($AO727=1,IFERROR(IF(VALUE($E727)&lt;100000000,VALUE($E727),1000000000),IFERROR(IF(VALUE(MID($E727,2,20))&lt;100000000,VALUE(MID($E727,2,20)),1000000000),1000000000))+ROW()/100000,"")</f>
        <v/>
      </c>
    </row>
    <row r="728">
      <c r="D728">
        <f>IF($E728="","",IFERROR(IF(INDEX('Per Invoice'!$A$2:$A$301,MATCH($E728,'Per Invoice'!$B$2:$B$301,0))=0,"",INDEX('Per Invoice'!$A$2:$A$301,MATCH($E728,'Per Invoice'!$B$2:$B$301,0))),""))</f>
        <v/>
      </c>
      <c r="H728" s="11" t="n"/>
      <c r="R728" s="7">
        <f>IF($E728="","",Q728*Z728/100)</f>
        <v/>
      </c>
      <c r="S728" s="7" t="n"/>
      <c r="Y728" s="7" t="n"/>
      <c r="Z728" s="7" t="n"/>
      <c r="AA728" s="7">
        <f>IF($E728="","",Z728*AF728/100)</f>
        <v/>
      </c>
      <c r="AB728" s="7">
        <f>IF($E728="","",Z728-AA728)</f>
        <v/>
      </c>
      <c r="AC728" s="7">
        <f>IF($E728="","",AB728-R728)</f>
        <v/>
      </c>
      <c r="AF728">
        <f>IF($E728="","",IF($AR728=1,0,IF($AQ728=1,Settings!$C$6,Settings!$C$7))*100)</f>
        <v/>
      </c>
      <c r="AJ728" s="7" t="n"/>
      <c r="AM728" s="11" t="n"/>
      <c r="AO728">
        <f>IF($E728="","",IF(COUNTIF($E$2:$E728,$E728)=1,1,0))</f>
        <v/>
      </c>
      <c r="AP728">
        <f>IF($AO728=1,SUMPRODUCT(--($AS$2:$AS$1001&lt;$AS728))+1,"")</f>
        <v/>
      </c>
      <c r="AQ728">
        <f>IF($E728="","",IF(OR($V728=TRUE(),$V728="TRUE"),1,0))</f>
        <v/>
      </c>
      <c r="AR728">
        <f>IF($E728="","",IF($AE728="Yes",1,0))</f>
        <v/>
      </c>
      <c r="AS728">
        <f>IF($AO728=1,IFERROR(IF(VALUE($E728)&lt;100000000,VALUE($E728),1000000000),IFERROR(IF(VALUE(MID($E728,2,20))&lt;100000000,VALUE(MID($E728,2,20)),1000000000),1000000000))+ROW()/100000,"")</f>
        <v/>
      </c>
    </row>
    <row r="729">
      <c r="D729">
        <f>IF($E729="","",IFERROR(IF(INDEX('Per Invoice'!$A$2:$A$301,MATCH($E729,'Per Invoice'!$B$2:$B$301,0))=0,"",INDEX('Per Invoice'!$A$2:$A$301,MATCH($E729,'Per Invoice'!$B$2:$B$301,0))),""))</f>
        <v/>
      </c>
      <c r="H729" s="11" t="n"/>
      <c r="R729" s="7">
        <f>IF($E729="","",Q729*Z729/100)</f>
        <v/>
      </c>
      <c r="S729" s="7" t="n"/>
      <c r="Y729" s="7" t="n"/>
      <c r="Z729" s="7" t="n"/>
      <c r="AA729" s="7">
        <f>IF($E729="","",Z729*AF729/100)</f>
        <v/>
      </c>
      <c r="AB729" s="7">
        <f>IF($E729="","",Z729-AA729)</f>
        <v/>
      </c>
      <c r="AC729" s="7">
        <f>IF($E729="","",AB729-R729)</f>
        <v/>
      </c>
      <c r="AF729">
        <f>IF($E729="","",IF($AR729=1,0,IF($AQ729=1,Settings!$C$6,Settings!$C$7))*100)</f>
        <v/>
      </c>
      <c r="AJ729" s="7" t="n"/>
      <c r="AM729" s="11" t="n"/>
      <c r="AO729">
        <f>IF($E729="","",IF(COUNTIF($E$2:$E729,$E729)=1,1,0))</f>
        <v/>
      </c>
      <c r="AP729">
        <f>IF($AO729=1,SUMPRODUCT(--($AS$2:$AS$1001&lt;$AS729))+1,"")</f>
        <v/>
      </c>
      <c r="AQ729">
        <f>IF($E729="","",IF(OR($V729=TRUE(),$V729="TRUE"),1,0))</f>
        <v/>
      </c>
      <c r="AR729">
        <f>IF($E729="","",IF($AE729="Yes",1,0))</f>
        <v/>
      </c>
      <c r="AS729">
        <f>IF($AO729=1,IFERROR(IF(VALUE($E729)&lt;100000000,VALUE($E729),1000000000),IFERROR(IF(VALUE(MID($E729,2,20))&lt;100000000,VALUE(MID($E729,2,20)),1000000000),1000000000))+ROW()/100000,"")</f>
        <v/>
      </c>
    </row>
    <row r="730">
      <c r="D730">
        <f>IF($E730="","",IFERROR(IF(INDEX('Per Invoice'!$A$2:$A$301,MATCH($E730,'Per Invoice'!$B$2:$B$301,0))=0,"",INDEX('Per Invoice'!$A$2:$A$301,MATCH($E730,'Per Invoice'!$B$2:$B$301,0))),""))</f>
        <v/>
      </c>
      <c r="H730" s="11" t="n"/>
      <c r="R730" s="7">
        <f>IF($E730="","",Q730*Z730/100)</f>
        <v/>
      </c>
      <c r="S730" s="7" t="n"/>
      <c r="Y730" s="7" t="n"/>
      <c r="Z730" s="7" t="n"/>
      <c r="AA730" s="7">
        <f>IF($E730="","",Z730*AF730/100)</f>
        <v/>
      </c>
      <c r="AB730" s="7">
        <f>IF($E730="","",Z730-AA730)</f>
        <v/>
      </c>
      <c r="AC730" s="7">
        <f>IF($E730="","",AB730-R730)</f>
        <v/>
      </c>
      <c r="AF730">
        <f>IF($E730="","",IF($AR730=1,0,IF($AQ730=1,Settings!$C$6,Settings!$C$7))*100)</f>
        <v/>
      </c>
      <c r="AJ730" s="7" t="n"/>
      <c r="AM730" s="11" t="n"/>
      <c r="AO730">
        <f>IF($E730="","",IF(COUNTIF($E$2:$E730,$E730)=1,1,0))</f>
        <v/>
      </c>
      <c r="AP730">
        <f>IF($AO730=1,SUMPRODUCT(--($AS$2:$AS$1001&lt;$AS730))+1,"")</f>
        <v/>
      </c>
      <c r="AQ730">
        <f>IF($E730="","",IF(OR($V730=TRUE(),$V730="TRUE"),1,0))</f>
        <v/>
      </c>
      <c r="AR730">
        <f>IF($E730="","",IF($AE730="Yes",1,0))</f>
        <v/>
      </c>
      <c r="AS730">
        <f>IF($AO730=1,IFERROR(IF(VALUE($E730)&lt;100000000,VALUE($E730),1000000000),IFERROR(IF(VALUE(MID($E730,2,20))&lt;100000000,VALUE(MID($E730,2,20)),1000000000),1000000000))+ROW()/100000,"")</f>
        <v/>
      </c>
    </row>
    <row r="731">
      <c r="D731">
        <f>IF($E731="","",IFERROR(IF(INDEX('Per Invoice'!$A$2:$A$301,MATCH($E731,'Per Invoice'!$B$2:$B$301,0))=0,"",INDEX('Per Invoice'!$A$2:$A$301,MATCH($E731,'Per Invoice'!$B$2:$B$301,0))),""))</f>
        <v/>
      </c>
      <c r="H731" s="11" t="n"/>
      <c r="R731" s="7">
        <f>IF($E731="","",Q731*Z731/100)</f>
        <v/>
      </c>
      <c r="S731" s="7" t="n"/>
      <c r="Y731" s="7" t="n"/>
      <c r="Z731" s="7" t="n"/>
      <c r="AA731" s="7">
        <f>IF($E731="","",Z731*AF731/100)</f>
        <v/>
      </c>
      <c r="AB731" s="7">
        <f>IF($E731="","",Z731-AA731)</f>
        <v/>
      </c>
      <c r="AC731" s="7">
        <f>IF($E731="","",AB731-R731)</f>
        <v/>
      </c>
      <c r="AF731">
        <f>IF($E731="","",IF($AR731=1,0,IF($AQ731=1,Settings!$C$6,Settings!$C$7))*100)</f>
        <v/>
      </c>
      <c r="AJ731" s="7" t="n"/>
      <c r="AM731" s="11" t="n"/>
      <c r="AO731">
        <f>IF($E731="","",IF(COUNTIF($E$2:$E731,$E731)=1,1,0))</f>
        <v/>
      </c>
      <c r="AP731">
        <f>IF($AO731=1,SUMPRODUCT(--($AS$2:$AS$1001&lt;$AS731))+1,"")</f>
        <v/>
      </c>
      <c r="AQ731">
        <f>IF($E731="","",IF(OR($V731=TRUE(),$V731="TRUE"),1,0))</f>
        <v/>
      </c>
      <c r="AR731">
        <f>IF($E731="","",IF($AE731="Yes",1,0))</f>
        <v/>
      </c>
      <c r="AS731">
        <f>IF($AO731=1,IFERROR(IF(VALUE($E731)&lt;100000000,VALUE($E731),1000000000),IFERROR(IF(VALUE(MID($E731,2,20))&lt;100000000,VALUE(MID($E731,2,20)),1000000000),1000000000))+ROW()/100000,"")</f>
        <v/>
      </c>
    </row>
    <row r="732">
      <c r="D732">
        <f>IF($E732="","",IFERROR(IF(INDEX('Per Invoice'!$A$2:$A$301,MATCH($E732,'Per Invoice'!$B$2:$B$301,0))=0,"",INDEX('Per Invoice'!$A$2:$A$301,MATCH($E732,'Per Invoice'!$B$2:$B$301,0))),""))</f>
        <v/>
      </c>
      <c r="H732" s="11" t="n"/>
      <c r="R732" s="7">
        <f>IF($E732="","",Q732*Z732/100)</f>
        <v/>
      </c>
      <c r="S732" s="7" t="n"/>
      <c r="Y732" s="7" t="n"/>
      <c r="Z732" s="7" t="n"/>
      <c r="AA732" s="7">
        <f>IF($E732="","",Z732*AF732/100)</f>
        <v/>
      </c>
      <c r="AB732" s="7">
        <f>IF($E732="","",Z732-AA732)</f>
        <v/>
      </c>
      <c r="AC732" s="7">
        <f>IF($E732="","",AB732-R732)</f>
        <v/>
      </c>
      <c r="AF732">
        <f>IF($E732="","",IF($AR732=1,0,IF($AQ732=1,Settings!$C$6,Settings!$C$7))*100)</f>
        <v/>
      </c>
      <c r="AJ732" s="7" t="n"/>
      <c r="AM732" s="11" t="n"/>
      <c r="AO732">
        <f>IF($E732="","",IF(COUNTIF($E$2:$E732,$E732)=1,1,0))</f>
        <v/>
      </c>
      <c r="AP732">
        <f>IF($AO732=1,SUMPRODUCT(--($AS$2:$AS$1001&lt;$AS732))+1,"")</f>
        <v/>
      </c>
      <c r="AQ732">
        <f>IF($E732="","",IF(OR($V732=TRUE(),$V732="TRUE"),1,0))</f>
        <v/>
      </c>
      <c r="AR732">
        <f>IF($E732="","",IF($AE732="Yes",1,0))</f>
        <v/>
      </c>
      <c r="AS732">
        <f>IF($AO732=1,IFERROR(IF(VALUE($E732)&lt;100000000,VALUE($E732),1000000000),IFERROR(IF(VALUE(MID($E732,2,20))&lt;100000000,VALUE(MID($E732,2,20)),1000000000),1000000000))+ROW()/100000,"")</f>
        <v/>
      </c>
    </row>
    <row r="733">
      <c r="D733">
        <f>IF($E733="","",IFERROR(IF(INDEX('Per Invoice'!$A$2:$A$301,MATCH($E733,'Per Invoice'!$B$2:$B$301,0))=0,"",INDEX('Per Invoice'!$A$2:$A$301,MATCH($E733,'Per Invoice'!$B$2:$B$301,0))),""))</f>
        <v/>
      </c>
      <c r="H733" s="11" t="n"/>
      <c r="R733" s="7">
        <f>IF($E733="","",Q733*Z733/100)</f>
        <v/>
      </c>
      <c r="S733" s="7" t="n"/>
      <c r="Y733" s="7" t="n"/>
      <c r="Z733" s="7" t="n"/>
      <c r="AA733" s="7">
        <f>IF($E733="","",Z733*AF733/100)</f>
        <v/>
      </c>
      <c r="AB733" s="7">
        <f>IF($E733="","",Z733-AA733)</f>
        <v/>
      </c>
      <c r="AC733" s="7">
        <f>IF($E733="","",AB733-R733)</f>
        <v/>
      </c>
      <c r="AF733">
        <f>IF($E733="","",IF($AR733=1,0,IF($AQ733=1,Settings!$C$6,Settings!$C$7))*100)</f>
        <v/>
      </c>
      <c r="AJ733" s="7" t="n"/>
      <c r="AM733" s="11" t="n"/>
      <c r="AO733">
        <f>IF($E733="","",IF(COUNTIF($E$2:$E733,$E733)=1,1,0))</f>
        <v/>
      </c>
      <c r="AP733">
        <f>IF($AO733=1,SUMPRODUCT(--($AS$2:$AS$1001&lt;$AS733))+1,"")</f>
        <v/>
      </c>
      <c r="AQ733">
        <f>IF($E733="","",IF(OR($V733=TRUE(),$V733="TRUE"),1,0))</f>
        <v/>
      </c>
      <c r="AR733">
        <f>IF($E733="","",IF($AE733="Yes",1,0))</f>
        <v/>
      </c>
      <c r="AS733">
        <f>IF($AO733=1,IFERROR(IF(VALUE($E733)&lt;100000000,VALUE($E733),1000000000),IFERROR(IF(VALUE(MID($E733,2,20))&lt;100000000,VALUE(MID($E733,2,20)),1000000000),1000000000))+ROW()/100000,"")</f>
        <v/>
      </c>
    </row>
    <row r="734">
      <c r="D734">
        <f>IF($E734="","",IFERROR(IF(INDEX('Per Invoice'!$A$2:$A$301,MATCH($E734,'Per Invoice'!$B$2:$B$301,0))=0,"",INDEX('Per Invoice'!$A$2:$A$301,MATCH($E734,'Per Invoice'!$B$2:$B$301,0))),""))</f>
        <v/>
      </c>
      <c r="H734" s="11" t="n"/>
      <c r="R734" s="7">
        <f>IF($E734="","",Q734*Z734/100)</f>
        <v/>
      </c>
      <c r="S734" s="7" t="n"/>
      <c r="Y734" s="7" t="n"/>
      <c r="Z734" s="7" t="n"/>
      <c r="AA734" s="7">
        <f>IF($E734="","",Z734*AF734/100)</f>
        <v/>
      </c>
      <c r="AB734" s="7">
        <f>IF($E734="","",Z734-AA734)</f>
        <v/>
      </c>
      <c r="AC734" s="7">
        <f>IF($E734="","",AB734-R734)</f>
        <v/>
      </c>
      <c r="AF734">
        <f>IF($E734="","",IF($AR734=1,0,IF($AQ734=1,Settings!$C$6,Settings!$C$7))*100)</f>
        <v/>
      </c>
      <c r="AJ734" s="7" t="n"/>
      <c r="AM734" s="11" t="n"/>
      <c r="AO734">
        <f>IF($E734="","",IF(COUNTIF($E$2:$E734,$E734)=1,1,0))</f>
        <v/>
      </c>
      <c r="AP734">
        <f>IF($AO734=1,SUMPRODUCT(--($AS$2:$AS$1001&lt;$AS734))+1,"")</f>
        <v/>
      </c>
      <c r="AQ734">
        <f>IF($E734="","",IF(OR($V734=TRUE(),$V734="TRUE"),1,0))</f>
        <v/>
      </c>
      <c r="AR734">
        <f>IF($E734="","",IF($AE734="Yes",1,0))</f>
        <v/>
      </c>
      <c r="AS734">
        <f>IF($AO734=1,IFERROR(IF(VALUE($E734)&lt;100000000,VALUE($E734),1000000000),IFERROR(IF(VALUE(MID($E734,2,20))&lt;100000000,VALUE(MID($E734,2,20)),1000000000),1000000000))+ROW()/100000,"")</f>
        <v/>
      </c>
    </row>
    <row r="735">
      <c r="D735">
        <f>IF($E735="","",IFERROR(IF(INDEX('Per Invoice'!$A$2:$A$301,MATCH($E735,'Per Invoice'!$B$2:$B$301,0))=0,"",INDEX('Per Invoice'!$A$2:$A$301,MATCH($E735,'Per Invoice'!$B$2:$B$301,0))),""))</f>
        <v/>
      </c>
      <c r="H735" s="11" t="n"/>
      <c r="R735" s="7">
        <f>IF($E735="","",Q735*Z735/100)</f>
        <v/>
      </c>
      <c r="S735" s="7" t="n"/>
      <c r="Y735" s="7" t="n"/>
      <c r="Z735" s="7" t="n"/>
      <c r="AA735" s="7">
        <f>IF($E735="","",Z735*AF735/100)</f>
        <v/>
      </c>
      <c r="AB735" s="7">
        <f>IF($E735="","",Z735-AA735)</f>
        <v/>
      </c>
      <c r="AC735" s="7">
        <f>IF($E735="","",AB735-R735)</f>
        <v/>
      </c>
      <c r="AF735">
        <f>IF($E735="","",IF($AR735=1,0,IF($AQ735=1,Settings!$C$6,Settings!$C$7))*100)</f>
        <v/>
      </c>
      <c r="AJ735" s="7" t="n"/>
      <c r="AM735" s="11" t="n"/>
      <c r="AO735">
        <f>IF($E735="","",IF(COUNTIF($E$2:$E735,$E735)=1,1,0))</f>
        <v/>
      </c>
      <c r="AP735">
        <f>IF($AO735=1,SUMPRODUCT(--($AS$2:$AS$1001&lt;$AS735))+1,"")</f>
        <v/>
      </c>
      <c r="AQ735">
        <f>IF($E735="","",IF(OR($V735=TRUE(),$V735="TRUE"),1,0))</f>
        <v/>
      </c>
      <c r="AR735">
        <f>IF($E735="","",IF($AE735="Yes",1,0))</f>
        <v/>
      </c>
      <c r="AS735">
        <f>IF($AO735=1,IFERROR(IF(VALUE($E735)&lt;100000000,VALUE($E735),1000000000),IFERROR(IF(VALUE(MID($E735,2,20))&lt;100000000,VALUE(MID($E735,2,20)),1000000000),1000000000))+ROW()/100000,"")</f>
        <v/>
      </c>
    </row>
    <row r="736">
      <c r="D736">
        <f>IF($E736="","",IFERROR(IF(INDEX('Per Invoice'!$A$2:$A$301,MATCH($E736,'Per Invoice'!$B$2:$B$301,0))=0,"",INDEX('Per Invoice'!$A$2:$A$301,MATCH($E736,'Per Invoice'!$B$2:$B$301,0))),""))</f>
        <v/>
      </c>
      <c r="H736" s="11" t="n"/>
      <c r="R736" s="7">
        <f>IF($E736="","",Q736*Z736/100)</f>
        <v/>
      </c>
      <c r="S736" s="7" t="n"/>
      <c r="Y736" s="7" t="n"/>
      <c r="Z736" s="7" t="n"/>
      <c r="AA736" s="7">
        <f>IF($E736="","",Z736*AF736/100)</f>
        <v/>
      </c>
      <c r="AB736" s="7">
        <f>IF($E736="","",Z736-AA736)</f>
        <v/>
      </c>
      <c r="AC736" s="7">
        <f>IF($E736="","",AB736-R736)</f>
        <v/>
      </c>
      <c r="AF736">
        <f>IF($E736="","",IF($AR736=1,0,IF($AQ736=1,Settings!$C$6,Settings!$C$7))*100)</f>
        <v/>
      </c>
      <c r="AJ736" s="7" t="n"/>
      <c r="AM736" s="11" t="n"/>
      <c r="AO736">
        <f>IF($E736="","",IF(COUNTIF($E$2:$E736,$E736)=1,1,0))</f>
        <v/>
      </c>
      <c r="AP736">
        <f>IF($AO736=1,SUMPRODUCT(--($AS$2:$AS$1001&lt;$AS736))+1,"")</f>
        <v/>
      </c>
      <c r="AQ736">
        <f>IF($E736="","",IF(OR($V736=TRUE(),$V736="TRUE"),1,0))</f>
        <v/>
      </c>
      <c r="AR736">
        <f>IF($E736="","",IF($AE736="Yes",1,0))</f>
        <v/>
      </c>
      <c r="AS736">
        <f>IF($AO736=1,IFERROR(IF(VALUE($E736)&lt;100000000,VALUE($E736),1000000000),IFERROR(IF(VALUE(MID($E736,2,20))&lt;100000000,VALUE(MID($E736,2,20)),1000000000),1000000000))+ROW()/100000,"")</f>
        <v/>
      </c>
    </row>
    <row r="737">
      <c r="D737">
        <f>IF($E737="","",IFERROR(IF(INDEX('Per Invoice'!$A$2:$A$301,MATCH($E737,'Per Invoice'!$B$2:$B$301,0))=0,"",INDEX('Per Invoice'!$A$2:$A$301,MATCH($E737,'Per Invoice'!$B$2:$B$301,0))),""))</f>
        <v/>
      </c>
      <c r="H737" s="11" t="n"/>
      <c r="R737" s="7">
        <f>IF($E737="","",Q737*Z737/100)</f>
        <v/>
      </c>
      <c r="S737" s="7" t="n"/>
      <c r="Y737" s="7" t="n"/>
      <c r="Z737" s="7" t="n"/>
      <c r="AA737" s="7">
        <f>IF($E737="","",Z737*AF737/100)</f>
        <v/>
      </c>
      <c r="AB737" s="7">
        <f>IF($E737="","",Z737-AA737)</f>
        <v/>
      </c>
      <c r="AC737" s="7">
        <f>IF($E737="","",AB737-R737)</f>
        <v/>
      </c>
      <c r="AF737">
        <f>IF($E737="","",IF($AR737=1,0,IF($AQ737=1,Settings!$C$6,Settings!$C$7))*100)</f>
        <v/>
      </c>
      <c r="AJ737" s="7" t="n"/>
      <c r="AM737" s="11" t="n"/>
      <c r="AO737">
        <f>IF($E737="","",IF(COUNTIF($E$2:$E737,$E737)=1,1,0))</f>
        <v/>
      </c>
      <c r="AP737">
        <f>IF($AO737=1,SUMPRODUCT(--($AS$2:$AS$1001&lt;$AS737))+1,"")</f>
        <v/>
      </c>
      <c r="AQ737">
        <f>IF($E737="","",IF(OR($V737=TRUE(),$V737="TRUE"),1,0))</f>
        <v/>
      </c>
      <c r="AR737">
        <f>IF($E737="","",IF($AE737="Yes",1,0))</f>
        <v/>
      </c>
      <c r="AS737">
        <f>IF($AO737=1,IFERROR(IF(VALUE($E737)&lt;100000000,VALUE($E737),1000000000),IFERROR(IF(VALUE(MID($E737,2,20))&lt;100000000,VALUE(MID($E737,2,20)),1000000000),1000000000))+ROW()/100000,"")</f>
        <v/>
      </c>
    </row>
    <row r="738">
      <c r="D738">
        <f>IF($E738="","",IFERROR(IF(INDEX('Per Invoice'!$A$2:$A$301,MATCH($E738,'Per Invoice'!$B$2:$B$301,0))=0,"",INDEX('Per Invoice'!$A$2:$A$301,MATCH($E738,'Per Invoice'!$B$2:$B$301,0))),""))</f>
        <v/>
      </c>
      <c r="H738" s="11" t="n"/>
      <c r="R738" s="7">
        <f>IF($E738="","",Q738*Z738/100)</f>
        <v/>
      </c>
      <c r="S738" s="7" t="n"/>
      <c r="Y738" s="7" t="n"/>
      <c r="Z738" s="7" t="n"/>
      <c r="AA738" s="7">
        <f>IF($E738="","",Z738*AF738/100)</f>
        <v/>
      </c>
      <c r="AB738" s="7">
        <f>IF($E738="","",Z738-AA738)</f>
        <v/>
      </c>
      <c r="AC738" s="7">
        <f>IF($E738="","",AB738-R738)</f>
        <v/>
      </c>
      <c r="AF738">
        <f>IF($E738="","",IF($AR738=1,0,IF($AQ738=1,Settings!$C$6,Settings!$C$7))*100)</f>
        <v/>
      </c>
      <c r="AJ738" s="7" t="n"/>
      <c r="AM738" s="11" t="n"/>
      <c r="AO738">
        <f>IF($E738="","",IF(COUNTIF($E$2:$E738,$E738)=1,1,0))</f>
        <v/>
      </c>
      <c r="AP738">
        <f>IF($AO738=1,SUMPRODUCT(--($AS$2:$AS$1001&lt;$AS738))+1,"")</f>
        <v/>
      </c>
      <c r="AQ738">
        <f>IF($E738="","",IF(OR($V738=TRUE(),$V738="TRUE"),1,0))</f>
        <v/>
      </c>
      <c r="AR738">
        <f>IF($E738="","",IF($AE738="Yes",1,0))</f>
        <v/>
      </c>
      <c r="AS738">
        <f>IF($AO738=1,IFERROR(IF(VALUE($E738)&lt;100000000,VALUE($E738),1000000000),IFERROR(IF(VALUE(MID($E738,2,20))&lt;100000000,VALUE(MID($E738,2,20)),1000000000),1000000000))+ROW()/100000,"")</f>
        <v/>
      </c>
    </row>
    <row r="739">
      <c r="D739">
        <f>IF($E739="","",IFERROR(IF(INDEX('Per Invoice'!$A$2:$A$301,MATCH($E739,'Per Invoice'!$B$2:$B$301,0))=0,"",INDEX('Per Invoice'!$A$2:$A$301,MATCH($E739,'Per Invoice'!$B$2:$B$301,0))),""))</f>
        <v/>
      </c>
      <c r="H739" s="11" t="n"/>
      <c r="R739" s="7">
        <f>IF($E739="","",Q739*Z739/100)</f>
        <v/>
      </c>
      <c r="S739" s="7" t="n"/>
      <c r="Y739" s="7" t="n"/>
      <c r="Z739" s="7" t="n"/>
      <c r="AA739" s="7">
        <f>IF($E739="","",Z739*AF739/100)</f>
        <v/>
      </c>
      <c r="AB739" s="7">
        <f>IF($E739="","",Z739-AA739)</f>
        <v/>
      </c>
      <c r="AC739" s="7">
        <f>IF($E739="","",AB739-R739)</f>
        <v/>
      </c>
      <c r="AF739">
        <f>IF($E739="","",IF($AR739=1,0,IF($AQ739=1,Settings!$C$6,Settings!$C$7))*100)</f>
        <v/>
      </c>
      <c r="AJ739" s="7" t="n"/>
      <c r="AM739" s="11" t="n"/>
      <c r="AO739">
        <f>IF($E739="","",IF(COUNTIF($E$2:$E739,$E739)=1,1,0))</f>
        <v/>
      </c>
      <c r="AP739">
        <f>IF($AO739=1,SUMPRODUCT(--($AS$2:$AS$1001&lt;$AS739))+1,"")</f>
        <v/>
      </c>
      <c r="AQ739">
        <f>IF($E739="","",IF(OR($V739=TRUE(),$V739="TRUE"),1,0))</f>
        <v/>
      </c>
      <c r="AR739">
        <f>IF($E739="","",IF($AE739="Yes",1,0))</f>
        <v/>
      </c>
      <c r="AS739">
        <f>IF($AO739=1,IFERROR(IF(VALUE($E739)&lt;100000000,VALUE($E739),1000000000),IFERROR(IF(VALUE(MID($E739,2,20))&lt;100000000,VALUE(MID($E739,2,20)),1000000000),1000000000))+ROW()/100000,"")</f>
        <v/>
      </c>
    </row>
    <row r="740">
      <c r="D740">
        <f>IF($E740="","",IFERROR(IF(INDEX('Per Invoice'!$A$2:$A$301,MATCH($E740,'Per Invoice'!$B$2:$B$301,0))=0,"",INDEX('Per Invoice'!$A$2:$A$301,MATCH($E740,'Per Invoice'!$B$2:$B$301,0))),""))</f>
        <v/>
      </c>
      <c r="H740" s="11" t="n"/>
      <c r="R740" s="7">
        <f>IF($E740="","",Q740*Z740/100)</f>
        <v/>
      </c>
      <c r="S740" s="7" t="n"/>
      <c r="Y740" s="7" t="n"/>
      <c r="Z740" s="7" t="n"/>
      <c r="AA740" s="7">
        <f>IF($E740="","",Z740*AF740/100)</f>
        <v/>
      </c>
      <c r="AB740" s="7">
        <f>IF($E740="","",Z740-AA740)</f>
        <v/>
      </c>
      <c r="AC740" s="7">
        <f>IF($E740="","",AB740-R740)</f>
        <v/>
      </c>
      <c r="AF740">
        <f>IF($E740="","",IF($AR740=1,0,IF($AQ740=1,Settings!$C$6,Settings!$C$7))*100)</f>
        <v/>
      </c>
      <c r="AJ740" s="7" t="n"/>
      <c r="AM740" s="11" t="n"/>
      <c r="AO740">
        <f>IF($E740="","",IF(COUNTIF($E$2:$E740,$E740)=1,1,0))</f>
        <v/>
      </c>
      <c r="AP740">
        <f>IF($AO740=1,SUMPRODUCT(--($AS$2:$AS$1001&lt;$AS740))+1,"")</f>
        <v/>
      </c>
      <c r="AQ740">
        <f>IF($E740="","",IF(OR($V740=TRUE(),$V740="TRUE"),1,0))</f>
        <v/>
      </c>
      <c r="AR740">
        <f>IF($E740="","",IF($AE740="Yes",1,0))</f>
        <v/>
      </c>
      <c r="AS740">
        <f>IF($AO740=1,IFERROR(IF(VALUE($E740)&lt;100000000,VALUE($E740),1000000000),IFERROR(IF(VALUE(MID($E740,2,20))&lt;100000000,VALUE(MID($E740,2,20)),1000000000),1000000000))+ROW()/100000,"")</f>
        <v/>
      </c>
    </row>
    <row r="741">
      <c r="D741">
        <f>IF($E741="","",IFERROR(IF(INDEX('Per Invoice'!$A$2:$A$301,MATCH($E741,'Per Invoice'!$B$2:$B$301,0))=0,"",INDEX('Per Invoice'!$A$2:$A$301,MATCH($E741,'Per Invoice'!$B$2:$B$301,0))),""))</f>
        <v/>
      </c>
      <c r="H741" s="11" t="n"/>
      <c r="R741" s="7">
        <f>IF($E741="","",Q741*Z741/100)</f>
        <v/>
      </c>
      <c r="S741" s="7" t="n"/>
      <c r="Y741" s="7" t="n"/>
      <c r="Z741" s="7" t="n"/>
      <c r="AA741" s="7">
        <f>IF($E741="","",Z741*AF741/100)</f>
        <v/>
      </c>
      <c r="AB741" s="7">
        <f>IF($E741="","",Z741-AA741)</f>
        <v/>
      </c>
      <c r="AC741" s="7">
        <f>IF($E741="","",AB741-R741)</f>
        <v/>
      </c>
      <c r="AF741">
        <f>IF($E741="","",IF($AR741=1,0,IF($AQ741=1,Settings!$C$6,Settings!$C$7))*100)</f>
        <v/>
      </c>
      <c r="AJ741" s="7" t="n"/>
      <c r="AM741" s="11" t="n"/>
      <c r="AO741">
        <f>IF($E741="","",IF(COUNTIF($E$2:$E741,$E741)=1,1,0))</f>
        <v/>
      </c>
      <c r="AP741">
        <f>IF($AO741=1,SUMPRODUCT(--($AS$2:$AS$1001&lt;$AS741))+1,"")</f>
        <v/>
      </c>
      <c r="AQ741">
        <f>IF($E741="","",IF(OR($V741=TRUE(),$V741="TRUE"),1,0))</f>
        <v/>
      </c>
      <c r="AR741">
        <f>IF($E741="","",IF($AE741="Yes",1,0))</f>
        <v/>
      </c>
      <c r="AS741">
        <f>IF($AO741=1,IFERROR(IF(VALUE($E741)&lt;100000000,VALUE($E741),1000000000),IFERROR(IF(VALUE(MID($E741,2,20))&lt;100000000,VALUE(MID($E741,2,20)),1000000000),1000000000))+ROW()/100000,"")</f>
        <v/>
      </c>
    </row>
    <row r="742">
      <c r="D742">
        <f>IF($E742="","",IFERROR(IF(INDEX('Per Invoice'!$A$2:$A$301,MATCH($E742,'Per Invoice'!$B$2:$B$301,0))=0,"",INDEX('Per Invoice'!$A$2:$A$301,MATCH($E742,'Per Invoice'!$B$2:$B$301,0))),""))</f>
        <v/>
      </c>
      <c r="H742" s="11" t="n"/>
      <c r="R742" s="7">
        <f>IF($E742="","",Q742*Z742/100)</f>
        <v/>
      </c>
      <c r="S742" s="7" t="n"/>
      <c r="Y742" s="7" t="n"/>
      <c r="Z742" s="7" t="n"/>
      <c r="AA742" s="7">
        <f>IF($E742="","",Z742*AF742/100)</f>
        <v/>
      </c>
      <c r="AB742" s="7">
        <f>IF($E742="","",Z742-AA742)</f>
        <v/>
      </c>
      <c r="AC742" s="7">
        <f>IF($E742="","",AB742-R742)</f>
        <v/>
      </c>
      <c r="AF742">
        <f>IF($E742="","",IF($AR742=1,0,IF($AQ742=1,Settings!$C$6,Settings!$C$7))*100)</f>
        <v/>
      </c>
      <c r="AJ742" s="7" t="n"/>
      <c r="AM742" s="11" t="n"/>
      <c r="AO742">
        <f>IF($E742="","",IF(COUNTIF($E$2:$E742,$E742)=1,1,0))</f>
        <v/>
      </c>
      <c r="AP742">
        <f>IF($AO742=1,SUMPRODUCT(--($AS$2:$AS$1001&lt;$AS742))+1,"")</f>
        <v/>
      </c>
      <c r="AQ742">
        <f>IF($E742="","",IF(OR($V742=TRUE(),$V742="TRUE"),1,0))</f>
        <v/>
      </c>
      <c r="AR742">
        <f>IF($E742="","",IF($AE742="Yes",1,0))</f>
        <v/>
      </c>
      <c r="AS742">
        <f>IF($AO742=1,IFERROR(IF(VALUE($E742)&lt;100000000,VALUE($E742),1000000000),IFERROR(IF(VALUE(MID($E742,2,20))&lt;100000000,VALUE(MID($E742,2,20)),1000000000),1000000000))+ROW()/100000,"")</f>
        <v/>
      </c>
    </row>
    <row r="743">
      <c r="D743">
        <f>IF($E743="","",IFERROR(IF(INDEX('Per Invoice'!$A$2:$A$301,MATCH($E743,'Per Invoice'!$B$2:$B$301,0))=0,"",INDEX('Per Invoice'!$A$2:$A$301,MATCH($E743,'Per Invoice'!$B$2:$B$301,0))),""))</f>
        <v/>
      </c>
      <c r="H743" s="11" t="n"/>
      <c r="R743" s="7">
        <f>IF($E743="","",Q743*Z743/100)</f>
        <v/>
      </c>
      <c r="S743" s="7" t="n"/>
      <c r="Y743" s="7" t="n"/>
      <c r="Z743" s="7" t="n"/>
      <c r="AA743" s="7">
        <f>IF($E743="","",Z743*AF743/100)</f>
        <v/>
      </c>
      <c r="AB743" s="7">
        <f>IF($E743="","",Z743-AA743)</f>
        <v/>
      </c>
      <c r="AC743" s="7">
        <f>IF($E743="","",AB743-R743)</f>
        <v/>
      </c>
      <c r="AF743">
        <f>IF($E743="","",IF($AR743=1,0,IF($AQ743=1,Settings!$C$6,Settings!$C$7))*100)</f>
        <v/>
      </c>
      <c r="AJ743" s="7" t="n"/>
      <c r="AM743" s="11" t="n"/>
      <c r="AO743">
        <f>IF($E743="","",IF(COUNTIF($E$2:$E743,$E743)=1,1,0))</f>
        <v/>
      </c>
      <c r="AP743">
        <f>IF($AO743=1,SUMPRODUCT(--($AS$2:$AS$1001&lt;$AS743))+1,"")</f>
        <v/>
      </c>
      <c r="AQ743">
        <f>IF($E743="","",IF(OR($V743=TRUE(),$V743="TRUE"),1,0))</f>
        <v/>
      </c>
      <c r="AR743">
        <f>IF($E743="","",IF($AE743="Yes",1,0))</f>
        <v/>
      </c>
      <c r="AS743">
        <f>IF($AO743=1,IFERROR(IF(VALUE($E743)&lt;100000000,VALUE($E743),1000000000),IFERROR(IF(VALUE(MID($E743,2,20))&lt;100000000,VALUE(MID($E743,2,20)),1000000000),1000000000))+ROW()/100000,"")</f>
        <v/>
      </c>
    </row>
    <row r="744">
      <c r="D744">
        <f>IF($E744="","",IFERROR(IF(INDEX('Per Invoice'!$A$2:$A$301,MATCH($E744,'Per Invoice'!$B$2:$B$301,0))=0,"",INDEX('Per Invoice'!$A$2:$A$301,MATCH($E744,'Per Invoice'!$B$2:$B$301,0))),""))</f>
        <v/>
      </c>
      <c r="H744" s="11" t="n"/>
      <c r="R744" s="7">
        <f>IF($E744="","",Q744*Z744/100)</f>
        <v/>
      </c>
      <c r="S744" s="7" t="n"/>
      <c r="Y744" s="7" t="n"/>
      <c r="Z744" s="7" t="n"/>
      <c r="AA744" s="7">
        <f>IF($E744="","",Z744*AF744/100)</f>
        <v/>
      </c>
      <c r="AB744" s="7">
        <f>IF($E744="","",Z744-AA744)</f>
        <v/>
      </c>
      <c r="AC744" s="7">
        <f>IF($E744="","",AB744-R744)</f>
        <v/>
      </c>
      <c r="AF744">
        <f>IF($E744="","",IF($AR744=1,0,IF($AQ744=1,Settings!$C$6,Settings!$C$7))*100)</f>
        <v/>
      </c>
      <c r="AJ744" s="7" t="n"/>
      <c r="AM744" s="11" t="n"/>
      <c r="AO744">
        <f>IF($E744="","",IF(COUNTIF($E$2:$E744,$E744)=1,1,0))</f>
        <v/>
      </c>
      <c r="AP744">
        <f>IF($AO744=1,SUMPRODUCT(--($AS$2:$AS$1001&lt;$AS744))+1,"")</f>
        <v/>
      </c>
      <c r="AQ744">
        <f>IF($E744="","",IF(OR($V744=TRUE(),$V744="TRUE"),1,0))</f>
        <v/>
      </c>
      <c r="AR744">
        <f>IF($E744="","",IF($AE744="Yes",1,0))</f>
        <v/>
      </c>
      <c r="AS744">
        <f>IF($AO744=1,IFERROR(IF(VALUE($E744)&lt;100000000,VALUE($E744),1000000000),IFERROR(IF(VALUE(MID($E744,2,20))&lt;100000000,VALUE(MID($E744,2,20)),1000000000),1000000000))+ROW()/100000,"")</f>
        <v/>
      </c>
    </row>
    <row r="745">
      <c r="D745">
        <f>IF($E745="","",IFERROR(IF(INDEX('Per Invoice'!$A$2:$A$301,MATCH($E745,'Per Invoice'!$B$2:$B$301,0))=0,"",INDEX('Per Invoice'!$A$2:$A$301,MATCH($E745,'Per Invoice'!$B$2:$B$301,0))),""))</f>
        <v/>
      </c>
      <c r="H745" s="11" t="n"/>
      <c r="R745" s="7">
        <f>IF($E745="","",Q745*Z745/100)</f>
        <v/>
      </c>
      <c r="S745" s="7" t="n"/>
      <c r="Y745" s="7" t="n"/>
      <c r="Z745" s="7" t="n"/>
      <c r="AA745" s="7">
        <f>IF($E745="","",Z745*AF745/100)</f>
        <v/>
      </c>
      <c r="AB745" s="7">
        <f>IF($E745="","",Z745-AA745)</f>
        <v/>
      </c>
      <c r="AC745" s="7">
        <f>IF($E745="","",AB745-R745)</f>
        <v/>
      </c>
      <c r="AF745">
        <f>IF($E745="","",IF($AR745=1,0,IF($AQ745=1,Settings!$C$6,Settings!$C$7))*100)</f>
        <v/>
      </c>
      <c r="AJ745" s="7" t="n"/>
      <c r="AM745" s="11" t="n"/>
      <c r="AO745">
        <f>IF($E745="","",IF(COUNTIF($E$2:$E745,$E745)=1,1,0))</f>
        <v/>
      </c>
      <c r="AP745">
        <f>IF($AO745=1,SUMPRODUCT(--($AS$2:$AS$1001&lt;$AS745))+1,"")</f>
        <v/>
      </c>
      <c r="AQ745">
        <f>IF($E745="","",IF(OR($V745=TRUE(),$V745="TRUE"),1,0))</f>
        <v/>
      </c>
      <c r="AR745">
        <f>IF($E745="","",IF($AE745="Yes",1,0))</f>
        <v/>
      </c>
      <c r="AS745">
        <f>IF($AO745=1,IFERROR(IF(VALUE($E745)&lt;100000000,VALUE($E745),1000000000),IFERROR(IF(VALUE(MID($E745,2,20))&lt;100000000,VALUE(MID($E745,2,20)),1000000000),1000000000))+ROW()/100000,"")</f>
        <v/>
      </c>
    </row>
    <row r="746">
      <c r="D746">
        <f>IF($E746="","",IFERROR(IF(INDEX('Per Invoice'!$A$2:$A$301,MATCH($E746,'Per Invoice'!$B$2:$B$301,0))=0,"",INDEX('Per Invoice'!$A$2:$A$301,MATCH($E746,'Per Invoice'!$B$2:$B$301,0))),""))</f>
        <v/>
      </c>
      <c r="H746" s="11" t="n"/>
      <c r="R746" s="7">
        <f>IF($E746="","",Q746*Z746/100)</f>
        <v/>
      </c>
      <c r="S746" s="7" t="n"/>
      <c r="Y746" s="7" t="n"/>
      <c r="Z746" s="7" t="n"/>
      <c r="AA746" s="7">
        <f>IF($E746="","",Z746*AF746/100)</f>
        <v/>
      </c>
      <c r="AB746" s="7">
        <f>IF($E746="","",Z746-AA746)</f>
        <v/>
      </c>
      <c r="AC746" s="7">
        <f>IF($E746="","",AB746-R746)</f>
        <v/>
      </c>
      <c r="AF746">
        <f>IF($E746="","",IF($AR746=1,0,IF($AQ746=1,Settings!$C$6,Settings!$C$7))*100)</f>
        <v/>
      </c>
      <c r="AJ746" s="7" t="n"/>
      <c r="AM746" s="11" t="n"/>
      <c r="AO746">
        <f>IF($E746="","",IF(COUNTIF($E$2:$E746,$E746)=1,1,0))</f>
        <v/>
      </c>
      <c r="AP746">
        <f>IF($AO746=1,SUMPRODUCT(--($AS$2:$AS$1001&lt;$AS746))+1,"")</f>
        <v/>
      </c>
      <c r="AQ746">
        <f>IF($E746="","",IF(OR($V746=TRUE(),$V746="TRUE"),1,0))</f>
        <v/>
      </c>
      <c r="AR746">
        <f>IF($E746="","",IF($AE746="Yes",1,0))</f>
        <v/>
      </c>
      <c r="AS746">
        <f>IF($AO746=1,IFERROR(IF(VALUE($E746)&lt;100000000,VALUE($E746),1000000000),IFERROR(IF(VALUE(MID($E746,2,20))&lt;100000000,VALUE(MID($E746,2,20)),1000000000),1000000000))+ROW()/100000,"")</f>
        <v/>
      </c>
    </row>
    <row r="747">
      <c r="D747">
        <f>IF($E747="","",IFERROR(IF(INDEX('Per Invoice'!$A$2:$A$301,MATCH($E747,'Per Invoice'!$B$2:$B$301,0))=0,"",INDEX('Per Invoice'!$A$2:$A$301,MATCH($E747,'Per Invoice'!$B$2:$B$301,0))),""))</f>
        <v/>
      </c>
      <c r="H747" s="11" t="n"/>
      <c r="R747" s="7">
        <f>IF($E747="","",Q747*Z747/100)</f>
        <v/>
      </c>
      <c r="S747" s="7" t="n"/>
      <c r="Y747" s="7" t="n"/>
      <c r="Z747" s="7" t="n"/>
      <c r="AA747" s="7">
        <f>IF($E747="","",Z747*AF747/100)</f>
        <v/>
      </c>
      <c r="AB747" s="7">
        <f>IF($E747="","",Z747-AA747)</f>
        <v/>
      </c>
      <c r="AC747" s="7">
        <f>IF($E747="","",AB747-R747)</f>
        <v/>
      </c>
      <c r="AF747">
        <f>IF($E747="","",IF($AR747=1,0,IF($AQ747=1,Settings!$C$6,Settings!$C$7))*100)</f>
        <v/>
      </c>
      <c r="AJ747" s="7" t="n"/>
      <c r="AM747" s="11" t="n"/>
      <c r="AO747">
        <f>IF($E747="","",IF(COUNTIF($E$2:$E747,$E747)=1,1,0))</f>
        <v/>
      </c>
      <c r="AP747">
        <f>IF($AO747=1,SUMPRODUCT(--($AS$2:$AS$1001&lt;$AS747))+1,"")</f>
        <v/>
      </c>
      <c r="AQ747">
        <f>IF($E747="","",IF(OR($V747=TRUE(),$V747="TRUE"),1,0))</f>
        <v/>
      </c>
      <c r="AR747">
        <f>IF($E747="","",IF($AE747="Yes",1,0))</f>
        <v/>
      </c>
      <c r="AS747">
        <f>IF($AO747=1,IFERROR(IF(VALUE($E747)&lt;100000000,VALUE($E747),1000000000),IFERROR(IF(VALUE(MID($E747,2,20))&lt;100000000,VALUE(MID($E747,2,20)),1000000000),1000000000))+ROW()/100000,"")</f>
        <v/>
      </c>
    </row>
    <row r="748">
      <c r="D748">
        <f>IF($E748="","",IFERROR(IF(INDEX('Per Invoice'!$A$2:$A$301,MATCH($E748,'Per Invoice'!$B$2:$B$301,0))=0,"",INDEX('Per Invoice'!$A$2:$A$301,MATCH($E748,'Per Invoice'!$B$2:$B$301,0))),""))</f>
        <v/>
      </c>
      <c r="H748" s="11" t="n"/>
      <c r="R748" s="7">
        <f>IF($E748="","",Q748*Z748/100)</f>
        <v/>
      </c>
      <c r="S748" s="7" t="n"/>
      <c r="Y748" s="7" t="n"/>
      <c r="Z748" s="7" t="n"/>
      <c r="AA748" s="7">
        <f>IF($E748="","",Z748*AF748/100)</f>
        <v/>
      </c>
      <c r="AB748" s="7">
        <f>IF($E748="","",Z748-AA748)</f>
        <v/>
      </c>
      <c r="AC748" s="7">
        <f>IF($E748="","",AB748-R748)</f>
        <v/>
      </c>
      <c r="AF748">
        <f>IF($E748="","",IF($AR748=1,0,IF($AQ748=1,Settings!$C$6,Settings!$C$7))*100)</f>
        <v/>
      </c>
      <c r="AJ748" s="7" t="n"/>
      <c r="AM748" s="11" t="n"/>
      <c r="AO748">
        <f>IF($E748="","",IF(COUNTIF($E$2:$E748,$E748)=1,1,0))</f>
        <v/>
      </c>
      <c r="AP748">
        <f>IF($AO748=1,SUMPRODUCT(--($AS$2:$AS$1001&lt;$AS748))+1,"")</f>
        <v/>
      </c>
      <c r="AQ748">
        <f>IF($E748="","",IF(OR($V748=TRUE(),$V748="TRUE"),1,0))</f>
        <v/>
      </c>
      <c r="AR748">
        <f>IF($E748="","",IF($AE748="Yes",1,0))</f>
        <v/>
      </c>
      <c r="AS748">
        <f>IF($AO748=1,IFERROR(IF(VALUE($E748)&lt;100000000,VALUE($E748),1000000000),IFERROR(IF(VALUE(MID($E748,2,20))&lt;100000000,VALUE(MID($E748,2,20)),1000000000),1000000000))+ROW()/100000,"")</f>
        <v/>
      </c>
    </row>
    <row r="749">
      <c r="D749">
        <f>IF($E749="","",IFERROR(IF(INDEX('Per Invoice'!$A$2:$A$301,MATCH($E749,'Per Invoice'!$B$2:$B$301,0))=0,"",INDEX('Per Invoice'!$A$2:$A$301,MATCH($E749,'Per Invoice'!$B$2:$B$301,0))),""))</f>
        <v/>
      </c>
      <c r="H749" s="11" t="n"/>
      <c r="R749" s="7">
        <f>IF($E749="","",Q749*Z749/100)</f>
        <v/>
      </c>
      <c r="S749" s="7" t="n"/>
      <c r="Y749" s="7" t="n"/>
      <c r="Z749" s="7" t="n"/>
      <c r="AA749" s="7">
        <f>IF($E749="","",Z749*AF749/100)</f>
        <v/>
      </c>
      <c r="AB749" s="7">
        <f>IF($E749="","",Z749-AA749)</f>
        <v/>
      </c>
      <c r="AC749" s="7">
        <f>IF($E749="","",AB749-R749)</f>
        <v/>
      </c>
      <c r="AF749">
        <f>IF($E749="","",IF($AR749=1,0,IF($AQ749=1,Settings!$C$6,Settings!$C$7))*100)</f>
        <v/>
      </c>
      <c r="AJ749" s="7" t="n"/>
      <c r="AM749" s="11" t="n"/>
      <c r="AO749">
        <f>IF($E749="","",IF(COUNTIF($E$2:$E749,$E749)=1,1,0))</f>
        <v/>
      </c>
      <c r="AP749">
        <f>IF($AO749=1,SUMPRODUCT(--($AS$2:$AS$1001&lt;$AS749))+1,"")</f>
        <v/>
      </c>
      <c r="AQ749">
        <f>IF($E749="","",IF(OR($V749=TRUE(),$V749="TRUE"),1,0))</f>
        <v/>
      </c>
      <c r="AR749">
        <f>IF($E749="","",IF($AE749="Yes",1,0))</f>
        <v/>
      </c>
      <c r="AS749">
        <f>IF($AO749=1,IFERROR(IF(VALUE($E749)&lt;100000000,VALUE($E749),1000000000),IFERROR(IF(VALUE(MID($E749,2,20))&lt;100000000,VALUE(MID($E749,2,20)),1000000000),1000000000))+ROW()/100000,"")</f>
        <v/>
      </c>
    </row>
    <row r="750">
      <c r="D750">
        <f>IF($E750="","",IFERROR(IF(INDEX('Per Invoice'!$A$2:$A$301,MATCH($E750,'Per Invoice'!$B$2:$B$301,0))=0,"",INDEX('Per Invoice'!$A$2:$A$301,MATCH($E750,'Per Invoice'!$B$2:$B$301,0))),""))</f>
        <v/>
      </c>
      <c r="H750" s="11" t="n"/>
      <c r="R750" s="7">
        <f>IF($E750="","",Q750*Z750/100)</f>
        <v/>
      </c>
      <c r="S750" s="7" t="n"/>
      <c r="Y750" s="7" t="n"/>
      <c r="Z750" s="7" t="n"/>
      <c r="AA750" s="7">
        <f>IF($E750="","",Z750*AF750/100)</f>
        <v/>
      </c>
      <c r="AB750" s="7">
        <f>IF($E750="","",Z750-AA750)</f>
        <v/>
      </c>
      <c r="AC750" s="7">
        <f>IF($E750="","",AB750-R750)</f>
        <v/>
      </c>
      <c r="AF750">
        <f>IF($E750="","",IF($AR750=1,0,IF($AQ750=1,Settings!$C$6,Settings!$C$7))*100)</f>
        <v/>
      </c>
      <c r="AJ750" s="7" t="n"/>
      <c r="AM750" s="11" t="n"/>
      <c r="AO750">
        <f>IF($E750="","",IF(COUNTIF($E$2:$E750,$E750)=1,1,0))</f>
        <v/>
      </c>
      <c r="AP750">
        <f>IF($AO750=1,SUMPRODUCT(--($AS$2:$AS$1001&lt;$AS750))+1,"")</f>
        <v/>
      </c>
      <c r="AQ750">
        <f>IF($E750="","",IF(OR($V750=TRUE(),$V750="TRUE"),1,0))</f>
        <v/>
      </c>
      <c r="AR750">
        <f>IF($E750="","",IF($AE750="Yes",1,0))</f>
        <v/>
      </c>
      <c r="AS750">
        <f>IF($AO750=1,IFERROR(IF(VALUE($E750)&lt;100000000,VALUE($E750),1000000000),IFERROR(IF(VALUE(MID($E750,2,20))&lt;100000000,VALUE(MID($E750,2,20)),1000000000),1000000000))+ROW()/100000,"")</f>
        <v/>
      </c>
    </row>
    <row r="751">
      <c r="D751">
        <f>IF($E751="","",IFERROR(IF(INDEX('Per Invoice'!$A$2:$A$301,MATCH($E751,'Per Invoice'!$B$2:$B$301,0))=0,"",INDEX('Per Invoice'!$A$2:$A$301,MATCH($E751,'Per Invoice'!$B$2:$B$301,0))),""))</f>
        <v/>
      </c>
      <c r="H751" s="11" t="n"/>
      <c r="R751" s="7">
        <f>IF($E751="","",Q751*Z751/100)</f>
        <v/>
      </c>
      <c r="S751" s="7" t="n"/>
      <c r="Y751" s="7" t="n"/>
      <c r="Z751" s="7" t="n"/>
      <c r="AA751" s="7">
        <f>IF($E751="","",Z751*AF751/100)</f>
        <v/>
      </c>
      <c r="AB751" s="7">
        <f>IF($E751="","",Z751-AA751)</f>
        <v/>
      </c>
      <c r="AC751" s="7">
        <f>IF($E751="","",AB751-R751)</f>
        <v/>
      </c>
      <c r="AF751">
        <f>IF($E751="","",IF($AR751=1,0,IF($AQ751=1,Settings!$C$6,Settings!$C$7))*100)</f>
        <v/>
      </c>
      <c r="AJ751" s="7" t="n"/>
      <c r="AM751" s="11" t="n"/>
      <c r="AO751">
        <f>IF($E751="","",IF(COUNTIF($E$2:$E751,$E751)=1,1,0))</f>
        <v/>
      </c>
      <c r="AP751">
        <f>IF($AO751=1,SUMPRODUCT(--($AS$2:$AS$1001&lt;$AS751))+1,"")</f>
        <v/>
      </c>
      <c r="AQ751">
        <f>IF($E751="","",IF(OR($V751=TRUE(),$V751="TRUE"),1,0))</f>
        <v/>
      </c>
      <c r="AR751">
        <f>IF($E751="","",IF($AE751="Yes",1,0))</f>
        <v/>
      </c>
      <c r="AS751">
        <f>IF($AO751=1,IFERROR(IF(VALUE($E751)&lt;100000000,VALUE($E751),1000000000),IFERROR(IF(VALUE(MID($E751,2,20))&lt;100000000,VALUE(MID($E751,2,20)),1000000000),1000000000))+ROW()/100000,"")</f>
        <v/>
      </c>
    </row>
    <row r="752">
      <c r="D752">
        <f>IF($E752="","",IFERROR(IF(INDEX('Per Invoice'!$A$2:$A$301,MATCH($E752,'Per Invoice'!$B$2:$B$301,0))=0,"",INDEX('Per Invoice'!$A$2:$A$301,MATCH($E752,'Per Invoice'!$B$2:$B$301,0))),""))</f>
        <v/>
      </c>
      <c r="H752" s="11" t="n"/>
      <c r="R752" s="7">
        <f>IF($E752="","",Q752*Z752/100)</f>
        <v/>
      </c>
      <c r="S752" s="7" t="n"/>
      <c r="Y752" s="7" t="n"/>
      <c r="Z752" s="7" t="n"/>
      <c r="AA752" s="7">
        <f>IF($E752="","",Z752*AF752/100)</f>
        <v/>
      </c>
      <c r="AB752" s="7">
        <f>IF($E752="","",Z752-AA752)</f>
        <v/>
      </c>
      <c r="AC752" s="7">
        <f>IF($E752="","",AB752-R752)</f>
        <v/>
      </c>
      <c r="AF752">
        <f>IF($E752="","",IF($AR752=1,0,IF($AQ752=1,Settings!$C$6,Settings!$C$7))*100)</f>
        <v/>
      </c>
      <c r="AJ752" s="7" t="n"/>
      <c r="AM752" s="11" t="n"/>
      <c r="AO752">
        <f>IF($E752="","",IF(COUNTIF($E$2:$E752,$E752)=1,1,0))</f>
        <v/>
      </c>
      <c r="AP752">
        <f>IF($AO752=1,SUMPRODUCT(--($AS$2:$AS$1001&lt;$AS752))+1,"")</f>
        <v/>
      </c>
      <c r="AQ752">
        <f>IF($E752="","",IF(OR($V752=TRUE(),$V752="TRUE"),1,0))</f>
        <v/>
      </c>
      <c r="AR752">
        <f>IF($E752="","",IF($AE752="Yes",1,0))</f>
        <v/>
      </c>
      <c r="AS752">
        <f>IF($AO752=1,IFERROR(IF(VALUE($E752)&lt;100000000,VALUE($E752),1000000000),IFERROR(IF(VALUE(MID($E752,2,20))&lt;100000000,VALUE(MID($E752,2,20)),1000000000),1000000000))+ROW()/100000,"")</f>
        <v/>
      </c>
    </row>
    <row r="753">
      <c r="D753">
        <f>IF($E753="","",IFERROR(IF(INDEX('Per Invoice'!$A$2:$A$301,MATCH($E753,'Per Invoice'!$B$2:$B$301,0))=0,"",INDEX('Per Invoice'!$A$2:$A$301,MATCH($E753,'Per Invoice'!$B$2:$B$301,0))),""))</f>
        <v/>
      </c>
      <c r="H753" s="11" t="n"/>
      <c r="R753" s="7">
        <f>IF($E753="","",Q753*Z753/100)</f>
        <v/>
      </c>
      <c r="S753" s="7" t="n"/>
      <c r="Y753" s="7" t="n"/>
      <c r="Z753" s="7" t="n"/>
      <c r="AA753" s="7">
        <f>IF($E753="","",Z753*AF753/100)</f>
        <v/>
      </c>
      <c r="AB753" s="7">
        <f>IF($E753="","",Z753-AA753)</f>
        <v/>
      </c>
      <c r="AC753" s="7">
        <f>IF($E753="","",AB753-R753)</f>
        <v/>
      </c>
      <c r="AF753">
        <f>IF($E753="","",IF($AR753=1,0,IF($AQ753=1,Settings!$C$6,Settings!$C$7))*100)</f>
        <v/>
      </c>
      <c r="AJ753" s="7" t="n"/>
      <c r="AM753" s="11" t="n"/>
      <c r="AO753">
        <f>IF($E753="","",IF(COUNTIF($E$2:$E753,$E753)=1,1,0))</f>
        <v/>
      </c>
      <c r="AP753">
        <f>IF($AO753=1,SUMPRODUCT(--($AS$2:$AS$1001&lt;$AS753))+1,"")</f>
        <v/>
      </c>
      <c r="AQ753">
        <f>IF($E753="","",IF(OR($V753=TRUE(),$V753="TRUE"),1,0))</f>
        <v/>
      </c>
      <c r="AR753">
        <f>IF($E753="","",IF($AE753="Yes",1,0))</f>
        <v/>
      </c>
      <c r="AS753">
        <f>IF($AO753=1,IFERROR(IF(VALUE($E753)&lt;100000000,VALUE($E753),1000000000),IFERROR(IF(VALUE(MID($E753,2,20))&lt;100000000,VALUE(MID($E753,2,20)),1000000000),1000000000))+ROW()/100000,"")</f>
        <v/>
      </c>
    </row>
    <row r="754">
      <c r="D754">
        <f>IF($E754="","",IFERROR(IF(INDEX('Per Invoice'!$A$2:$A$301,MATCH($E754,'Per Invoice'!$B$2:$B$301,0))=0,"",INDEX('Per Invoice'!$A$2:$A$301,MATCH($E754,'Per Invoice'!$B$2:$B$301,0))),""))</f>
        <v/>
      </c>
      <c r="H754" s="11" t="n"/>
      <c r="R754" s="7">
        <f>IF($E754="","",Q754*Z754/100)</f>
        <v/>
      </c>
      <c r="S754" s="7" t="n"/>
      <c r="Y754" s="7" t="n"/>
      <c r="Z754" s="7" t="n"/>
      <c r="AA754" s="7">
        <f>IF($E754="","",Z754*AF754/100)</f>
        <v/>
      </c>
      <c r="AB754" s="7">
        <f>IF($E754="","",Z754-AA754)</f>
        <v/>
      </c>
      <c r="AC754" s="7">
        <f>IF($E754="","",AB754-R754)</f>
        <v/>
      </c>
      <c r="AF754">
        <f>IF($E754="","",IF($AR754=1,0,IF($AQ754=1,Settings!$C$6,Settings!$C$7))*100)</f>
        <v/>
      </c>
      <c r="AJ754" s="7" t="n"/>
      <c r="AM754" s="11" t="n"/>
      <c r="AO754">
        <f>IF($E754="","",IF(COUNTIF($E$2:$E754,$E754)=1,1,0))</f>
        <v/>
      </c>
      <c r="AP754">
        <f>IF($AO754=1,SUMPRODUCT(--($AS$2:$AS$1001&lt;$AS754))+1,"")</f>
        <v/>
      </c>
      <c r="AQ754">
        <f>IF($E754="","",IF(OR($V754=TRUE(),$V754="TRUE"),1,0))</f>
        <v/>
      </c>
      <c r="AR754">
        <f>IF($E754="","",IF($AE754="Yes",1,0))</f>
        <v/>
      </c>
      <c r="AS754">
        <f>IF($AO754=1,IFERROR(IF(VALUE($E754)&lt;100000000,VALUE($E754),1000000000),IFERROR(IF(VALUE(MID($E754,2,20))&lt;100000000,VALUE(MID($E754,2,20)),1000000000),1000000000))+ROW()/100000,"")</f>
        <v/>
      </c>
    </row>
    <row r="755">
      <c r="D755">
        <f>IF($E755="","",IFERROR(IF(INDEX('Per Invoice'!$A$2:$A$301,MATCH($E755,'Per Invoice'!$B$2:$B$301,0))=0,"",INDEX('Per Invoice'!$A$2:$A$301,MATCH($E755,'Per Invoice'!$B$2:$B$301,0))),""))</f>
        <v/>
      </c>
      <c r="H755" s="11" t="n"/>
      <c r="R755" s="7">
        <f>IF($E755="","",Q755*Z755/100)</f>
        <v/>
      </c>
      <c r="S755" s="7" t="n"/>
      <c r="Y755" s="7" t="n"/>
      <c r="Z755" s="7" t="n"/>
      <c r="AA755" s="7">
        <f>IF($E755="","",Z755*AF755/100)</f>
        <v/>
      </c>
      <c r="AB755" s="7">
        <f>IF($E755="","",Z755-AA755)</f>
        <v/>
      </c>
      <c r="AC755" s="7">
        <f>IF($E755="","",AB755-R755)</f>
        <v/>
      </c>
      <c r="AF755">
        <f>IF($E755="","",IF($AR755=1,0,IF($AQ755=1,Settings!$C$6,Settings!$C$7))*100)</f>
        <v/>
      </c>
      <c r="AJ755" s="7" t="n"/>
      <c r="AM755" s="11" t="n"/>
      <c r="AO755">
        <f>IF($E755="","",IF(COUNTIF($E$2:$E755,$E755)=1,1,0))</f>
        <v/>
      </c>
      <c r="AP755">
        <f>IF($AO755=1,SUMPRODUCT(--($AS$2:$AS$1001&lt;$AS755))+1,"")</f>
        <v/>
      </c>
      <c r="AQ755">
        <f>IF($E755="","",IF(OR($V755=TRUE(),$V755="TRUE"),1,0))</f>
        <v/>
      </c>
      <c r="AR755">
        <f>IF($E755="","",IF($AE755="Yes",1,0))</f>
        <v/>
      </c>
      <c r="AS755">
        <f>IF($AO755=1,IFERROR(IF(VALUE($E755)&lt;100000000,VALUE($E755),1000000000),IFERROR(IF(VALUE(MID($E755,2,20))&lt;100000000,VALUE(MID($E755,2,20)),1000000000),1000000000))+ROW()/100000,"")</f>
        <v/>
      </c>
    </row>
    <row r="756">
      <c r="D756">
        <f>IF($E756="","",IFERROR(IF(INDEX('Per Invoice'!$A$2:$A$301,MATCH($E756,'Per Invoice'!$B$2:$B$301,0))=0,"",INDEX('Per Invoice'!$A$2:$A$301,MATCH($E756,'Per Invoice'!$B$2:$B$301,0))),""))</f>
        <v/>
      </c>
      <c r="H756" s="11" t="n"/>
      <c r="R756" s="7">
        <f>IF($E756="","",Q756*Z756/100)</f>
        <v/>
      </c>
      <c r="S756" s="7" t="n"/>
      <c r="Y756" s="7" t="n"/>
      <c r="Z756" s="7" t="n"/>
      <c r="AA756" s="7">
        <f>IF($E756="","",Z756*AF756/100)</f>
        <v/>
      </c>
      <c r="AB756" s="7">
        <f>IF($E756="","",Z756-AA756)</f>
        <v/>
      </c>
      <c r="AC756" s="7">
        <f>IF($E756="","",AB756-R756)</f>
        <v/>
      </c>
      <c r="AF756">
        <f>IF($E756="","",IF($AR756=1,0,IF($AQ756=1,Settings!$C$6,Settings!$C$7))*100)</f>
        <v/>
      </c>
      <c r="AJ756" s="7" t="n"/>
      <c r="AM756" s="11" t="n"/>
      <c r="AO756">
        <f>IF($E756="","",IF(COUNTIF($E$2:$E756,$E756)=1,1,0))</f>
        <v/>
      </c>
      <c r="AP756">
        <f>IF($AO756=1,SUMPRODUCT(--($AS$2:$AS$1001&lt;$AS756))+1,"")</f>
        <v/>
      </c>
      <c r="AQ756">
        <f>IF($E756="","",IF(OR($V756=TRUE(),$V756="TRUE"),1,0))</f>
        <v/>
      </c>
      <c r="AR756">
        <f>IF($E756="","",IF($AE756="Yes",1,0))</f>
        <v/>
      </c>
      <c r="AS756">
        <f>IF($AO756=1,IFERROR(IF(VALUE($E756)&lt;100000000,VALUE($E756),1000000000),IFERROR(IF(VALUE(MID($E756,2,20))&lt;100000000,VALUE(MID($E756,2,20)),1000000000),1000000000))+ROW()/100000,"")</f>
        <v/>
      </c>
    </row>
    <row r="757">
      <c r="D757">
        <f>IF($E757="","",IFERROR(IF(INDEX('Per Invoice'!$A$2:$A$301,MATCH($E757,'Per Invoice'!$B$2:$B$301,0))=0,"",INDEX('Per Invoice'!$A$2:$A$301,MATCH($E757,'Per Invoice'!$B$2:$B$301,0))),""))</f>
        <v/>
      </c>
      <c r="H757" s="11" t="n"/>
      <c r="R757" s="7">
        <f>IF($E757="","",Q757*Z757/100)</f>
        <v/>
      </c>
      <c r="S757" s="7" t="n"/>
      <c r="Y757" s="7" t="n"/>
      <c r="Z757" s="7" t="n"/>
      <c r="AA757" s="7">
        <f>IF($E757="","",Z757*AF757/100)</f>
        <v/>
      </c>
      <c r="AB757" s="7">
        <f>IF($E757="","",Z757-AA757)</f>
        <v/>
      </c>
      <c r="AC757" s="7">
        <f>IF($E757="","",AB757-R757)</f>
        <v/>
      </c>
      <c r="AF757">
        <f>IF($E757="","",IF($AR757=1,0,IF($AQ757=1,Settings!$C$6,Settings!$C$7))*100)</f>
        <v/>
      </c>
      <c r="AJ757" s="7" t="n"/>
      <c r="AM757" s="11" t="n"/>
      <c r="AO757">
        <f>IF($E757="","",IF(COUNTIF($E$2:$E757,$E757)=1,1,0))</f>
        <v/>
      </c>
      <c r="AP757">
        <f>IF($AO757=1,SUMPRODUCT(--($AS$2:$AS$1001&lt;$AS757))+1,"")</f>
        <v/>
      </c>
      <c r="AQ757">
        <f>IF($E757="","",IF(OR($V757=TRUE(),$V757="TRUE"),1,0))</f>
        <v/>
      </c>
      <c r="AR757">
        <f>IF($E757="","",IF($AE757="Yes",1,0))</f>
        <v/>
      </c>
      <c r="AS757">
        <f>IF($AO757=1,IFERROR(IF(VALUE($E757)&lt;100000000,VALUE($E757),1000000000),IFERROR(IF(VALUE(MID($E757,2,20))&lt;100000000,VALUE(MID($E757,2,20)),1000000000),1000000000))+ROW()/100000,"")</f>
        <v/>
      </c>
    </row>
    <row r="758">
      <c r="D758">
        <f>IF($E758="","",IFERROR(IF(INDEX('Per Invoice'!$A$2:$A$301,MATCH($E758,'Per Invoice'!$B$2:$B$301,0))=0,"",INDEX('Per Invoice'!$A$2:$A$301,MATCH($E758,'Per Invoice'!$B$2:$B$301,0))),""))</f>
        <v/>
      </c>
      <c r="H758" s="11" t="n"/>
      <c r="R758" s="7">
        <f>IF($E758="","",Q758*Z758/100)</f>
        <v/>
      </c>
      <c r="S758" s="7" t="n"/>
      <c r="Y758" s="7" t="n"/>
      <c r="Z758" s="7" t="n"/>
      <c r="AA758" s="7">
        <f>IF($E758="","",Z758*AF758/100)</f>
        <v/>
      </c>
      <c r="AB758" s="7">
        <f>IF($E758="","",Z758-AA758)</f>
        <v/>
      </c>
      <c r="AC758" s="7">
        <f>IF($E758="","",AB758-R758)</f>
        <v/>
      </c>
      <c r="AF758">
        <f>IF($E758="","",IF($AR758=1,0,IF($AQ758=1,Settings!$C$6,Settings!$C$7))*100)</f>
        <v/>
      </c>
      <c r="AJ758" s="7" t="n"/>
      <c r="AM758" s="11" t="n"/>
      <c r="AO758">
        <f>IF($E758="","",IF(COUNTIF($E$2:$E758,$E758)=1,1,0))</f>
        <v/>
      </c>
      <c r="AP758">
        <f>IF($AO758=1,SUMPRODUCT(--($AS$2:$AS$1001&lt;$AS758))+1,"")</f>
        <v/>
      </c>
      <c r="AQ758">
        <f>IF($E758="","",IF(OR($V758=TRUE(),$V758="TRUE"),1,0))</f>
        <v/>
      </c>
      <c r="AR758">
        <f>IF($E758="","",IF($AE758="Yes",1,0))</f>
        <v/>
      </c>
      <c r="AS758">
        <f>IF($AO758=1,IFERROR(IF(VALUE($E758)&lt;100000000,VALUE($E758),1000000000),IFERROR(IF(VALUE(MID($E758,2,20))&lt;100000000,VALUE(MID($E758,2,20)),1000000000),1000000000))+ROW()/100000,"")</f>
        <v/>
      </c>
    </row>
    <row r="759">
      <c r="D759">
        <f>IF($E759="","",IFERROR(IF(INDEX('Per Invoice'!$A$2:$A$301,MATCH($E759,'Per Invoice'!$B$2:$B$301,0))=0,"",INDEX('Per Invoice'!$A$2:$A$301,MATCH($E759,'Per Invoice'!$B$2:$B$301,0))),""))</f>
        <v/>
      </c>
      <c r="H759" s="11" t="n"/>
      <c r="R759" s="7">
        <f>IF($E759="","",Q759*Z759/100)</f>
        <v/>
      </c>
      <c r="S759" s="7" t="n"/>
      <c r="Y759" s="7" t="n"/>
      <c r="Z759" s="7" t="n"/>
      <c r="AA759" s="7">
        <f>IF($E759="","",Z759*AF759/100)</f>
        <v/>
      </c>
      <c r="AB759" s="7">
        <f>IF($E759="","",Z759-AA759)</f>
        <v/>
      </c>
      <c r="AC759" s="7">
        <f>IF($E759="","",AB759-R759)</f>
        <v/>
      </c>
      <c r="AF759">
        <f>IF($E759="","",IF($AR759=1,0,IF($AQ759=1,Settings!$C$6,Settings!$C$7))*100)</f>
        <v/>
      </c>
      <c r="AJ759" s="7" t="n"/>
      <c r="AM759" s="11" t="n"/>
      <c r="AO759">
        <f>IF($E759="","",IF(COUNTIF($E$2:$E759,$E759)=1,1,0))</f>
        <v/>
      </c>
      <c r="AP759">
        <f>IF($AO759=1,SUMPRODUCT(--($AS$2:$AS$1001&lt;$AS759))+1,"")</f>
        <v/>
      </c>
      <c r="AQ759">
        <f>IF($E759="","",IF(OR($V759=TRUE(),$V759="TRUE"),1,0))</f>
        <v/>
      </c>
      <c r="AR759">
        <f>IF($E759="","",IF($AE759="Yes",1,0))</f>
        <v/>
      </c>
      <c r="AS759">
        <f>IF($AO759=1,IFERROR(IF(VALUE($E759)&lt;100000000,VALUE($E759),1000000000),IFERROR(IF(VALUE(MID($E759,2,20))&lt;100000000,VALUE(MID($E759,2,20)),1000000000),1000000000))+ROW()/100000,"")</f>
        <v/>
      </c>
    </row>
    <row r="760">
      <c r="D760">
        <f>IF($E760="","",IFERROR(IF(INDEX('Per Invoice'!$A$2:$A$301,MATCH($E760,'Per Invoice'!$B$2:$B$301,0))=0,"",INDEX('Per Invoice'!$A$2:$A$301,MATCH($E760,'Per Invoice'!$B$2:$B$301,0))),""))</f>
        <v/>
      </c>
      <c r="H760" s="11" t="n"/>
      <c r="R760" s="7">
        <f>IF($E760="","",Q760*Z760/100)</f>
        <v/>
      </c>
      <c r="S760" s="7" t="n"/>
      <c r="Y760" s="7" t="n"/>
      <c r="Z760" s="7" t="n"/>
      <c r="AA760" s="7">
        <f>IF($E760="","",Z760*AF760/100)</f>
        <v/>
      </c>
      <c r="AB760" s="7">
        <f>IF($E760="","",Z760-AA760)</f>
        <v/>
      </c>
      <c r="AC760" s="7">
        <f>IF($E760="","",AB760-R760)</f>
        <v/>
      </c>
      <c r="AF760">
        <f>IF($E760="","",IF($AR760=1,0,IF($AQ760=1,Settings!$C$6,Settings!$C$7))*100)</f>
        <v/>
      </c>
      <c r="AJ760" s="7" t="n"/>
      <c r="AM760" s="11" t="n"/>
      <c r="AO760">
        <f>IF($E760="","",IF(COUNTIF($E$2:$E760,$E760)=1,1,0))</f>
        <v/>
      </c>
      <c r="AP760">
        <f>IF($AO760=1,SUMPRODUCT(--($AS$2:$AS$1001&lt;$AS760))+1,"")</f>
        <v/>
      </c>
      <c r="AQ760">
        <f>IF($E760="","",IF(OR($V760=TRUE(),$V760="TRUE"),1,0))</f>
        <v/>
      </c>
      <c r="AR760">
        <f>IF($E760="","",IF($AE760="Yes",1,0))</f>
        <v/>
      </c>
      <c r="AS760">
        <f>IF($AO760=1,IFERROR(IF(VALUE($E760)&lt;100000000,VALUE($E760),1000000000),IFERROR(IF(VALUE(MID($E760,2,20))&lt;100000000,VALUE(MID($E760,2,20)),1000000000),1000000000))+ROW()/100000,"")</f>
        <v/>
      </c>
    </row>
    <row r="761">
      <c r="D761">
        <f>IF($E761="","",IFERROR(IF(INDEX('Per Invoice'!$A$2:$A$301,MATCH($E761,'Per Invoice'!$B$2:$B$301,0))=0,"",INDEX('Per Invoice'!$A$2:$A$301,MATCH($E761,'Per Invoice'!$B$2:$B$301,0))),""))</f>
        <v/>
      </c>
      <c r="H761" s="11" t="n"/>
      <c r="R761" s="7">
        <f>IF($E761="","",Q761*Z761/100)</f>
        <v/>
      </c>
      <c r="S761" s="7" t="n"/>
      <c r="Y761" s="7" t="n"/>
      <c r="Z761" s="7" t="n"/>
      <c r="AA761" s="7">
        <f>IF($E761="","",Z761*AF761/100)</f>
        <v/>
      </c>
      <c r="AB761" s="7">
        <f>IF($E761="","",Z761-AA761)</f>
        <v/>
      </c>
      <c r="AC761" s="7">
        <f>IF($E761="","",AB761-R761)</f>
        <v/>
      </c>
      <c r="AF761">
        <f>IF($E761="","",IF($AR761=1,0,IF($AQ761=1,Settings!$C$6,Settings!$C$7))*100)</f>
        <v/>
      </c>
      <c r="AJ761" s="7" t="n"/>
      <c r="AM761" s="11" t="n"/>
      <c r="AO761">
        <f>IF($E761="","",IF(COUNTIF($E$2:$E761,$E761)=1,1,0))</f>
        <v/>
      </c>
      <c r="AP761">
        <f>IF($AO761=1,SUMPRODUCT(--($AS$2:$AS$1001&lt;$AS761))+1,"")</f>
        <v/>
      </c>
      <c r="AQ761">
        <f>IF($E761="","",IF(OR($V761=TRUE(),$V761="TRUE"),1,0))</f>
        <v/>
      </c>
      <c r="AR761">
        <f>IF($E761="","",IF($AE761="Yes",1,0))</f>
        <v/>
      </c>
      <c r="AS761">
        <f>IF($AO761=1,IFERROR(IF(VALUE($E761)&lt;100000000,VALUE($E761),1000000000),IFERROR(IF(VALUE(MID($E761,2,20))&lt;100000000,VALUE(MID($E761,2,20)),1000000000),1000000000))+ROW()/100000,"")</f>
        <v/>
      </c>
    </row>
    <row r="762">
      <c r="D762">
        <f>IF($E762="","",IFERROR(IF(INDEX('Per Invoice'!$A$2:$A$301,MATCH($E762,'Per Invoice'!$B$2:$B$301,0))=0,"",INDEX('Per Invoice'!$A$2:$A$301,MATCH($E762,'Per Invoice'!$B$2:$B$301,0))),""))</f>
        <v/>
      </c>
      <c r="H762" s="11" t="n"/>
      <c r="R762" s="7">
        <f>IF($E762="","",Q762*Z762/100)</f>
        <v/>
      </c>
      <c r="S762" s="7" t="n"/>
      <c r="Y762" s="7" t="n"/>
      <c r="Z762" s="7" t="n"/>
      <c r="AA762" s="7">
        <f>IF($E762="","",Z762*AF762/100)</f>
        <v/>
      </c>
      <c r="AB762" s="7">
        <f>IF($E762="","",Z762-AA762)</f>
        <v/>
      </c>
      <c r="AC762" s="7">
        <f>IF($E762="","",AB762-R762)</f>
        <v/>
      </c>
      <c r="AF762">
        <f>IF($E762="","",IF($AR762=1,0,IF($AQ762=1,Settings!$C$6,Settings!$C$7))*100)</f>
        <v/>
      </c>
      <c r="AJ762" s="7" t="n"/>
      <c r="AM762" s="11" t="n"/>
      <c r="AO762">
        <f>IF($E762="","",IF(COUNTIF($E$2:$E762,$E762)=1,1,0))</f>
        <v/>
      </c>
      <c r="AP762">
        <f>IF($AO762=1,SUMPRODUCT(--($AS$2:$AS$1001&lt;$AS762))+1,"")</f>
        <v/>
      </c>
      <c r="AQ762">
        <f>IF($E762="","",IF(OR($V762=TRUE(),$V762="TRUE"),1,0))</f>
        <v/>
      </c>
      <c r="AR762">
        <f>IF($E762="","",IF($AE762="Yes",1,0))</f>
        <v/>
      </c>
      <c r="AS762">
        <f>IF($AO762=1,IFERROR(IF(VALUE($E762)&lt;100000000,VALUE($E762),1000000000),IFERROR(IF(VALUE(MID($E762,2,20))&lt;100000000,VALUE(MID($E762,2,20)),1000000000),1000000000))+ROW()/100000,"")</f>
        <v/>
      </c>
    </row>
    <row r="763">
      <c r="D763">
        <f>IF($E763="","",IFERROR(IF(INDEX('Per Invoice'!$A$2:$A$301,MATCH($E763,'Per Invoice'!$B$2:$B$301,0))=0,"",INDEX('Per Invoice'!$A$2:$A$301,MATCH($E763,'Per Invoice'!$B$2:$B$301,0))),""))</f>
        <v/>
      </c>
      <c r="H763" s="11" t="n"/>
      <c r="R763" s="7">
        <f>IF($E763="","",Q763*Z763/100)</f>
        <v/>
      </c>
      <c r="S763" s="7" t="n"/>
      <c r="Y763" s="7" t="n"/>
      <c r="Z763" s="7" t="n"/>
      <c r="AA763" s="7">
        <f>IF($E763="","",Z763*AF763/100)</f>
        <v/>
      </c>
      <c r="AB763" s="7">
        <f>IF($E763="","",Z763-AA763)</f>
        <v/>
      </c>
      <c r="AC763" s="7">
        <f>IF($E763="","",AB763-R763)</f>
        <v/>
      </c>
      <c r="AF763">
        <f>IF($E763="","",IF($AR763=1,0,IF($AQ763=1,Settings!$C$6,Settings!$C$7))*100)</f>
        <v/>
      </c>
      <c r="AJ763" s="7" t="n"/>
      <c r="AM763" s="11" t="n"/>
      <c r="AO763">
        <f>IF($E763="","",IF(COUNTIF($E$2:$E763,$E763)=1,1,0))</f>
        <v/>
      </c>
      <c r="AP763">
        <f>IF($AO763=1,SUMPRODUCT(--($AS$2:$AS$1001&lt;$AS763))+1,"")</f>
        <v/>
      </c>
      <c r="AQ763">
        <f>IF($E763="","",IF(OR($V763=TRUE(),$V763="TRUE"),1,0))</f>
        <v/>
      </c>
      <c r="AR763">
        <f>IF($E763="","",IF($AE763="Yes",1,0))</f>
        <v/>
      </c>
      <c r="AS763">
        <f>IF($AO763=1,IFERROR(IF(VALUE($E763)&lt;100000000,VALUE($E763),1000000000),IFERROR(IF(VALUE(MID($E763,2,20))&lt;100000000,VALUE(MID($E763,2,20)),1000000000),1000000000))+ROW()/100000,"")</f>
        <v/>
      </c>
    </row>
    <row r="764">
      <c r="D764">
        <f>IF($E764="","",IFERROR(IF(INDEX('Per Invoice'!$A$2:$A$301,MATCH($E764,'Per Invoice'!$B$2:$B$301,0))=0,"",INDEX('Per Invoice'!$A$2:$A$301,MATCH($E764,'Per Invoice'!$B$2:$B$301,0))),""))</f>
        <v/>
      </c>
      <c r="H764" s="11" t="n"/>
      <c r="R764" s="7">
        <f>IF($E764="","",Q764*Z764/100)</f>
        <v/>
      </c>
      <c r="S764" s="7" t="n"/>
      <c r="Y764" s="7" t="n"/>
      <c r="Z764" s="7" t="n"/>
      <c r="AA764" s="7">
        <f>IF($E764="","",Z764*AF764/100)</f>
        <v/>
      </c>
      <c r="AB764" s="7">
        <f>IF($E764="","",Z764-AA764)</f>
        <v/>
      </c>
      <c r="AC764" s="7">
        <f>IF($E764="","",AB764-R764)</f>
        <v/>
      </c>
      <c r="AF764">
        <f>IF($E764="","",IF($AR764=1,0,IF($AQ764=1,Settings!$C$6,Settings!$C$7))*100)</f>
        <v/>
      </c>
      <c r="AJ764" s="7" t="n"/>
      <c r="AM764" s="11" t="n"/>
      <c r="AO764">
        <f>IF($E764="","",IF(COUNTIF($E$2:$E764,$E764)=1,1,0))</f>
        <v/>
      </c>
      <c r="AP764">
        <f>IF($AO764=1,SUMPRODUCT(--($AS$2:$AS$1001&lt;$AS764))+1,"")</f>
        <v/>
      </c>
      <c r="AQ764">
        <f>IF($E764="","",IF(OR($V764=TRUE(),$V764="TRUE"),1,0))</f>
        <v/>
      </c>
      <c r="AR764">
        <f>IF($E764="","",IF($AE764="Yes",1,0))</f>
        <v/>
      </c>
      <c r="AS764">
        <f>IF($AO764=1,IFERROR(IF(VALUE($E764)&lt;100000000,VALUE($E764),1000000000),IFERROR(IF(VALUE(MID($E764,2,20))&lt;100000000,VALUE(MID($E764,2,20)),1000000000),1000000000))+ROW()/100000,"")</f>
        <v/>
      </c>
    </row>
    <row r="765">
      <c r="D765">
        <f>IF($E765="","",IFERROR(IF(INDEX('Per Invoice'!$A$2:$A$301,MATCH($E765,'Per Invoice'!$B$2:$B$301,0))=0,"",INDEX('Per Invoice'!$A$2:$A$301,MATCH($E765,'Per Invoice'!$B$2:$B$301,0))),""))</f>
        <v/>
      </c>
      <c r="H765" s="11" t="n"/>
      <c r="R765" s="7">
        <f>IF($E765="","",Q765*Z765/100)</f>
        <v/>
      </c>
      <c r="S765" s="7" t="n"/>
      <c r="Y765" s="7" t="n"/>
      <c r="Z765" s="7" t="n"/>
      <c r="AA765" s="7">
        <f>IF($E765="","",Z765*AF765/100)</f>
        <v/>
      </c>
      <c r="AB765" s="7">
        <f>IF($E765="","",Z765-AA765)</f>
        <v/>
      </c>
      <c r="AC765" s="7">
        <f>IF($E765="","",AB765-R765)</f>
        <v/>
      </c>
      <c r="AF765">
        <f>IF($E765="","",IF($AR765=1,0,IF($AQ765=1,Settings!$C$6,Settings!$C$7))*100)</f>
        <v/>
      </c>
      <c r="AJ765" s="7" t="n"/>
      <c r="AM765" s="11" t="n"/>
      <c r="AO765">
        <f>IF($E765="","",IF(COUNTIF($E$2:$E765,$E765)=1,1,0))</f>
        <v/>
      </c>
      <c r="AP765">
        <f>IF($AO765=1,SUMPRODUCT(--($AS$2:$AS$1001&lt;$AS765))+1,"")</f>
        <v/>
      </c>
      <c r="AQ765">
        <f>IF($E765="","",IF(OR($V765=TRUE(),$V765="TRUE"),1,0))</f>
        <v/>
      </c>
      <c r="AR765">
        <f>IF($E765="","",IF($AE765="Yes",1,0))</f>
        <v/>
      </c>
      <c r="AS765">
        <f>IF($AO765=1,IFERROR(IF(VALUE($E765)&lt;100000000,VALUE($E765),1000000000),IFERROR(IF(VALUE(MID($E765,2,20))&lt;100000000,VALUE(MID($E765,2,20)),1000000000),1000000000))+ROW()/100000,"")</f>
        <v/>
      </c>
    </row>
    <row r="766">
      <c r="D766">
        <f>IF($E766="","",IFERROR(IF(INDEX('Per Invoice'!$A$2:$A$301,MATCH($E766,'Per Invoice'!$B$2:$B$301,0))=0,"",INDEX('Per Invoice'!$A$2:$A$301,MATCH($E766,'Per Invoice'!$B$2:$B$301,0))),""))</f>
        <v/>
      </c>
      <c r="H766" s="11" t="n"/>
      <c r="R766" s="7">
        <f>IF($E766="","",Q766*Z766/100)</f>
        <v/>
      </c>
      <c r="S766" s="7" t="n"/>
      <c r="Y766" s="7" t="n"/>
      <c r="Z766" s="7" t="n"/>
      <c r="AA766" s="7">
        <f>IF($E766="","",Z766*AF766/100)</f>
        <v/>
      </c>
      <c r="AB766" s="7">
        <f>IF($E766="","",Z766-AA766)</f>
        <v/>
      </c>
      <c r="AC766" s="7">
        <f>IF($E766="","",AB766-R766)</f>
        <v/>
      </c>
      <c r="AF766">
        <f>IF($E766="","",IF($AR766=1,0,IF($AQ766=1,Settings!$C$6,Settings!$C$7))*100)</f>
        <v/>
      </c>
      <c r="AJ766" s="7" t="n"/>
      <c r="AM766" s="11" t="n"/>
      <c r="AO766">
        <f>IF($E766="","",IF(COUNTIF($E$2:$E766,$E766)=1,1,0))</f>
        <v/>
      </c>
      <c r="AP766">
        <f>IF($AO766=1,SUMPRODUCT(--($AS$2:$AS$1001&lt;$AS766))+1,"")</f>
        <v/>
      </c>
      <c r="AQ766">
        <f>IF($E766="","",IF(OR($V766=TRUE(),$V766="TRUE"),1,0))</f>
        <v/>
      </c>
      <c r="AR766">
        <f>IF($E766="","",IF($AE766="Yes",1,0))</f>
        <v/>
      </c>
      <c r="AS766">
        <f>IF($AO766=1,IFERROR(IF(VALUE($E766)&lt;100000000,VALUE($E766),1000000000),IFERROR(IF(VALUE(MID($E766,2,20))&lt;100000000,VALUE(MID($E766,2,20)),1000000000),1000000000))+ROW()/100000,"")</f>
        <v/>
      </c>
    </row>
    <row r="767">
      <c r="D767">
        <f>IF($E767="","",IFERROR(IF(INDEX('Per Invoice'!$A$2:$A$301,MATCH($E767,'Per Invoice'!$B$2:$B$301,0))=0,"",INDEX('Per Invoice'!$A$2:$A$301,MATCH($E767,'Per Invoice'!$B$2:$B$301,0))),""))</f>
        <v/>
      </c>
      <c r="H767" s="11" t="n"/>
      <c r="R767" s="7">
        <f>IF($E767="","",Q767*Z767/100)</f>
        <v/>
      </c>
      <c r="S767" s="7" t="n"/>
      <c r="Y767" s="7" t="n"/>
      <c r="Z767" s="7" t="n"/>
      <c r="AA767" s="7">
        <f>IF($E767="","",Z767*AF767/100)</f>
        <v/>
      </c>
      <c r="AB767" s="7">
        <f>IF($E767="","",Z767-AA767)</f>
        <v/>
      </c>
      <c r="AC767" s="7">
        <f>IF($E767="","",AB767-R767)</f>
        <v/>
      </c>
      <c r="AF767">
        <f>IF($E767="","",IF($AR767=1,0,IF($AQ767=1,Settings!$C$6,Settings!$C$7))*100)</f>
        <v/>
      </c>
      <c r="AJ767" s="7" t="n"/>
      <c r="AM767" s="11" t="n"/>
      <c r="AO767">
        <f>IF($E767="","",IF(COUNTIF($E$2:$E767,$E767)=1,1,0))</f>
        <v/>
      </c>
      <c r="AP767">
        <f>IF($AO767=1,SUMPRODUCT(--($AS$2:$AS$1001&lt;$AS767))+1,"")</f>
        <v/>
      </c>
      <c r="AQ767">
        <f>IF($E767="","",IF(OR($V767=TRUE(),$V767="TRUE"),1,0))</f>
        <v/>
      </c>
      <c r="AR767">
        <f>IF($E767="","",IF($AE767="Yes",1,0))</f>
        <v/>
      </c>
      <c r="AS767">
        <f>IF($AO767=1,IFERROR(IF(VALUE($E767)&lt;100000000,VALUE($E767),1000000000),IFERROR(IF(VALUE(MID($E767,2,20))&lt;100000000,VALUE(MID($E767,2,20)),1000000000),1000000000))+ROW()/100000,"")</f>
        <v/>
      </c>
    </row>
    <row r="768">
      <c r="D768">
        <f>IF($E768="","",IFERROR(IF(INDEX('Per Invoice'!$A$2:$A$301,MATCH($E768,'Per Invoice'!$B$2:$B$301,0))=0,"",INDEX('Per Invoice'!$A$2:$A$301,MATCH($E768,'Per Invoice'!$B$2:$B$301,0))),""))</f>
        <v/>
      </c>
      <c r="H768" s="11" t="n"/>
      <c r="R768" s="7">
        <f>IF($E768="","",Q768*Z768/100)</f>
        <v/>
      </c>
      <c r="S768" s="7" t="n"/>
      <c r="Y768" s="7" t="n"/>
      <c r="Z768" s="7" t="n"/>
      <c r="AA768" s="7">
        <f>IF($E768="","",Z768*AF768/100)</f>
        <v/>
      </c>
      <c r="AB768" s="7">
        <f>IF($E768="","",Z768-AA768)</f>
        <v/>
      </c>
      <c r="AC768" s="7">
        <f>IF($E768="","",AB768-R768)</f>
        <v/>
      </c>
      <c r="AF768">
        <f>IF($E768="","",IF($AR768=1,0,IF($AQ768=1,Settings!$C$6,Settings!$C$7))*100)</f>
        <v/>
      </c>
      <c r="AJ768" s="7" t="n"/>
      <c r="AM768" s="11" t="n"/>
      <c r="AO768">
        <f>IF($E768="","",IF(COUNTIF($E$2:$E768,$E768)=1,1,0))</f>
        <v/>
      </c>
      <c r="AP768">
        <f>IF($AO768=1,SUMPRODUCT(--($AS$2:$AS$1001&lt;$AS768))+1,"")</f>
        <v/>
      </c>
      <c r="AQ768">
        <f>IF($E768="","",IF(OR($V768=TRUE(),$V768="TRUE"),1,0))</f>
        <v/>
      </c>
      <c r="AR768">
        <f>IF($E768="","",IF($AE768="Yes",1,0))</f>
        <v/>
      </c>
      <c r="AS768">
        <f>IF($AO768=1,IFERROR(IF(VALUE($E768)&lt;100000000,VALUE($E768),1000000000),IFERROR(IF(VALUE(MID($E768,2,20))&lt;100000000,VALUE(MID($E768,2,20)),1000000000),1000000000))+ROW()/100000,"")</f>
        <v/>
      </c>
    </row>
    <row r="769">
      <c r="D769">
        <f>IF($E769="","",IFERROR(IF(INDEX('Per Invoice'!$A$2:$A$301,MATCH($E769,'Per Invoice'!$B$2:$B$301,0))=0,"",INDEX('Per Invoice'!$A$2:$A$301,MATCH($E769,'Per Invoice'!$B$2:$B$301,0))),""))</f>
        <v/>
      </c>
      <c r="H769" s="11" t="n"/>
      <c r="R769" s="7">
        <f>IF($E769="","",Q769*Z769/100)</f>
        <v/>
      </c>
      <c r="S769" s="7" t="n"/>
      <c r="Y769" s="7" t="n"/>
      <c r="Z769" s="7" t="n"/>
      <c r="AA769" s="7">
        <f>IF($E769="","",Z769*AF769/100)</f>
        <v/>
      </c>
      <c r="AB769" s="7">
        <f>IF($E769="","",Z769-AA769)</f>
        <v/>
      </c>
      <c r="AC769" s="7">
        <f>IF($E769="","",AB769-R769)</f>
        <v/>
      </c>
      <c r="AF769">
        <f>IF($E769="","",IF($AR769=1,0,IF($AQ769=1,Settings!$C$6,Settings!$C$7))*100)</f>
        <v/>
      </c>
      <c r="AJ769" s="7" t="n"/>
      <c r="AM769" s="11" t="n"/>
      <c r="AO769">
        <f>IF($E769="","",IF(COUNTIF($E$2:$E769,$E769)=1,1,0))</f>
        <v/>
      </c>
      <c r="AP769">
        <f>IF($AO769=1,SUMPRODUCT(--($AS$2:$AS$1001&lt;$AS769))+1,"")</f>
        <v/>
      </c>
      <c r="AQ769">
        <f>IF($E769="","",IF(OR($V769=TRUE(),$V769="TRUE"),1,0))</f>
        <v/>
      </c>
      <c r="AR769">
        <f>IF($E769="","",IF($AE769="Yes",1,0))</f>
        <v/>
      </c>
      <c r="AS769">
        <f>IF($AO769=1,IFERROR(IF(VALUE($E769)&lt;100000000,VALUE($E769),1000000000),IFERROR(IF(VALUE(MID($E769,2,20))&lt;100000000,VALUE(MID($E769,2,20)),1000000000),1000000000))+ROW()/100000,"")</f>
        <v/>
      </c>
    </row>
    <row r="770">
      <c r="D770">
        <f>IF($E770="","",IFERROR(IF(INDEX('Per Invoice'!$A$2:$A$301,MATCH($E770,'Per Invoice'!$B$2:$B$301,0))=0,"",INDEX('Per Invoice'!$A$2:$A$301,MATCH($E770,'Per Invoice'!$B$2:$B$301,0))),""))</f>
        <v/>
      </c>
      <c r="H770" s="11" t="n"/>
      <c r="R770" s="7">
        <f>IF($E770="","",Q770*Z770/100)</f>
        <v/>
      </c>
      <c r="S770" s="7" t="n"/>
      <c r="Y770" s="7" t="n"/>
      <c r="Z770" s="7" t="n"/>
      <c r="AA770" s="7">
        <f>IF($E770="","",Z770*AF770/100)</f>
        <v/>
      </c>
      <c r="AB770" s="7">
        <f>IF($E770="","",Z770-AA770)</f>
        <v/>
      </c>
      <c r="AC770" s="7">
        <f>IF($E770="","",AB770-R770)</f>
        <v/>
      </c>
      <c r="AF770">
        <f>IF($E770="","",IF($AR770=1,0,IF($AQ770=1,Settings!$C$6,Settings!$C$7))*100)</f>
        <v/>
      </c>
      <c r="AJ770" s="7" t="n"/>
      <c r="AM770" s="11" t="n"/>
      <c r="AO770">
        <f>IF($E770="","",IF(COUNTIF($E$2:$E770,$E770)=1,1,0))</f>
        <v/>
      </c>
      <c r="AP770">
        <f>IF($AO770=1,SUMPRODUCT(--($AS$2:$AS$1001&lt;$AS770))+1,"")</f>
        <v/>
      </c>
      <c r="AQ770">
        <f>IF($E770="","",IF(OR($V770=TRUE(),$V770="TRUE"),1,0))</f>
        <v/>
      </c>
      <c r="AR770">
        <f>IF($E770="","",IF($AE770="Yes",1,0))</f>
        <v/>
      </c>
      <c r="AS770">
        <f>IF($AO770=1,IFERROR(IF(VALUE($E770)&lt;100000000,VALUE($E770),1000000000),IFERROR(IF(VALUE(MID($E770,2,20))&lt;100000000,VALUE(MID($E770,2,20)),1000000000),1000000000))+ROW()/100000,"")</f>
        <v/>
      </c>
    </row>
    <row r="771">
      <c r="D771">
        <f>IF($E771="","",IFERROR(IF(INDEX('Per Invoice'!$A$2:$A$301,MATCH($E771,'Per Invoice'!$B$2:$B$301,0))=0,"",INDEX('Per Invoice'!$A$2:$A$301,MATCH($E771,'Per Invoice'!$B$2:$B$301,0))),""))</f>
        <v/>
      </c>
      <c r="H771" s="11" t="n"/>
      <c r="R771" s="7">
        <f>IF($E771="","",Q771*Z771/100)</f>
        <v/>
      </c>
      <c r="S771" s="7" t="n"/>
      <c r="Y771" s="7" t="n"/>
      <c r="Z771" s="7" t="n"/>
      <c r="AA771" s="7">
        <f>IF($E771="","",Z771*AF771/100)</f>
        <v/>
      </c>
      <c r="AB771" s="7">
        <f>IF($E771="","",Z771-AA771)</f>
        <v/>
      </c>
      <c r="AC771" s="7">
        <f>IF($E771="","",AB771-R771)</f>
        <v/>
      </c>
      <c r="AF771">
        <f>IF($E771="","",IF($AR771=1,0,IF($AQ771=1,Settings!$C$6,Settings!$C$7))*100)</f>
        <v/>
      </c>
      <c r="AJ771" s="7" t="n"/>
      <c r="AM771" s="11" t="n"/>
      <c r="AO771">
        <f>IF($E771="","",IF(COUNTIF($E$2:$E771,$E771)=1,1,0))</f>
        <v/>
      </c>
      <c r="AP771">
        <f>IF($AO771=1,SUMPRODUCT(--($AS$2:$AS$1001&lt;$AS771))+1,"")</f>
        <v/>
      </c>
      <c r="AQ771">
        <f>IF($E771="","",IF(OR($V771=TRUE(),$V771="TRUE"),1,0))</f>
        <v/>
      </c>
      <c r="AR771">
        <f>IF($E771="","",IF($AE771="Yes",1,0))</f>
        <v/>
      </c>
      <c r="AS771">
        <f>IF($AO771=1,IFERROR(IF(VALUE($E771)&lt;100000000,VALUE($E771),1000000000),IFERROR(IF(VALUE(MID($E771,2,20))&lt;100000000,VALUE(MID($E771,2,20)),1000000000),1000000000))+ROW()/100000,"")</f>
        <v/>
      </c>
    </row>
    <row r="772">
      <c r="D772">
        <f>IF($E772="","",IFERROR(IF(INDEX('Per Invoice'!$A$2:$A$301,MATCH($E772,'Per Invoice'!$B$2:$B$301,0))=0,"",INDEX('Per Invoice'!$A$2:$A$301,MATCH($E772,'Per Invoice'!$B$2:$B$301,0))),""))</f>
        <v/>
      </c>
      <c r="H772" s="11" t="n"/>
      <c r="R772" s="7">
        <f>IF($E772="","",Q772*Z772/100)</f>
        <v/>
      </c>
      <c r="S772" s="7" t="n"/>
      <c r="Y772" s="7" t="n"/>
      <c r="Z772" s="7" t="n"/>
      <c r="AA772" s="7">
        <f>IF($E772="","",Z772*AF772/100)</f>
        <v/>
      </c>
      <c r="AB772" s="7">
        <f>IF($E772="","",Z772-AA772)</f>
        <v/>
      </c>
      <c r="AC772" s="7">
        <f>IF($E772="","",AB772-R772)</f>
        <v/>
      </c>
      <c r="AF772">
        <f>IF($E772="","",IF($AR772=1,0,IF($AQ772=1,Settings!$C$6,Settings!$C$7))*100)</f>
        <v/>
      </c>
      <c r="AJ772" s="7" t="n"/>
      <c r="AM772" s="11" t="n"/>
      <c r="AO772">
        <f>IF($E772="","",IF(COUNTIF($E$2:$E772,$E772)=1,1,0))</f>
        <v/>
      </c>
      <c r="AP772">
        <f>IF($AO772=1,SUMPRODUCT(--($AS$2:$AS$1001&lt;$AS772))+1,"")</f>
        <v/>
      </c>
      <c r="AQ772">
        <f>IF($E772="","",IF(OR($V772=TRUE(),$V772="TRUE"),1,0))</f>
        <v/>
      </c>
      <c r="AR772">
        <f>IF($E772="","",IF($AE772="Yes",1,0))</f>
        <v/>
      </c>
      <c r="AS772">
        <f>IF($AO772=1,IFERROR(IF(VALUE($E772)&lt;100000000,VALUE($E772),1000000000),IFERROR(IF(VALUE(MID($E772,2,20))&lt;100000000,VALUE(MID($E772,2,20)),1000000000),1000000000))+ROW()/100000,"")</f>
        <v/>
      </c>
    </row>
    <row r="773">
      <c r="D773">
        <f>IF($E773="","",IFERROR(IF(INDEX('Per Invoice'!$A$2:$A$301,MATCH($E773,'Per Invoice'!$B$2:$B$301,0))=0,"",INDEX('Per Invoice'!$A$2:$A$301,MATCH($E773,'Per Invoice'!$B$2:$B$301,0))),""))</f>
        <v/>
      </c>
      <c r="H773" s="11" t="n"/>
      <c r="R773" s="7">
        <f>IF($E773="","",Q773*Z773/100)</f>
        <v/>
      </c>
      <c r="S773" s="7" t="n"/>
      <c r="Y773" s="7" t="n"/>
      <c r="Z773" s="7" t="n"/>
      <c r="AA773" s="7">
        <f>IF($E773="","",Z773*AF773/100)</f>
        <v/>
      </c>
      <c r="AB773" s="7">
        <f>IF($E773="","",Z773-AA773)</f>
        <v/>
      </c>
      <c r="AC773" s="7">
        <f>IF($E773="","",AB773-R773)</f>
        <v/>
      </c>
      <c r="AF773">
        <f>IF($E773="","",IF($AR773=1,0,IF($AQ773=1,Settings!$C$6,Settings!$C$7))*100)</f>
        <v/>
      </c>
      <c r="AJ773" s="7" t="n"/>
      <c r="AM773" s="11" t="n"/>
      <c r="AO773">
        <f>IF($E773="","",IF(COUNTIF($E$2:$E773,$E773)=1,1,0))</f>
        <v/>
      </c>
      <c r="AP773">
        <f>IF($AO773=1,SUMPRODUCT(--($AS$2:$AS$1001&lt;$AS773))+1,"")</f>
        <v/>
      </c>
      <c r="AQ773">
        <f>IF($E773="","",IF(OR($V773=TRUE(),$V773="TRUE"),1,0))</f>
        <v/>
      </c>
      <c r="AR773">
        <f>IF($E773="","",IF($AE773="Yes",1,0))</f>
        <v/>
      </c>
      <c r="AS773">
        <f>IF($AO773=1,IFERROR(IF(VALUE($E773)&lt;100000000,VALUE($E773),1000000000),IFERROR(IF(VALUE(MID($E773,2,20))&lt;100000000,VALUE(MID($E773,2,20)),1000000000),1000000000))+ROW()/100000,"")</f>
        <v/>
      </c>
    </row>
    <row r="774">
      <c r="D774">
        <f>IF($E774="","",IFERROR(IF(INDEX('Per Invoice'!$A$2:$A$301,MATCH($E774,'Per Invoice'!$B$2:$B$301,0))=0,"",INDEX('Per Invoice'!$A$2:$A$301,MATCH($E774,'Per Invoice'!$B$2:$B$301,0))),""))</f>
        <v/>
      </c>
      <c r="H774" s="11" t="n"/>
      <c r="R774" s="7">
        <f>IF($E774="","",Q774*Z774/100)</f>
        <v/>
      </c>
      <c r="S774" s="7" t="n"/>
      <c r="Y774" s="7" t="n"/>
      <c r="Z774" s="7" t="n"/>
      <c r="AA774" s="7">
        <f>IF($E774="","",Z774*AF774/100)</f>
        <v/>
      </c>
      <c r="AB774" s="7">
        <f>IF($E774="","",Z774-AA774)</f>
        <v/>
      </c>
      <c r="AC774" s="7">
        <f>IF($E774="","",AB774-R774)</f>
        <v/>
      </c>
      <c r="AF774">
        <f>IF($E774="","",IF($AR774=1,0,IF($AQ774=1,Settings!$C$6,Settings!$C$7))*100)</f>
        <v/>
      </c>
      <c r="AJ774" s="7" t="n"/>
      <c r="AM774" s="11" t="n"/>
      <c r="AO774">
        <f>IF($E774="","",IF(COUNTIF($E$2:$E774,$E774)=1,1,0))</f>
        <v/>
      </c>
      <c r="AP774">
        <f>IF($AO774=1,SUMPRODUCT(--($AS$2:$AS$1001&lt;$AS774))+1,"")</f>
        <v/>
      </c>
      <c r="AQ774">
        <f>IF($E774="","",IF(OR($V774=TRUE(),$V774="TRUE"),1,0))</f>
        <v/>
      </c>
      <c r="AR774">
        <f>IF($E774="","",IF($AE774="Yes",1,0))</f>
        <v/>
      </c>
      <c r="AS774">
        <f>IF($AO774=1,IFERROR(IF(VALUE($E774)&lt;100000000,VALUE($E774),1000000000),IFERROR(IF(VALUE(MID($E774,2,20))&lt;100000000,VALUE(MID($E774,2,20)),1000000000),1000000000))+ROW()/100000,"")</f>
        <v/>
      </c>
    </row>
    <row r="775">
      <c r="D775">
        <f>IF($E775="","",IFERROR(IF(INDEX('Per Invoice'!$A$2:$A$301,MATCH($E775,'Per Invoice'!$B$2:$B$301,0))=0,"",INDEX('Per Invoice'!$A$2:$A$301,MATCH($E775,'Per Invoice'!$B$2:$B$301,0))),""))</f>
        <v/>
      </c>
      <c r="H775" s="11" t="n"/>
      <c r="R775" s="7">
        <f>IF($E775="","",Q775*Z775/100)</f>
        <v/>
      </c>
      <c r="S775" s="7" t="n"/>
      <c r="Y775" s="7" t="n"/>
      <c r="Z775" s="7" t="n"/>
      <c r="AA775" s="7">
        <f>IF($E775="","",Z775*AF775/100)</f>
        <v/>
      </c>
      <c r="AB775" s="7">
        <f>IF($E775="","",Z775-AA775)</f>
        <v/>
      </c>
      <c r="AC775" s="7">
        <f>IF($E775="","",AB775-R775)</f>
        <v/>
      </c>
      <c r="AF775">
        <f>IF($E775="","",IF($AR775=1,0,IF($AQ775=1,Settings!$C$6,Settings!$C$7))*100)</f>
        <v/>
      </c>
      <c r="AJ775" s="7" t="n"/>
      <c r="AM775" s="11" t="n"/>
      <c r="AO775">
        <f>IF($E775="","",IF(COUNTIF($E$2:$E775,$E775)=1,1,0))</f>
        <v/>
      </c>
      <c r="AP775">
        <f>IF($AO775=1,SUMPRODUCT(--($AS$2:$AS$1001&lt;$AS775))+1,"")</f>
        <v/>
      </c>
      <c r="AQ775">
        <f>IF($E775="","",IF(OR($V775=TRUE(),$V775="TRUE"),1,0))</f>
        <v/>
      </c>
      <c r="AR775">
        <f>IF($E775="","",IF($AE775="Yes",1,0))</f>
        <v/>
      </c>
      <c r="AS775">
        <f>IF($AO775=1,IFERROR(IF(VALUE($E775)&lt;100000000,VALUE($E775),1000000000),IFERROR(IF(VALUE(MID($E775,2,20))&lt;100000000,VALUE(MID($E775,2,20)),1000000000),1000000000))+ROW()/100000,"")</f>
        <v/>
      </c>
    </row>
    <row r="776">
      <c r="D776">
        <f>IF($E776="","",IFERROR(IF(INDEX('Per Invoice'!$A$2:$A$301,MATCH($E776,'Per Invoice'!$B$2:$B$301,0))=0,"",INDEX('Per Invoice'!$A$2:$A$301,MATCH($E776,'Per Invoice'!$B$2:$B$301,0))),""))</f>
        <v/>
      </c>
      <c r="H776" s="11" t="n"/>
      <c r="R776" s="7">
        <f>IF($E776="","",Q776*Z776/100)</f>
        <v/>
      </c>
      <c r="S776" s="7" t="n"/>
      <c r="Y776" s="7" t="n"/>
      <c r="Z776" s="7" t="n"/>
      <c r="AA776" s="7">
        <f>IF($E776="","",Z776*AF776/100)</f>
        <v/>
      </c>
      <c r="AB776" s="7">
        <f>IF($E776="","",Z776-AA776)</f>
        <v/>
      </c>
      <c r="AC776" s="7">
        <f>IF($E776="","",AB776-R776)</f>
        <v/>
      </c>
      <c r="AF776">
        <f>IF($E776="","",IF($AR776=1,0,IF($AQ776=1,Settings!$C$6,Settings!$C$7))*100)</f>
        <v/>
      </c>
      <c r="AJ776" s="7" t="n"/>
      <c r="AM776" s="11" t="n"/>
      <c r="AO776">
        <f>IF($E776="","",IF(COUNTIF($E$2:$E776,$E776)=1,1,0))</f>
        <v/>
      </c>
      <c r="AP776">
        <f>IF($AO776=1,SUMPRODUCT(--($AS$2:$AS$1001&lt;$AS776))+1,"")</f>
        <v/>
      </c>
      <c r="AQ776">
        <f>IF($E776="","",IF(OR($V776=TRUE(),$V776="TRUE"),1,0))</f>
        <v/>
      </c>
      <c r="AR776">
        <f>IF($E776="","",IF($AE776="Yes",1,0))</f>
        <v/>
      </c>
      <c r="AS776">
        <f>IF($AO776=1,IFERROR(IF(VALUE($E776)&lt;100000000,VALUE($E776),1000000000),IFERROR(IF(VALUE(MID($E776,2,20))&lt;100000000,VALUE(MID($E776,2,20)),1000000000),1000000000))+ROW()/100000,"")</f>
        <v/>
      </c>
    </row>
    <row r="777">
      <c r="D777">
        <f>IF($E777="","",IFERROR(IF(INDEX('Per Invoice'!$A$2:$A$301,MATCH($E777,'Per Invoice'!$B$2:$B$301,0))=0,"",INDEX('Per Invoice'!$A$2:$A$301,MATCH($E777,'Per Invoice'!$B$2:$B$301,0))),""))</f>
        <v/>
      </c>
      <c r="H777" s="11" t="n"/>
      <c r="R777" s="7">
        <f>IF($E777="","",Q777*Z777/100)</f>
        <v/>
      </c>
      <c r="S777" s="7" t="n"/>
      <c r="Y777" s="7" t="n"/>
      <c r="Z777" s="7" t="n"/>
      <c r="AA777" s="7">
        <f>IF($E777="","",Z777*AF777/100)</f>
        <v/>
      </c>
      <c r="AB777" s="7">
        <f>IF($E777="","",Z777-AA777)</f>
        <v/>
      </c>
      <c r="AC777" s="7">
        <f>IF($E777="","",AB777-R777)</f>
        <v/>
      </c>
      <c r="AF777">
        <f>IF($E777="","",IF($AR777=1,0,IF($AQ777=1,Settings!$C$6,Settings!$C$7))*100)</f>
        <v/>
      </c>
      <c r="AJ777" s="7" t="n"/>
      <c r="AM777" s="11" t="n"/>
      <c r="AO777">
        <f>IF($E777="","",IF(COUNTIF($E$2:$E777,$E777)=1,1,0))</f>
        <v/>
      </c>
      <c r="AP777">
        <f>IF($AO777=1,SUMPRODUCT(--($AS$2:$AS$1001&lt;$AS777))+1,"")</f>
        <v/>
      </c>
      <c r="AQ777">
        <f>IF($E777="","",IF(OR($V777=TRUE(),$V777="TRUE"),1,0))</f>
        <v/>
      </c>
      <c r="AR777">
        <f>IF($E777="","",IF($AE777="Yes",1,0))</f>
        <v/>
      </c>
      <c r="AS777">
        <f>IF($AO777=1,IFERROR(IF(VALUE($E777)&lt;100000000,VALUE($E777),1000000000),IFERROR(IF(VALUE(MID($E777,2,20))&lt;100000000,VALUE(MID($E777,2,20)),1000000000),1000000000))+ROW()/100000,"")</f>
        <v/>
      </c>
    </row>
    <row r="778">
      <c r="D778">
        <f>IF($E778="","",IFERROR(IF(INDEX('Per Invoice'!$A$2:$A$301,MATCH($E778,'Per Invoice'!$B$2:$B$301,0))=0,"",INDEX('Per Invoice'!$A$2:$A$301,MATCH($E778,'Per Invoice'!$B$2:$B$301,0))),""))</f>
        <v/>
      </c>
      <c r="H778" s="11" t="n"/>
      <c r="R778" s="7">
        <f>IF($E778="","",Q778*Z778/100)</f>
        <v/>
      </c>
      <c r="S778" s="7" t="n"/>
      <c r="Y778" s="7" t="n"/>
      <c r="Z778" s="7" t="n"/>
      <c r="AA778" s="7">
        <f>IF($E778="","",Z778*AF778/100)</f>
        <v/>
      </c>
      <c r="AB778" s="7">
        <f>IF($E778="","",Z778-AA778)</f>
        <v/>
      </c>
      <c r="AC778" s="7">
        <f>IF($E778="","",AB778-R778)</f>
        <v/>
      </c>
      <c r="AF778">
        <f>IF($E778="","",IF($AR778=1,0,IF($AQ778=1,Settings!$C$6,Settings!$C$7))*100)</f>
        <v/>
      </c>
      <c r="AJ778" s="7" t="n"/>
      <c r="AM778" s="11" t="n"/>
      <c r="AO778">
        <f>IF($E778="","",IF(COUNTIF($E$2:$E778,$E778)=1,1,0))</f>
        <v/>
      </c>
      <c r="AP778">
        <f>IF($AO778=1,SUMPRODUCT(--($AS$2:$AS$1001&lt;$AS778))+1,"")</f>
        <v/>
      </c>
      <c r="AQ778">
        <f>IF($E778="","",IF(OR($V778=TRUE(),$V778="TRUE"),1,0))</f>
        <v/>
      </c>
      <c r="AR778">
        <f>IF($E778="","",IF($AE778="Yes",1,0))</f>
        <v/>
      </c>
      <c r="AS778">
        <f>IF($AO778=1,IFERROR(IF(VALUE($E778)&lt;100000000,VALUE($E778),1000000000),IFERROR(IF(VALUE(MID($E778,2,20))&lt;100000000,VALUE(MID($E778,2,20)),1000000000),1000000000))+ROW()/100000,"")</f>
        <v/>
      </c>
    </row>
    <row r="779">
      <c r="D779">
        <f>IF($E779="","",IFERROR(IF(INDEX('Per Invoice'!$A$2:$A$301,MATCH($E779,'Per Invoice'!$B$2:$B$301,0))=0,"",INDEX('Per Invoice'!$A$2:$A$301,MATCH($E779,'Per Invoice'!$B$2:$B$301,0))),""))</f>
        <v/>
      </c>
      <c r="H779" s="11" t="n"/>
      <c r="R779" s="7">
        <f>IF($E779="","",Q779*Z779/100)</f>
        <v/>
      </c>
      <c r="S779" s="7" t="n"/>
      <c r="Y779" s="7" t="n"/>
      <c r="Z779" s="7" t="n"/>
      <c r="AA779" s="7">
        <f>IF($E779="","",Z779*AF779/100)</f>
        <v/>
      </c>
      <c r="AB779" s="7">
        <f>IF($E779="","",Z779-AA779)</f>
        <v/>
      </c>
      <c r="AC779" s="7">
        <f>IF($E779="","",AB779-R779)</f>
        <v/>
      </c>
      <c r="AF779">
        <f>IF($E779="","",IF($AR779=1,0,IF($AQ779=1,Settings!$C$6,Settings!$C$7))*100)</f>
        <v/>
      </c>
      <c r="AJ779" s="7" t="n"/>
      <c r="AM779" s="11" t="n"/>
      <c r="AO779">
        <f>IF($E779="","",IF(COUNTIF($E$2:$E779,$E779)=1,1,0))</f>
        <v/>
      </c>
      <c r="AP779">
        <f>IF($AO779=1,SUMPRODUCT(--($AS$2:$AS$1001&lt;$AS779))+1,"")</f>
        <v/>
      </c>
      <c r="AQ779">
        <f>IF($E779="","",IF(OR($V779=TRUE(),$V779="TRUE"),1,0))</f>
        <v/>
      </c>
      <c r="AR779">
        <f>IF($E779="","",IF($AE779="Yes",1,0))</f>
        <v/>
      </c>
      <c r="AS779">
        <f>IF($AO779=1,IFERROR(IF(VALUE($E779)&lt;100000000,VALUE($E779),1000000000),IFERROR(IF(VALUE(MID($E779,2,20))&lt;100000000,VALUE(MID($E779,2,20)),1000000000),1000000000))+ROW()/100000,"")</f>
        <v/>
      </c>
    </row>
    <row r="780">
      <c r="D780">
        <f>IF($E780="","",IFERROR(IF(INDEX('Per Invoice'!$A$2:$A$301,MATCH($E780,'Per Invoice'!$B$2:$B$301,0))=0,"",INDEX('Per Invoice'!$A$2:$A$301,MATCH($E780,'Per Invoice'!$B$2:$B$301,0))),""))</f>
        <v/>
      </c>
      <c r="H780" s="11" t="n"/>
      <c r="R780" s="7">
        <f>IF($E780="","",Q780*Z780/100)</f>
        <v/>
      </c>
      <c r="S780" s="7" t="n"/>
      <c r="Y780" s="7" t="n"/>
      <c r="Z780" s="7" t="n"/>
      <c r="AA780" s="7">
        <f>IF($E780="","",Z780*AF780/100)</f>
        <v/>
      </c>
      <c r="AB780" s="7">
        <f>IF($E780="","",Z780-AA780)</f>
        <v/>
      </c>
      <c r="AC780" s="7">
        <f>IF($E780="","",AB780-R780)</f>
        <v/>
      </c>
      <c r="AF780">
        <f>IF($E780="","",IF($AR780=1,0,IF($AQ780=1,Settings!$C$6,Settings!$C$7))*100)</f>
        <v/>
      </c>
      <c r="AJ780" s="7" t="n"/>
      <c r="AM780" s="11" t="n"/>
      <c r="AO780">
        <f>IF($E780="","",IF(COUNTIF($E$2:$E780,$E780)=1,1,0))</f>
        <v/>
      </c>
      <c r="AP780">
        <f>IF($AO780=1,SUMPRODUCT(--($AS$2:$AS$1001&lt;$AS780))+1,"")</f>
        <v/>
      </c>
      <c r="AQ780">
        <f>IF($E780="","",IF(OR($V780=TRUE(),$V780="TRUE"),1,0))</f>
        <v/>
      </c>
      <c r="AR780">
        <f>IF($E780="","",IF($AE780="Yes",1,0))</f>
        <v/>
      </c>
      <c r="AS780">
        <f>IF($AO780=1,IFERROR(IF(VALUE($E780)&lt;100000000,VALUE($E780),1000000000),IFERROR(IF(VALUE(MID($E780,2,20))&lt;100000000,VALUE(MID($E780,2,20)),1000000000),1000000000))+ROW()/100000,"")</f>
        <v/>
      </c>
    </row>
    <row r="781">
      <c r="D781">
        <f>IF($E781="","",IFERROR(IF(INDEX('Per Invoice'!$A$2:$A$301,MATCH($E781,'Per Invoice'!$B$2:$B$301,0))=0,"",INDEX('Per Invoice'!$A$2:$A$301,MATCH($E781,'Per Invoice'!$B$2:$B$301,0))),""))</f>
        <v/>
      </c>
      <c r="H781" s="11" t="n"/>
      <c r="R781" s="7">
        <f>IF($E781="","",Q781*Z781/100)</f>
        <v/>
      </c>
      <c r="S781" s="7" t="n"/>
      <c r="Y781" s="7" t="n"/>
      <c r="Z781" s="7" t="n"/>
      <c r="AA781" s="7">
        <f>IF($E781="","",Z781*AF781/100)</f>
        <v/>
      </c>
      <c r="AB781" s="7">
        <f>IF($E781="","",Z781-AA781)</f>
        <v/>
      </c>
      <c r="AC781" s="7">
        <f>IF($E781="","",AB781-R781)</f>
        <v/>
      </c>
      <c r="AF781">
        <f>IF($E781="","",IF($AR781=1,0,IF($AQ781=1,Settings!$C$6,Settings!$C$7))*100)</f>
        <v/>
      </c>
      <c r="AJ781" s="7" t="n"/>
      <c r="AM781" s="11" t="n"/>
      <c r="AO781">
        <f>IF($E781="","",IF(COUNTIF($E$2:$E781,$E781)=1,1,0))</f>
        <v/>
      </c>
      <c r="AP781">
        <f>IF($AO781=1,SUMPRODUCT(--($AS$2:$AS$1001&lt;$AS781))+1,"")</f>
        <v/>
      </c>
      <c r="AQ781">
        <f>IF($E781="","",IF(OR($V781=TRUE(),$V781="TRUE"),1,0))</f>
        <v/>
      </c>
      <c r="AR781">
        <f>IF($E781="","",IF($AE781="Yes",1,0))</f>
        <v/>
      </c>
      <c r="AS781">
        <f>IF($AO781=1,IFERROR(IF(VALUE($E781)&lt;100000000,VALUE($E781),1000000000),IFERROR(IF(VALUE(MID($E781,2,20))&lt;100000000,VALUE(MID($E781,2,20)),1000000000),1000000000))+ROW()/100000,"")</f>
        <v/>
      </c>
    </row>
    <row r="782">
      <c r="D782">
        <f>IF($E782="","",IFERROR(IF(INDEX('Per Invoice'!$A$2:$A$301,MATCH($E782,'Per Invoice'!$B$2:$B$301,0))=0,"",INDEX('Per Invoice'!$A$2:$A$301,MATCH($E782,'Per Invoice'!$B$2:$B$301,0))),""))</f>
        <v/>
      </c>
      <c r="H782" s="11" t="n"/>
      <c r="R782" s="7">
        <f>IF($E782="","",Q782*Z782/100)</f>
        <v/>
      </c>
      <c r="S782" s="7" t="n"/>
      <c r="Y782" s="7" t="n"/>
      <c r="Z782" s="7" t="n"/>
      <c r="AA782" s="7">
        <f>IF($E782="","",Z782*AF782/100)</f>
        <v/>
      </c>
      <c r="AB782" s="7">
        <f>IF($E782="","",Z782-AA782)</f>
        <v/>
      </c>
      <c r="AC782" s="7">
        <f>IF($E782="","",AB782-R782)</f>
        <v/>
      </c>
      <c r="AF782">
        <f>IF($E782="","",IF($AR782=1,0,IF($AQ782=1,Settings!$C$6,Settings!$C$7))*100)</f>
        <v/>
      </c>
      <c r="AJ782" s="7" t="n"/>
      <c r="AM782" s="11" t="n"/>
      <c r="AO782">
        <f>IF($E782="","",IF(COUNTIF($E$2:$E782,$E782)=1,1,0))</f>
        <v/>
      </c>
      <c r="AP782">
        <f>IF($AO782=1,SUMPRODUCT(--($AS$2:$AS$1001&lt;$AS782))+1,"")</f>
        <v/>
      </c>
      <c r="AQ782">
        <f>IF($E782="","",IF(OR($V782=TRUE(),$V782="TRUE"),1,0))</f>
        <v/>
      </c>
      <c r="AR782">
        <f>IF($E782="","",IF($AE782="Yes",1,0))</f>
        <v/>
      </c>
      <c r="AS782">
        <f>IF($AO782=1,IFERROR(IF(VALUE($E782)&lt;100000000,VALUE($E782),1000000000),IFERROR(IF(VALUE(MID($E782,2,20))&lt;100000000,VALUE(MID($E782,2,20)),1000000000),1000000000))+ROW()/100000,"")</f>
        <v/>
      </c>
    </row>
    <row r="783">
      <c r="D783">
        <f>IF($E783="","",IFERROR(IF(INDEX('Per Invoice'!$A$2:$A$301,MATCH($E783,'Per Invoice'!$B$2:$B$301,0))=0,"",INDEX('Per Invoice'!$A$2:$A$301,MATCH($E783,'Per Invoice'!$B$2:$B$301,0))),""))</f>
        <v/>
      </c>
      <c r="H783" s="11" t="n"/>
      <c r="R783" s="7">
        <f>IF($E783="","",Q783*Z783/100)</f>
        <v/>
      </c>
      <c r="S783" s="7" t="n"/>
      <c r="Y783" s="7" t="n"/>
      <c r="Z783" s="7" t="n"/>
      <c r="AA783" s="7">
        <f>IF($E783="","",Z783*AF783/100)</f>
        <v/>
      </c>
      <c r="AB783" s="7">
        <f>IF($E783="","",Z783-AA783)</f>
        <v/>
      </c>
      <c r="AC783" s="7">
        <f>IF($E783="","",AB783-R783)</f>
        <v/>
      </c>
      <c r="AF783">
        <f>IF($E783="","",IF($AR783=1,0,IF($AQ783=1,Settings!$C$6,Settings!$C$7))*100)</f>
        <v/>
      </c>
      <c r="AJ783" s="7" t="n"/>
      <c r="AM783" s="11" t="n"/>
      <c r="AO783">
        <f>IF($E783="","",IF(COUNTIF($E$2:$E783,$E783)=1,1,0))</f>
        <v/>
      </c>
      <c r="AP783">
        <f>IF($AO783=1,SUMPRODUCT(--($AS$2:$AS$1001&lt;$AS783))+1,"")</f>
        <v/>
      </c>
      <c r="AQ783">
        <f>IF($E783="","",IF(OR($V783=TRUE(),$V783="TRUE"),1,0))</f>
        <v/>
      </c>
      <c r="AR783">
        <f>IF($E783="","",IF($AE783="Yes",1,0))</f>
        <v/>
      </c>
      <c r="AS783">
        <f>IF($AO783=1,IFERROR(IF(VALUE($E783)&lt;100000000,VALUE($E783),1000000000),IFERROR(IF(VALUE(MID($E783,2,20))&lt;100000000,VALUE(MID($E783,2,20)),1000000000),1000000000))+ROW()/100000,"")</f>
        <v/>
      </c>
    </row>
    <row r="784">
      <c r="D784">
        <f>IF($E784="","",IFERROR(IF(INDEX('Per Invoice'!$A$2:$A$301,MATCH($E784,'Per Invoice'!$B$2:$B$301,0))=0,"",INDEX('Per Invoice'!$A$2:$A$301,MATCH($E784,'Per Invoice'!$B$2:$B$301,0))),""))</f>
        <v/>
      </c>
      <c r="H784" s="11" t="n"/>
      <c r="R784" s="7">
        <f>IF($E784="","",Q784*Z784/100)</f>
        <v/>
      </c>
      <c r="S784" s="7" t="n"/>
      <c r="Y784" s="7" t="n"/>
      <c r="Z784" s="7" t="n"/>
      <c r="AA784" s="7">
        <f>IF($E784="","",Z784*AF784/100)</f>
        <v/>
      </c>
      <c r="AB784" s="7">
        <f>IF($E784="","",Z784-AA784)</f>
        <v/>
      </c>
      <c r="AC784" s="7">
        <f>IF($E784="","",AB784-R784)</f>
        <v/>
      </c>
      <c r="AF784">
        <f>IF($E784="","",IF($AR784=1,0,IF($AQ784=1,Settings!$C$6,Settings!$C$7))*100)</f>
        <v/>
      </c>
      <c r="AJ784" s="7" t="n"/>
      <c r="AM784" s="11" t="n"/>
      <c r="AO784">
        <f>IF($E784="","",IF(COUNTIF($E$2:$E784,$E784)=1,1,0))</f>
        <v/>
      </c>
      <c r="AP784">
        <f>IF($AO784=1,SUMPRODUCT(--($AS$2:$AS$1001&lt;$AS784))+1,"")</f>
        <v/>
      </c>
      <c r="AQ784">
        <f>IF($E784="","",IF(OR($V784=TRUE(),$V784="TRUE"),1,0))</f>
        <v/>
      </c>
      <c r="AR784">
        <f>IF($E784="","",IF($AE784="Yes",1,0))</f>
        <v/>
      </c>
      <c r="AS784">
        <f>IF($AO784=1,IFERROR(IF(VALUE($E784)&lt;100000000,VALUE($E784),1000000000),IFERROR(IF(VALUE(MID($E784,2,20))&lt;100000000,VALUE(MID($E784,2,20)),1000000000),1000000000))+ROW()/100000,"")</f>
        <v/>
      </c>
    </row>
    <row r="785">
      <c r="D785">
        <f>IF($E785="","",IFERROR(IF(INDEX('Per Invoice'!$A$2:$A$301,MATCH($E785,'Per Invoice'!$B$2:$B$301,0))=0,"",INDEX('Per Invoice'!$A$2:$A$301,MATCH($E785,'Per Invoice'!$B$2:$B$301,0))),""))</f>
        <v/>
      </c>
      <c r="H785" s="11" t="n"/>
      <c r="R785" s="7">
        <f>IF($E785="","",Q785*Z785/100)</f>
        <v/>
      </c>
      <c r="S785" s="7" t="n"/>
      <c r="Y785" s="7" t="n"/>
      <c r="Z785" s="7" t="n"/>
      <c r="AA785" s="7">
        <f>IF($E785="","",Z785*AF785/100)</f>
        <v/>
      </c>
      <c r="AB785" s="7">
        <f>IF($E785="","",Z785-AA785)</f>
        <v/>
      </c>
      <c r="AC785" s="7">
        <f>IF($E785="","",AB785-R785)</f>
        <v/>
      </c>
      <c r="AF785">
        <f>IF($E785="","",IF($AR785=1,0,IF($AQ785=1,Settings!$C$6,Settings!$C$7))*100)</f>
        <v/>
      </c>
      <c r="AJ785" s="7" t="n"/>
      <c r="AM785" s="11" t="n"/>
      <c r="AO785">
        <f>IF($E785="","",IF(COUNTIF($E$2:$E785,$E785)=1,1,0))</f>
        <v/>
      </c>
      <c r="AP785">
        <f>IF($AO785=1,SUMPRODUCT(--($AS$2:$AS$1001&lt;$AS785))+1,"")</f>
        <v/>
      </c>
      <c r="AQ785">
        <f>IF($E785="","",IF(OR($V785=TRUE(),$V785="TRUE"),1,0))</f>
        <v/>
      </c>
      <c r="AR785">
        <f>IF($E785="","",IF($AE785="Yes",1,0))</f>
        <v/>
      </c>
      <c r="AS785">
        <f>IF($AO785=1,IFERROR(IF(VALUE($E785)&lt;100000000,VALUE($E785),1000000000),IFERROR(IF(VALUE(MID($E785,2,20))&lt;100000000,VALUE(MID($E785,2,20)),1000000000),1000000000))+ROW()/100000,"")</f>
        <v/>
      </c>
    </row>
    <row r="786">
      <c r="D786">
        <f>IF($E786="","",IFERROR(IF(INDEX('Per Invoice'!$A$2:$A$301,MATCH($E786,'Per Invoice'!$B$2:$B$301,0))=0,"",INDEX('Per Invoice'!$A$2:$A$301,MATCH($E786,'Per Invoice'!$B$2:$B$301,0))),""))</f>
        <v/>
      </c>
      <c r="H786" s="11" t="n"/>
      <c r="R786" s="7">
        <f>IF($E786="","",Q786*Z786/100)</f>
        <v/>
      </c>
      <c r="S786" s="7" t="n"/>
      <c r="Y786" s="7" t="n"/>
      <c r="Z786" s="7" t="n"/>
      <c r="AA786" s="7">
        <f>IF($E786="","",Z786*AF786/100)</f>
        <v/>
      </c>
      <c r="AB786" s="7">
        <f>IF($E786="","",Z786-AA786)</f>
        <v/>
      </c>
      <c r="AC786" s="7">
        <f>IF($E786="","",AB786-R786)</f>
        <v/>
      </c>
      <c r="AF786">
        <f>IF($E786="","",IF($AR786=1,0,IF($AQ786=1,Settings!$C$6,Settings!$C$7))*100)</f>
        <v/>
      </c>
      <c r="AJ786" s="7" t="n"/>
      <c r="AM786" s="11" t="n"/>
      <c r="AO786">
        <f>IF($E786="","",IF(COUNTIF($E$2:$E786,$E786)=1,1,0))</f>
        <v/>
      </c>
      <c r="AP786">
        <f>IF($AO786=1,SUMPRODUCT(--($AS$2:$AS$1001&lt;$AS786))+1,"")</f>
        <v/>
      </c>
      <c r="AQ786">
        <f>IF($E786="","",IF(OR($V786=TRUE(),$V786="TRUE"),1,0))</f>
        <v/>
      </c>
      <c r="AR786">
        <f>IF($E786="","",IF($AE786="Yes",1,0))</f>
        <v/>
      </c>
      <c r="AS786">
        <f>IF($AO786=1,IFERROR(IF(VALUE($E786)&lt;100000000,VALUE($E786),1000000000),IFERROR(IF(VALUE(MID($E786,2,20))&lt;100000000,VALUE(MID($E786,2,20)),1000000000),1000000000))+ROW()/100000,"")</f>
        <v/>
      </c>
    </row>
    <row r="787">
      <c r="D787">
        <f>IF($E787="","",IFERROR(IF(INDEX('Per Invoice'!$A$2:$A$301,MATCH($E787,'Per Invoice'!$B$2:$B$301,0))=0,"",INDEX('Per Invoice'!$A$2:$A$301,MATCH($E787,'Per Invoice'!$B$2:$B$301,0))),""))</f>
        <v/>
      </c>
      <c r="H787" s="11" t="n"/>
      <c r="R787" s="7">
        <f>IF($E787="","",Q787*Z787/100)</f>
        <v/>
      </c>
      <c r="S787" s="7" t="n"/>
      <c r="Y787" s="7" t="n"/>
      <c r="Z787" s="7" t="n"/>
      <c r="AA787" s="7">
        <f>IF($E787="","",Z787*AF787/100)</f>
        <v/>
      </c>
      <c r="AB787" s="7">
        <f>IF($E787="","",Z787-AA787)</f>
        <v/>
      </c>
      <c r="AC787" s="7">
        <f>IF($E787="","",AB787-R787)</f>
        <v/>
      </c>
      <c r="AF787">
        <f>IF($E787="","",IF($AR787=1,0,IF($AQ787=1,Settings!$C$6,Settings!$C$7))*100)</f>
        <v/>
      </c>
      <c r="AJ787" s="7" t="n"/>
      <c r="AM787" s="11" t="n"/>
      <c r="AO787">
        <f>IF($E787="","",IF(COUNTIF($E$2:$E787,$E787)=1,1,0))</f>
        <v/>
      </c>
      <c r="AP787">
        <f>IF($AO787=1,SUMPRODUCT(--($AS$2:$AS$1001&lt;$AS787))+1,"")</f>
        <v/>
      </c>
      <c r="AQ787">
        <f>IF($E787="","",IF(OR($V787=TRUE(),$V787="TRUE"),1,0))</f>
        <v/>
      </c>
      <c r="AR787">
        <f>IF($E787="","",IF($AE787="Yes",1,0))</f>
        <v/>
      </c>
      <c r="AS787">
        <f>IF($AO787=1,IFERROR(IF(VALUE($E787)&lt;100000000,VALUE($E787),1000000000),IFERROR(IF(VALUE(MID($E787,2,20))&lt;100000000,VALUE(MID($E787,2,20)),1000000000),1000000000))+ROW()/100000,"")</f>
        <v/>
      </c>
    </row>
    <row r="788">
      <c r="D788">
        <f>IF($E788="","",IFERROR(IF(INDEX('Per Invoice'!$A$2:$A$301,MATCH($E788,'Per Invoice'!$B$2:$B$301,0))=0,"",INDEX('Per Invoice'!$A$2:$A$301,MATCH($E788,'Per Invoice'!$B$2:$B$301,0))),""))</f>
        <v/>
      </c>
      <c r="H788" s="11" t="n"/>
      <c r="R788" s="7">
        <f>IF($E788="","",Q788*Z788/100)</f>
        <v/>
      </c>
      <c r="S788" s="7" t="n"/>
      <c r="Y788" s="7" t="n"/>
      <c r="Z788" s="7" t="n"/>
      <c r="AA788" s="7">
        <f>IF($E788="","",Z788*AF788/100)</f>
        <v/>
      </c>
      <c r="AB788" s="7">
        <f>IF($E788="","",Z788-AA788)</f>
        <v/>
      </c>
      <c r="AC788" s="7">
        <f>IF($E788="","",AB788-R788)</f>
        <v/>
      </c>
      <c r="AF788">
        <f>IF($E788="","",IF($AR788=1,0,IF($AQ788=1,Settings!$C$6,Settings!$C$7))*100)</f>
        <v/>
      </c>
      <c r="AJ788" s="7" t="n"/>
      <c r="AM788" s="11" t="n"/>
      <c r="AO788">
        <f>IF($E788="","",IF(COUNTIF($E$2:$E788,$E788)=1,1,0))</f>
        <v/>
      </c>
      <c r="AP788">
        <f>IF($AO788=1,SUMPRODUCT(--($AS$2:$AS$1001&lt;$AS788))+1,"")</f>
        <v/>
      </c>
      <c r="AQ788">
        <f>IF($E788="","",IF(OR($V788=TRUE(),$V788="TRUE"),1,0))</f>
        <v/>
      </c>
      <c r="AR788">
        <f>IF($E788="","",IF($AE788="Yes",1,0))</f>
        <v/>
      </c>
      <c r="AS788">
        <f>IF($AO788=1,IFERROR(IF(VALUE($E788)&lt;100000000,VALUE($E788),1000000000),IFERROR(IF(VALUE(MID($E788,2,20))&lt;100000000,VALUE(MID($E788,2,20)),1000000000),1000000000))+ROW()/100000,"")</f>
        <v/>
      </c>
    </row>
    <row r="789">
      <c r="D789">
        <f>IF($E789="","",IFERROR(IF(INDEX('Per Invoice'!$A$2:$A$301,MATCH($E789,'Per Invoice'!$B$2:$B$301,0))=0,"",INDEX('Per Invoice'!$A$2:$A$301,MATCH($E789,'Per Invoice'!$B$2:$B$301,0))),""))</f>
        <v/>
      </c>
      <c r="H789" s="11" t="n"/>
      <c r="R789" s="7">
        <f>IF($E789="","",Q789*Z789/100)</f>
        <v/>
      </c>
      <c r="S789" s="7" t="n"/>
      <c r="Y789" s="7" t="n"/>
      <c r="Z789" s="7" t="n"/>
      <c r="AA789" s="7">
        <f>IF($E789="","",Z789*AF789/100)</f>
        <v/>
      </c>
      <c r="AB789" s="7">
        <f>IF($E789="","",Z789-AA789)</f>
        <v/>
      </c>
      <c r="AC789" s="7">
        <f>IF($E789="","",AB789-R789)</f>
        <v/>
      </c>
      <c r="AF789">
        <f>IF($E789="","",IF($AR789=1,0,IF($AQ789=1,Settings!$C$6,Settings!$C$7))*100)</f>
        <v/>
      </c>
      <c r="AJ789" s="7" t="n"/>
      <c r="AM789" s="11" t="n"/>
      <c r="AO789">
        <f>IF($E789="","",IF(COUNTIF($E$2:$E789,$E789)=1,1,0))</f>
        <v/>
      </c>
      <c r="AP789">
        <f>IF($AO789=1,SUMPRODUCT(--($AS$2:$AS$1001&lt;$AS789))+1,"")</f>
        <v/>
      </c>
      <c r="AQ789">
        <f>IF($E789="","",IF(OR($V789=TRUE(),$V789="TRUE"),1,0))</f>
        <v/>
      </c>
      <c r="AR789">
        <f>IF($E789="","",IF($AE789="Yes",1,0))</f>
        <v/>
      </c>
      <c r="AS789">
        <f>IF($AO789=1,IFERROR(IF(VALUE($E789)&lt;100000000,VALUE($E789),1000000000),IFERROR(IF(VALUE(MID($E789,2,20))&lt;100000000,VALUE(MID($E789,2,20)),1000000000),1000000000))+ROW()/100000,"")</f>
        <v/>
      </c>
    </row>
    <row r="790">
      <c r="D790">
        <f>IF($E790="","",IFERROR(IF(INDEX('Per Invoice'!$A$2:$A$301,MATCH($E790,'Per Invoice'!$B$2:$B$301,0))=0,"",INDEX('Per Invoice'!$A$2:$A$301,MATCH($E790,'Per Invoice'!$B$2:$B$301,0))),""))</f>
        <v/>
      </c>
      <c r="H790" s="11" t="n"/>
      <c r="R790" s="7">
        <f>IF($E790="","",Q790*Z790/100)</f>
        <v/>
      </c>
      <c r="S790" s="7" t="n"/>
      <c r="Y790" s="7" t="n"/>
      <c r="Z790" s="7" t="n"/>
      <c r="AA790" s="7">
        <f>IF($E790="","",Z790*AF790/100)</f>
        <v/>
      </c>
      <c r="AB790" s="7">
        <f>IF($E790="","",Z790-AA790)</f>
        <v/>
      </c>
      <c r="AC790" s="7">
        <f>IF($E790="","",AB790-R790)</f>
        <v/>
      </c>
      <c r="AF790">
        <f>IF($E790="","",IF($AR790=1,0,IF($AQ790=1,Settings!$C$6,Settings!$C$7))*100)</f>
        <v/>
      </c>
      <c r="AJ790" s="7" t="n"/>
      <c r="AM790" s="11" t="n"/>
      <c r="AO790">
        <f>IF($E790="","",IF(COUNTIF($E$2:$E790,$E790)=1,1,0))</f>
        <v/>
      </c>
      <c r="AP790">
        <f>IF($AO790=1,SUMPRODUCT(--($AS$2:$AS$1001&lt;$AS790))+1,"")</f>
        <v/>
      </c>
      <c r="AQ790">
        <f>IF($E790="","",IF(OR($V790=TRUE(),$V790="TRUE"),1,0))</f>
        <v/>
      </c>
      <c r="AR790">
        <f>IF($E790="","",IF($AE790="Yes",1,0))</f>
        <v/>
      </c>
      <c r="AS790">
        <f>IF($AO790=1,IFERROR(IF(VALUE($E790)&lt;100000000,VALUE($E790),1000000000),IFERROR(IF(VALUE(MID($E790,2,20))&lt;100000000,VALUE(MID($E790,2,20)),1000000000),1000000000))+ROW()/100000,"")</f>
        <v/>
      </c>
    </row>
    <row r="791">
      <c r="D791">
        <f>IF($E791="","",IFERROR(IF(INDEX('Per Invoice'!$A$2:$A$301,MATCH($E791,'Per Invoice'!$B$2:$B$301,0))=0,"",INDEX('Per Invoice'!$A$2:$A$301,MATCH($E791,'Per Invoice'!$B$2:$B$301,0))),""))</f>
        <v/>
      </c>
      <c r="H791" s="11" t="n"/>
      <c r="R791" s="7">
        <f>IF($E791="","",Q791*Z791/100)</f>
        <v/>
      </c>
      <c r="S791" s="7" t="n"/>
      <c r="Y791" s="7" t="n"/>
      <c r="Z791" s="7" t="n"/>
      <c r="AA791" s="7">
        <f>IF($E791="","",Z791*AF791/100)</f>
        <v/>
      </c>
      <c r="AB791" s="7">
        <f>IF($E791="","",Z791-AA791)</f>
        <v/>
      </c>
      <c r="AC791" s="7">
        <f>IF($E791="","",AB791-R791)</f>
        <v/>
      </c>
      <c r="AF791">
        <f>IF($E791="","",IF($AR791=1,0,IF($AQ791=1,Settings!$C$6,Settings!$C$7))*100)</f>
        <v/>
      </c>
      <c r="AJ791" s="7" t="n"/>
      <c r="AM791" s="11" t="n"/>
      <c r="AO791">
        <f>IF($E791="","",IF(COUNTIF($E$2:$E791,$E791)=1,1,0))</f>
        <v/>
      </c>
      <c r="AP791">
        <f>IF($AO791=1,SUMPRODUCT(--($AS$2:$AS$1001&lt;$AS791))+1,"")</f>
        <v/>
      </c>
      <c r="AQ791">
        <f>IF($E791="","",IF(OR($V791=TRUE(),$V791="TRUE"),1,0))</f>
        <v/>
      </c>
      <c r="AR791">
        <f>IF($E791="","",IF($AE791="Yes",1,0))</f>
        <v/>
      </c>
      <c r="AS791">
        <f>IF($AO791=1,IFERROR(IF(VALUE($E791)&lt;100000000,VALUE($E791),1000000000),IFERROR(IF(VALUE(MID($E791,2,20))&lt;100000000,VALUE(MID($E791,2,20)),1000000000),1000000000))+ROW()/100000,"")</f>
        <v/>
      </c>
    </row>
    <row r="792">
      <c r="D792">
        <f>IF($E792="","",IFERROR(IF(INDEX('Per Invoice'!$A$2:$A$301,MATCH($E792,'Per Invoice'!$B$2:$B$301,0))=0,"",INDEX('Per Invoice'!$A$2:$A$301,MATCH($E792,'Per Invoice'!$B$2:$B$301,0))),""))</f>
        <v/>
      </c>
      <c r="H792" s="11" t="n"/>
      <c r="R792" s="7">
        <f>IF($E792="","",Q792*Z792/100)</f>
        <v/>
      </c>
      <c r="S792" s="7" t="n"/>
      <c r="Y792" s="7" t="n"/>
      <c r="Z792" s="7" t="n"/>
      <c r="AA792" s="7">
        <f>IF($E792="","",Z792*AF792/100)</f>
        <v/>
      </c>
      <c r="AB792" s="7">
        <f>IF($E792="","",Z792-AA792)</f>
        <v/>
      </c>
      <c r="AC792" s="7">
        <f>IF($E792="","",AB792-R792)</f>
        <v/>
      </c>
      <c r="AF792">
        <f>IF($E792="","",IF($AR792=1,0,IF($AQ792=1,Settings!$C$6,Settings!$C$7))*100)</f>
        <v/>
      </c>
      <c r="AJ792" s="7" t="n"/>
      <c r="AM792" s="11" t="n"/>
      <c r="AO792">
        <f>IF($E792="","",IF(COUNTIF($E$2:$E792,$E792)=1,1,0))</f>
        <v/>
      </c>
      <c r="AP792">
        <f>IF($AO792=1,SUMPRODUCT(--($AS$2:$AS$1001&lt;$AS792))+1,"")</f>
        <v/>
      </c>
      <c r="AQ792">
        <f>IF($E792="","",IF(OR($V792=TRUE(),$V792="TRUE"),1,0))</f>
        <v/>
      </c>
      <c r="AR792">
        <f>IF($E792="","",IF($AE792="Yes",1,0))</f>
        <v/>
      </c>
      <c r="AS792">
        <f>IF($AO792=1,IFERROR(IF(VALUE($E792)&lt;100000000,VALUE($E792),1000000000),IFERROR(IF(VALUE(MID($E792,2,20))&lt;100000000,VALUE(MID($E792,2,20)),1000000000),1000000000))+ROW()/100000,"")</f>
        <v/>
      </c>
    </row>
    <row r="793">
      <c r="D793">
        <f>IF($E793="","",IFERROR(IF(INDEX('Per Invoice'!$A$2:$A$301,MATCH($E793,'Per Invoice'!$B$2:$B$301,0))=0,"",INDEX('Per Invoice'!$A$2:$A$301,MATCH($E793,'Per Invoice'!$B$2:$B$301,0))),""))</f>
        <v/>
      </c>
      <c r="H793" s="11" t="n"/>
      <c r="R793" s="7">
        <f>IF($E793="","",Q793*Z793/100)</f>
        <v/>
      </c>
      <c r="S793" s="7" t="n"/>
      <c r="Y793" s="7" t="n"/>
      <c r="Z793" s="7" t="n"/>
      <c r="AA793" s="7">
        <f>IF($E793="","",Z793*AF793/100)</f>
        <v/>
      </c>
      <c r="AB793" s="7">
        <f>IF($E793="","",Z793-AA793)</f>
        <v/>
      </c>
      <c r="AC793" s="7">
        <f>IF($E793="","",AB793-R793)</f>
        <v/>
      </c>
      <c r="AF793">
        <f>IF($E793="","",IF($AR793=1,0,IF($AQ793=1,Settings!$C$6,Settings!$C$7))*100)</f>
        <v/>
      </c>
      <c r="AJ793" s="7" t="n"/>
      <c r="AM793" s="11" t="n"/>
      <c r="AO793">
        <f>IF($E793="","",IF(COUNTIF($E$2:$E793,$E793)=1,1,0))</f>
        <v/>
      </c>
      <c r="AP793">
        <f>IF($AO793=1,SUMPRODUCT(--($AS$2:$AS$1001&lt;$AS793))+1,"")</f>
        <v/>
      </c>
      <c r="AQ793">
        <f>IF($E793="","",IF(OR($V793=TRUE(),$V793="TRUE"),1,0))</f>
        <v/>
      </c>
      <c r="AR793">
        <f>IF($E793="","",IF($AE793="Yes",1,0))</f>
        <v/>
      </c>
      <c r="AS793">
        <f>IF($AO793=1,IFERROR(IF(VALUE($E793)&lt;100000000,VALUE($E793),1000000000),IFERROR(IF(VALUE(MID($E793,2,20))&lt;100000000,VALUE(MID($E793,2,20)),1000000000),1000000000))+ROW()/100000,"")</f>
        <v/>
      </c>
    </row>
    <row r="794">
      <c r="D794">
        <f>IF($E794="","",IFERROR(IF(INDEX('Per Invoice'!$A$2:$A$301,MATCH($E794,'Per Invoice'!$B$2:$B$301,0))=0,"",INDEX('Per Invoice'!$A$2:$A$301,MATCH($E794,'Per Invoice'!$B$2:$B$301,0))),""))</f>
        <v/>
      </c>
      <c r="H794" s="11" t="n"/>
      <c r="R794" s="7">
        <f>IF($E794="","",Q794*Z794/100)</f>
        <v/>
      </c>
      <c r="S794" s="7" t="n"/>
      <c r="Y794" s="7" t="n"/>
      <c r="Z794" s="7" t="n"/>
      <c r="AA794" s="7">
        <f>IF($E794="","",Z794*AF794/100)</f>
        <v/>
      </c>
      <c r="AB794" s="7">
        <f>IF($E794="","",Z794-AA794)</f>
        <v/>
      </c>
      <c r="AC794" s="7">
        <f>IF($E794="","",AB794-R794)</f>
        <v/>
      </c>
      <c r="AF794">
        <f>IF($E794="","",IF($AR794=1,0,IF($AQ794=1,Settings!$C$6,Settings!$C$7))*100)</f>
        <v/>
      </c>
      <c r="AJ794" s="7" t="n"/>
      <c r="AM794" s="11" t="n"/>
      <c r="AO794">
        <f>IF($E794="","",IF(COUNTIF($E$2:$E794,$E794)=1,1,0))</f>
        <v/>
      </c>
      <c r="AP794">
        <f>IF($AO794=1,SUMPRODUCT(--($AS$2:$AS$1001&lt;$AS794))+1,"")</f>
        <v/>
      </c>
      <c r="AQ794">
        <f>IF($E794="","",IF(OR($V794=TRUE(),$V794="TRUE"),1,0))</f>
        <v/>
      </c>
      <c r="AR794">
        <f>IF($E794="","",IF($AE794="Yes",1,0))</f>
        <v/>
      </c>
      <c r="AS794">
        <f>IF($AO794=1,IFERROR(IF(VALUE($E794)&lt;100000000,VALUE($E794),1000000000),IFERROR(IF(VALUE(MID($E794,2,20))&lt;100000000,VALUE(MID($E794,2,20)),1000000000),1000000000))+ROW()/100000,"")</f>
        <v/>
      </c>
    </row>
    <row r="795">
      <c r="D795">
        <f>IF($E795="","",IFERROR(IF(INDEX('Per Invoice'!$A$2:$A$301,MATCH($E795,'Per Invoice'!$B$2:$B$301,0))=0,"",INDEX('Per Invoice'!$A$2:$A$301,MATCH($E795,'Per Invoice'!$B$2:$B$301,0))),""))</f>
        <v/>
      </c>
      <c r="H795" s="11" t="n"/>
      <c r="R795" s="7">
        <f>IF($E795="","",Q795*Z795/100)</f>
        <v/>
      </c>
      <c r="S795" s="7" t="n"/>
      <c r="Y795" s="7" t="n"/>
      <c r="Z795" s="7" t="n"/>
      <c r="AA795" s="7">
        <f>IF($E795="","",Z795*AF795/100)</f>
        <v/>
      </c>
      <c r="AB795" s="7">
        <f>IF($E795="","",Z795-AA795)</f>
        <v/>
      </c>
      <c r="AC795" s="7">
        <f>IF($E795="","",AB795-R795)</f>
        <v/>
      </c>
      <c r="AF795">
        <f>IF($E795="","",IF($AR795=1,0,IF($AQ795=1,Settings!$C$6,Settings!$C$7))*100)</f>
        <v/>
      </c>
      <c r="AJ795" s="7" t="n"/>
      <c r="AM795" s="11" t="n"/>
      <c r="AO795">
        <f>IF($E795="","",IF(COUNTIF($E$2:$E795,$E795)=1,1,0))</f>
        <v/>
      </c>
      <c r="AP795">
        <f>IF($AO795=1,SUMPRODUCT(--($AS$2:$AS$1001&lt;$AS795))+1,"")</f>
        <v/>
      </c>
      <c r="AQ795">
        <f>IF($E795="","",IF(OR($V795=TRUE(),$V795="TRUE"),1,0))</f>
        <v/>
      </c>
      <c r="AR795">
        <f>IF($E795="","",IF($AE795="Yes",1,0))</f>
        <v/>
      </c>
      <c r="AS795">
        <f>IF($AO795=1,IFERROR(IF(VALUE($E795)&lt;100000000,VALUE($E795),1000000000),IFERROR(IF(VALUE(MID($E795,2,20))&lt;100000000,VALUE(MID($E795,2,20)),1000000000),1000000000))+ROW()/100000,"")</f>
        <v/>
      </c>
    </row>
    <row r="796">
      <c r="D796">
        <f>IF($E796="","",IFERROR(IF(INDEX('Per Invoice'!$A$2:$A$301,MATCH($E796,'Per Invoice'!$B$2:$B$301,0))=0,"",INDEX('Per Invoice'!$A$2:$A$301,MATCH($E796,'Per Invoice'!$B$2:$B$301,0))),""))</f>
        <v/>
      </c>
      <c r="H796" s="11" t="n"/>
      <c r="R796" s="7">
        <f>IF($E796="","",Q796*Z796/100)</f>
        <v/>
      </c>
      <c r="S796" s="7" t="n"/>
      <c r="Y796" s="7" t="n"/>
      <c r="Z796" s="7" t="n"/>
      <c r="AA796" s="7">
        <f>IF($E796="","",Z796*AF796/100)</f>
        <v/>
      </c>
      <c r="AB796" s="7">
        <f>IF($E796="","",Z796-AA796)</f>
        <v/>
      </c>
      <c r="AC796" s="7">
        <f>IF($E796="","",AB796-R796)</f>
        <v/>
      </c>
      <c r="AF796">
        <f>IF($E796="","",IF($AR796=1,0,IF($AQ796=1,Settings!$C$6,Settings!$C$7))*100)</f>
        <v/>
      </c>
      <c r="AJ796" s="7" t="n"/>
      <c r="AM796" s="11" t="n"/>
      <c r="AO796">
        <f>IF($E796="","",IF(COUNTIF($E$2:$E796,$E796)=1,1,0))</f>
        <v/>
      </c>
      <c r="AP796">
        <f>IF($AO796=1,SUMPRODUCT(--($AS$2:$AS$1001&lt;$AS796))+1,"")</f>
        <v/>
      </c>
      <c r="AQ796">
        <f>IF($E796="","",IF(OR($V796=TRUE(),$V796="TRUE"),1,0))</f>
        <v/>
      </c>
      <c r="AR796">
        <f>IF($E796="","",IF($AE796="Yes",1,0))</f>
        <v/>
      </c>
      <c r="AS796">
        <f>IF($AO796=1,IFERROR(IF(VALUE($E796)&lt;100000000,VALUE($E796),1000000000),IFERROR(IF(VALUE(MID($E796,2,20))&lt;100000000,VALUE(MID($E796,2,20)),1000000000),1000000000))+ROW()/100000,"")</f>
        <v/>
      </c>
    </row>
    <row r="797">
      <c r="D797">
        <f>IF($E797="","",IFERROR(IF(INDEX('Per Invoice'!$A$2:$A$301,MATCH($E797,'Per Invoice'!$B$2:$B$301,0))=0,"",INDEX('Per Invoice'!$A$2:$A$301,MATCH($E797,'Per Invoice'!$B$2:$B$301,0))),""))</f>
        <v/>
      </c>
      <c r="H797" s="11" t="n"/>
      <c r="R797" s="7">
        <f>IF($E797="","",Q797*Z797/100)</f>
        <v/>
      </c>
      <c r="S797" s="7" t="n"/>
      <c r="Y797" s="7" t="n"/>
      <c r="Z797" s="7" t="n"/>
      <c r="AA797" s="7">
        <f>IF($E797="","",Z797*AF797/100)</f>
        <v/>
      </c>
      <c r="AB797" s="7">
        <f>IF($E797="","",Z797-AA797)</f>
        <v/>
      </c>
      <c r="AC797" s="7">
        <f>IF($E797="","",AB797-R797)</f>
        <v/>
      </c>
      <c r="AF797">
        <f>IF($E797="","",IF($AR797=1,0,IF($AQ797=1,Settings!$C$6,Settings!$C$7))*100)</f>
        <v/>
      </c>
      <c r="AJ797" s="7" t="n"/>
      <c r="AM797" s="11" t="n"/>
      <c r="AO797">
        <f>IF($E797="","",IF(COUNTIF($E$2:$E797,$E797)=1,1,0))</f>
        <v/>
      </c>
      <c r="AP797">
        <f>IF($AO797=1,SUMPRODUCT(--($AS$2:$AS$1001&lt;$AS797))+1,"")</f>
        <v/>
      </c>
      <c r="AQ797">
        <f>IF($E797="","",IF(OR($V797=TRUE(),$V797="TRUE"),1,0))</f>
        <v/>
      </c>
      <c r="AR797">
        <f>IF($E797="","",IF($AE797="Yes",1,0))</f>
        <v/>
      </c>
      <c r="AS797">
        <f>IF($AO797=1,IFERROR(IF(VALUE($E797)&lt;100000000,VALUE($E797),1000000000),IFERROR(IF(VALUE(MID($E797,2,20))&lt;100000000,VALUE(MID($E797,2,20)),1000000000),1000000000))+ROW()/100000,"")</f>
        <v/>
      </c>
    </row>
    <row r="798">
      <c r="D798">
        <f>IF($E798="","",IFERROR(IF(INDEX('Per Invoice'!$A$2:$A$301,MATCH($E798,'Per Invoice'!$B$2:$B$301,0))=0,"",INDEX('Per Invoice'!$A$2:$A$301,MATCH($E798,'Per Invoice'!$B$2:$B$301,0))),""))</f>
        <v/>
      </c>
      <c r="H798" s="11" t="n"/>
      <c r="R798" s="7">
        <f>IF($E798="","",Q798*Z798/100)</f>
        <v/>
      </c>
      <c r="S798" s="7" t="n"/>
      <c r="Y798" s="7" t="n"/>
      <c r="Z798" s="7" t="n"/>
      <c r="AA798" s="7">
        <f>IF($E798="","",Z798*AF798/100)</f>
        <v/>
      </c>
      <c r="AB798" s="7">
        <f>IF($E798="","",Z798-AA798)</f>
        <v/>
      </c>
      <c r="AC798" s="7">
        <f>IF($E798="","",AB798-R798)</f>
        <v/>
      </c>
      <c r="AF798">
        <f>IF($E798="","",IF($AR798=1,0,IF($AQ798=1,Settings!$C$6,Settings!$C$7))*100)</f>
        <v/>
      </c>
      <c r="AJ798" s="7" t="n"/>
      <c r="AM798" s="11" t="n"/>
      <c r="AO798">
        <f>IF($E798="","",IF(COUNTIF($E$2:$E798,$E798)=1,1,0))</f>
        <v/>
      </c>
      <c r="AP798">
        <f>IF($AO798=1,SUMPRODUCT(--($AS$2:$AS$1001&lt;$AS798))+1,"")</f>
        <v/>
      </c>
      <c r="AQ798">
        <f>IF($E798="","",IF(OR($V798=TRUE(),$V798="TRUE"),1,0))</f>
        <v/>
      </c>
      <c r="AR798">
        <f>IF($E798="","",IF($AE798="Yes",1,0))</f>
        <v/>
      </c>
      <c r="AS798">
        <f>IF($AO798=1,IFERROR(IF(VALUE($E798)&lt;100000000,VALUE($E798),1000000000),IFERROR(IF(VALUE(MID($E798,2,20))&lt;100000000,VALUE(MID($E798,2,20)),1000000000),1000000000))+ROW()/100000,"")</f>
        <v/>
      </c>
    </row>
    <row r="799">
      <c r="D799">
        <f>IF($E799="","",IFERROR(IF(INDEX('Per Invoice'!$A$2:$A$301,MATCH($E799,'Per Invoice'!$B$2:$B$301,0))=0,"",INDEX('Per Invoice'!$A$2:$A$301,MATCH($E799,'Per Invoice'!$B$2:$B$301,0))),""))</f>
        <v/>
      </c>
      <c r="H799" s="11" t="n"/>
      <c r="R799" s="7">
        <f>IF($E799="","",Q799*Z799/100)</f>
        <v/>
      </c>
      <c r="S799" s="7" t="n"/>
      <c r="Y799" s="7" t="n"/>
      <c r="Z799" s="7" t="n"/>
      <c r="AA799" s="7">
        <f>IF($E799="","",Z799*AF799/100)</f>
        <v/>
      </c>
      <c r="AB799" s="7">
        <f>IF($E799="","",Z799-AA799)</f>
        <v/>
      </c>
      <c r="AC799" s="7">
        <f>IF($E799="","",AB799-R799)</f>
        <v/>
      </c>
      <c r="AF799">
        <f>IF($E799="","",IF($AR799=1,0,IF($AQ799=1,Settings!$C$6,Settings!$C$7))*100)</f>
        <v/>
      </c>
      <c r="AJ799" s="7" t="n"/>
      <c r="AM799" s="11" t="n"/>
      <c r="AO799">
        <f>IF($E799="","",IF(COUNTIF($E$2:$E799,$E799)=1,1,0))</f>
        <v/>
      </c>
      <c r="AP799">
        <f>IF($AO799=1,SUMPRODUCT(--($AS$2:$AS$1001&lt;$AS799))+1,"")</f>
        <v/>
      </c>
      <c r="AQ799">
        <f>IF($E799="","",IF(OR($V799=TRUE(),$V799="TRUE"),1,0))</f>
        <v/>
      </c>
      <c r="AR799">
        <f>IF($E799="","",IF($AE799="Yes",1,0))</f>
        <v/>
      </c>
      <c r="AS799">
        <f>IF($AO799=1,IFERROR(IF(VALUE($E799)&lt;100000000,VALUE($E799),1000000000),IFERROR(IF(VALUE(MID($E799,2,20))&lt;100000000,VALUE(MID($E799,2,20)),1000000000),1000000000))+ROW()/100000,"")</f>
        <v/>
      </c>
    </row>
    <row r="800">
      <c r="D800">
        <f>IF($E800="","",IFERROR(IF(INDEX('Per Invoice'!$A$2:$A$301,MATCH($E800,'Per Invoice'!$B$2:$B$301,0))=0,"",INDEX('Per Invoice'!$A$2:$A$301,MATCH($E800,'Per Invoice'!$B$2:$B$301,0))),""))</f>
        <v/>
      </c>
      <c r="H800" s="11" t="n"/>
      <c r="R800" s="7">
        <f>IF($E800="","",Q800*Z800/100)</f>
        <v/>
      </c>
      <c r="S800" s="7" t="n"/>
      <c r="Y800" s="7" t="n"/>
      <c r="Z800" s="7" t="n"/>
      <c r="AA800" s="7">
        <f>IF($E800="","",Z800*AF800/100)</f>
        <v/>
      </c>
      <c r="AB800" s="7">
        <f>IF($E800="","",Z800-AA800)</f>
        <v/>
      </c>
      <c r="AC800" s="7">
        <f>IF($E800="","",AB800-R800)</f>
        <v/>
      </c>
      <c r="AF800">
        <f>IF($E800="","",IF($AR800=1,0,IF($AQ800=1,Settings!$C$6,Settings!$C$7))*100)</f>
        <v/>
      </c>
      <c r="AJ800" s="7" t="n"/>
      <c r="AM800" s="11" t="n"/>
      <c r="AO800">
        <f>IF($E800="","",IF(COUNTIF($E$2:$E800,$E800)=1,1,0))</f>
        <v/>
      </c>
      <c r="AP800">
        <f>IF($AO800=1,SUMPRODUCT(--($AS$2:$AS$1001&lt;$AS800))+1,"")</f>
        <v/>
      </c>
      <c r="AQ800">
        <f>IF($E800="","",IF(OR($V800=TRUE(),$V800="TRUE"),1,0))</f>
        <v/>
      </c>
      <c r="AR800">
        <f>IF($E800="","",IF($AE800="Yes",1,0))</f>
        <v/>
      </c>
      <c r="AS800">
        <f>IF($AO800=1,IFERROR(IF(VALUE($E800)&lt;100000000,VALUE($E800),1000000000),IFERROR(IF(VALUE(MID($E800,2,20))&lt;100000000,VALUE(MID($E800,2,20)),1000000000),1000000000))+ROW()/100000,"")</f>
        <v/>
      </c>
    </row>
    <row r="801">
      <c r="D801">
        <f>IF($E801="","",IFERROR(IF(INDEX('Per Invoice'!$A$2:$A$301,MATCH($E801,'Per Invoice'!$B$2:$B$301,0))=0,"",INDEX('Per Invoice'!$A$2:$A$301,MATCH($E801,'Per Invoice'!$B$2:$B$301,0))),""))</f>
        <v/>
      </c>
      <c r="H801" s="11" t="n"/>
      <c r="R801" s="7">
        <f>IF($E801="","",Q801*Z801/100)</f>
        <v/>
      </c>
      <c r="S801" s="7" t="n"/>
      <c r="Y801" s="7" t="n"/>
      <c r="Z801" s="7" t="n"/>
      <c r="AA801" s="7">
        <f>IF($E801="","",Z801*AF801/100)</f>
        <v/>
      </c>
      <c r="AB801" s="7">
        <f>IF($E801="","",Z801-AA801)</f>
        <v/>
      </c>
      <c r="AC801" s="7">
        <f>IF($E801="","",AB801-R801)</f>
        <v/>
      </c>
      <c r="AF801">
        <f>IF($E801="","",IF($AR801=1,0,IF($AQ801=1,Settings!$C$6,Settings!$C$7))*100)</f>
        <v/>
      </c>
      <c r="AJ801" s="7" t="n"/>
      <c r="AM801" s="11" t="n"/>
      <c r="AO801">
        <f>IF($E801="","",IF(COUNTIF($E$2:$E801,$E801)=1,1,0))</f>
        <v/>
      </c>
      <c r="AP801">
        <f>IF($AO801=1,SUMPRODUCT(--($AS$2:$AS$1001&lt;$AS801))+1,"")</f>
        <v/>
      </c>
      <c r="AQ801">
        <f>IF($E801="","",IF(OR($V801=TRUE(),$V801="TRUE"),1,0))</f>
        <v/>
      </c>
      <c r="AR801">
        <f>IF($E801="","",IF($AE801="Yes",1,0))</f>
        <v/>
      </c>
      <c r="AS801">
        <f>IF($AO801=1,IFERROR(IF(VALUE($E801)&lt;100000000,VALUE($E801),1000000000),IFERROR(IF(VALUE(MID($E801,2,20))&lt;100000000,VALUE(MID($E801,2,20)),1000000000),1000000000))+ROW()/100000,"")</f>
        <v/>
      </c>
    </row>
    <row r="802">
      <c r="D802">
        <f>IF($E802="","",IFERROR(IF(INDEX('Per Invoice'!$A$2:$A$301,MATCH($E802,'Per Invoice'!$B$2:$B$301,0))=0,"",INDEX('Per Invoice'!$A$2:$A$301,MATCH($E802,'Per Invoice'!$B$2:$B$301,0))),""))</f>
        <v/>
      </c>
      <c r="H802" s="11" t="n"/>
      <c r="R802" s="7">
        <f>IF($E802="","",Q802*Z802/100)</f>
        <v/>
      </c>
      <c r="S802" s="7" t="n"/>
      <c r="Y802" s="7" t="n"/>
      <c r="Z802" s="7" t="n"/>
      <c r="AA802" s="7">
        <f>IF($E802="","",Z802*AF802/100)</f>
        <v/>
      </c>
      <c r="AB802" s="7">
        <f>IF($E802="","",Z802-AA802)</f>
        <v/>
      </c>
      <c r="AC802" s="7">
        <f>IF($E802="","",AB802-R802)</f>
        <v/>
      </c>
      <c r="AF802">
        <f>IF($E802="","",IF($AR802=1,0,IF($AQ802=1,Settings!$C$6,Settings!$C$7))*100)</f>
        <v/>
      </c>
      <c r="AJ802" s="7" t="n"/>
      <c r="AM802" s="11" t="n"/>
      <c r="AO802">
        <f>IF($E802="","",IF(COUNTIF($E$2:$E802,$E802)=1,1,0))</f>
        <v/>
      </c>
      <c r="AP802">
        <f>IF($AO802=1,SUMPRODUCT(--($AS$2:$AS$1001&lt;$AS802))+1,"")</f>
        <v/>
      </c>
      <c r="AQ802">
        <f>IF($E802="","",IF(OR($V802=TRUE(),$V802="TRUE"),1,0))</f>
        <v/>
      </c>
      <c r="AR802">
        <f>IF($E802="","",IF($AE802="Yes",1,0))</f>
        <v/>
      </c>
      <c r="AS802">
        <f>IF($AO802=1,IFERROR(IF(VALUE($E802)&lt;100000000,VALUE($E802),1000000000),IFERROR(IF(VALUE(MID($E802,2,20))&lt;100000000,VALUE(MID($E802,2,20)),1000000000),1000000000))+ROW()/100000,"")</f>
        <v/>
      </c>
    </row>
    <row r="803">
      <c r="D803">
        <f>IF($E803="","",IFERROR(IF(INDEX('Per Invoice'!$A$2:$A$301,MATCH($E803,'Per Invoice'!$B$2:$B$301,0))=0,"",INDEX('Per Invoice'!$A$2:$A$301,MATCH($E803,'Per Invoice'!$B$2:$B$301,0))),""))</f>
        <v/>
      </c>
      <c r="H803" s="11" t="n"/>
      <c r="R803" s="7">
        <f>IF($E803="","",Q803*Z803/100)</f>
        <v/>
      </c>
      <c r="S803" s="7" t="n"/>
      <c r="Y803" s="7" t="n"/>
      <c r="Z803" s="7" t="n"/>
      <c r="AA803" s="7">
        <f>IF($E803="","",Z803*AF803/100)</f>
        <v/>
      </c>
      <c r="AB803" s="7">
        <f>IF($E803="","",Z803-AA803)</f>
        <v/>
      </c>
      <c r="AC803" s="7">
        <f>IF($E803="","",AB803-R803)</f>
        <v/>
      </c>
      <c r="AF803">
        <f>IF($E803="","",IF($AR803=1,0,IF($AQ803=1,Settings!$C$6,Settings!$C$7))*100)</f>
        <v/>
      </c>
      <c r="AJ803" s="7" t="n"/>
      <c r="AM803" s="11" t="n"/>
      <c r="AO803">
        <f>IF($E803="","",IF(COUNTIF($E$2:$E803,$E803)=1,1,0))</f>
        <v/>
      </c>
      <c r="AP803">
        <f>IF($AO803=1,SUMPRODUCT(--($AS$2:$AS$1001&lt;$AS803))+1,"")</f>
        <v/>
      </c>
      <c r="AQ803">
        <f>IF($E803="","",IF(OR($V803=TRUE(),$V803="TRUE"),1,0))</f>
        <v/>
      </c>
      <c r="AR803">
        <f>IF($E803="","",IF($AE803="Yes",1,0))</f>
        <v/>
      </c>
      <c r="AS803">
        <f>IF($AO803=1,IFERROR(IF(VALUE($E803)&lt;100000000,VALUE($E803),1000000000),IFERROR(IF(VALUE(MID($E803,2,20))&lt;100000000,VALUE(MID($E803,2,20)),1000000000),1000000000))+ROW()/100000,"")</f>
        <v/>
      </c>
    </row>
    <row r="804">
      <c r="D804">
        <f>IF($E804="","",IFERROR(IF(INDEX('Per Invoice'!$A$2:$A$301,MATCH($E804,'Per Invoice'!$B$2:$B$301,0))=0,"",INDEX('Per Invoice'!$A$2:$A$301,MATCH($E804,'Per Invoice'!$B$2:$B$301,0))),""))</f>
        <v/>
      </c>
      <c r="H804" s="11" t="n"/>
      <c r="R804" s="7">
        <f>IF($E804="","",Q804*Z804/100)</f>
        <v/>
      </c>
      <c r="S804" s="7" t="n"/>
      <c r="Y804" s="7" t="n"/>
      <c r="Z804" s="7" t="n"/>
      <c r="AA804" s="7">
        <f>IF($E804="","",Z804*AF804/100)</f>
        <v/>
      </c>
      <c r="AB804" s="7">
        <f>IF($E804="","",Z804-AA804)</f>
        <v/>
      </c>
      <c r="AC804" s="7">
        <f>IF($E804="","",AB804-R804)</f>
        <v/>
      </c>
      <c r="AF804">
        <f>IF($E804="","",IF($AR804=1,0,IF($AQ804=1,Settings!$C$6,Settings!$C$7))*100)</f>
        <v/>
      </c>
      <c r="AJ804" s="7" t="n"/>
      <c r="AM804" s="11" t="n"/>
      <c r="AO804">
        <f>IF($E804="","",IF(COUNTIF($E$2:$E804,$E804)=1,1,0))</f>
        <v/>
      </c>
      <c r="AP804">
        <f>IF($AO804=1,SUMPRODUCT(--($AS$2:$AS$1001&lt;$AS804))+1,"")</f>
        <v/>
      </c>
      <c r="AQ804">
        <f>IF($E804="","",IF(OR($V804=TRUE(),$V804="TRUE"),1,0))</f>
        <v/>
      </c>
      <c r="AR804">
        <f>IF($E804="","",IF($AE804="Yes",1,0))</f>
        <v/>
      </c>
      <c r="AS804">
        <f>IF($AO804=1,IFERROR(IF(VALUE($E804)&lt;100000000,VALUE($E804),1000000000),IFERROR(IF(VALUE(MID($E804,2,20))&lt;100000000,VALUE(MID($E804,2,20)),1000000000),1000000000))+ROW()/100000,"")</f>
        <v/>
      </c>
    </row>
    <row r="805">
      <c r="D805">
        <f>IF($E805="","",IFERROR(IF(INDEX('Per Invoice'!$A$2:$A$301,MATCH($E805,'Per Invoice'!$B$2:$B$301,0))=0,"",INDEX('Per Invoice'!$A$2:$A$301,MATCH($E805,'Per Invoice'!$B$2:$B$301,0))),""))</f>
        <v/>
      </c>
      <c r="H805" s="11" t="n"/>
      <c r="R805" s="7">
        <f>IF($E805="","",Q805*Z805/100)</f>
        <v/>
      </c>
      <c r="S805" s="7" t="n"/>
      <c r="Y805" s="7" t="n"/>
      <c r="Z805" s="7" t="n"/>
      <c r="AA805" s="7">
        <f>IF($E805="","",Z805*AF805/100)</f>
        <v/>
      </c>
      <c r="AB805" s="7">
        <f>IF($E805="","",Z805-AA805)</f>
        <v/>
      </c>
      <c r="AC805" s="7">
        <f>IF($E805="","",AB805-R805)</f>
        <v/>
      </c>
      <c r="AF805">
        <f>IF($E805="","",IF($AR805=1,0,IF($AQ805=1,Settings!$C$6,Settings!$C$7))*100)</f>
        <v/>
      </c>
      <c r="AJ805" s="7" t="n"/>
      <c r="AM805" s="11" t="n"/>
      <c r="AO805">
        <f>IF($E805="","",IF(COUNTIF($E$2:$E805,$E805)=1,1,0))</f>
        <v/>
      </c>
      <c r="AP805">
        <f>IF($AO805=1,SUMPRODUCT(--($AS$2:$AS$1001&lt;$AS805))+1,"")</f>
        <v/>
      </c>
      <c r="AQ805">
        <f>IF($E805="","",IF(OR($V805=TRUE(),$V805="TRUE"),1,0))</f>
        <v/>
      </c>
      <c r="AR805">
        <f>IF($E805="","",IF($AE805="Yes",1,0))</f>
        <v/>
      </c>
      <c r="AS805">
        <f>IF($AO805=1,IFERROR(IF(VALUE($E805)&lt;100000000,VALUE($E805),1000000000),IFERROR(IF(VALUE(MID($E805,2,20))&lt;100000000,VALUE(MID($E805,2,20)),1000000000),1000000000))+ROW()/100000,"")</f>
        <v/>
      </c>
    </row>
    <row r="806">
      <c r="D806">
        <f>IF($E806="","",IFERROR(IF(INDEX('Per Invoice'!$A$2:$A$301,MATCH($E806,'Per Invoice'!$B$2:$B$301,0))=0,"",INDEX('Per Invoice'!$A$2:$A$301,MATCH($E806,'Per Invoice'!$B$2:$B$301,0))),""))</f>
        <v/>
      </c>
      <c r="H806" s="11" t="n"/>
      <c r="R806" s="7">
        <f>IF($E806="","",Q806*Z806/100)</f>
        <v/>
      </c>
      <c r="S806" s="7" t="n"/>
      <c r="Y806" s="7" t="n"/>
      <c r="Z806" s="7" t="n"/>
      <c r="AA806" s="7">
        <f>IF($E806="","",Z806*AF806/100)</f>
        <v/>
      </c>
      <c r="AB806" s="7">
        <f>IF($E806="","",Z806-AA806)</f>
        <v/>
      </c>
      <c r="AC806" s="7">
        <f>IF($E806="","",AB806-R806)</f>
        <v/>
      </c>
      <c r="AF806">
        <f>IF($E806="","",IF($AR806=1,0,IF($AQ806=1,Settings!$C$6,Settings!$C$7))*100)</f>
        <v/>
      </c>
      <c r="AJ806" s="7" t="n"/>
      <c r="AM806" s="11" t="n"/>
      <c r="AO806">
        <f>IF($E806="","",IF(COUNTIF($E$2:$E806,$E806)=1,1,0))</f>
        <v/>
      </c>
      <c r="AP806">
        <f>IF($AO806=1,SUMPRODUCT(--($AS$2:$AS$1001&lt;$AS806))+1,"")</f>
        <v/>
      </c>
      <c r="AQ806">
        <f>IF($E806="","",IF(OR($V806=TRUE(),$V806="TRUE"),1,0))</f>
        <v/>
      </c>
      <c r="AR806">
        <f>IF($E806="","",IF($AE806="Yes",1,0))</f>
        <v/>
      </c>
      <c r="AS806">
        <f>IF($AO806=1,IFERROR(IF(VALUE($E806)&lt;100000000,VALUE($E806),1000000000),IFERROR(IF(VALUE(MID($E806,2,20))&lt;100000000,VALUE(MID($E806,2,20)),1000000000),1000000000))+ROW()/100000,"")</f>
        <v/>
      </c>
    </row>
    <row r="807">
      <c r="D807">
        <f>IF($E807="","",IFERROR(IF(INDEX('Per Invoice'!$A$2:$A$301,MATCH($E807,'Per Invoice'!$B$2:$B$301,0))=0,"",INDEX('Per Invoice'!$A$2:$A$301,MATCH($E807,'Per Invoice'!$B$2:$B$301,0))),""))</f>
        <v/>
      </c>
      <c r="H807" s="11" t="n"/>
      <c r="R807" s="7">
        <f>IF($E807="","",Q807*Z807/100)</f>
        <v/>
      </c>
      <c r="S807" s="7" t="n"/>
      <c r="Y807" s="7" t="n"/>
      <c r="Z807" s="7" t="n"/>
      <c r="AA807" s="7">
        <f>IF($E807="","",Z807*AF807/100)</f>
        <v/>
      </c>
      <c r="AB807" s="7">
        <f>IF($E807="","",Z807-AA807)</f>
        <v/>
      </c>
      <c r="AC807" s="7">
        <f>IF($E807="","",AB807-R807)</f>
        <v/>
      </c>
      <c r="AF807">
        <f>IF($E807="","",IF($AR807=1,0,IF($AQ807=1,Settings!$C$6,Settings!$C$7))*100)</f>
        <v/>
      </c>
      <c r="AJ807" s="7" t="n"/>
      <c r="AM807" s="11" t="n"/>
      <c r="AO807">
        <f>IF($E807="","",IF(COUNTIF($E$2:$E807,$E807)=1,1,0))</f>
        <v/>
      </c>
      <c r="AP807">
        <f>IF($AO807=1,SUMPRODUCT(--($AS$2:$AS$1001&lt;$AS807))+1,"")</f>
        <v/>
      </c>
      <c r="AQ807">
        <f>IF($E807="","",IF(OR($V807=TRUE(),$V807="TRUE"),1,0))</f>
        <v/>
      </c>
      <c r="AR807">
        <f>IF($E807="","",IF($AE807="Yes",1,0))</f>
        <v/>
      </c>
      <c r="AS807">
        <f>IF($AO807=1,IFERROR(IF(VALUE($E807)&lt;100000000,VALUE($E807),1000000000),IFERROR(IF(VALUE(MID($E807,2,20))&lt;100000000,VALUE(MID($E807,2,20)),1000000000),1000000000))+ROW()/100000,"")</f>
        <v/>
      </c>
    </row>
    <row r="808">
      <c r="D808">
        <f>IF($E808="","",IFERROR(IF(INDEX('Per Invoice'!$A$2:$A$301,MATCH($E808,'Per Invoice'!$B$2:$B$301,0))=0,"",INDEX('Per Invoice'!$A$2:$A$301,MATCH($E808,'Per Invoice'!$B$2:$B$301,0))),""))</f>
        <v/>
      </c>
      <c r="H808" s="11" t="n"/>
      <c r="R808" s="7">
        <f>IF($E808="","",Q808*Z808/100)</f>
        <v/>
      </c>
      <c r="S808" s="7" t="n"/>
      <c r="Y808" s="7" t="n"/>
      <c r="Z808" s="7" t="n"/>
      <c r="AA808" s="7">
        <f>IF($E808="","",Z808*AF808/100)</f>
        <v/>
      </c>
      <c r="AB808" s="7">
        <f>IF($E808="","",Z808-AA808)</f>
        <v/>
      </c>
      <c r="AC808" s="7">
        <f>IF($E808="","",AB808-R808)</f>
        <v/>
      </c>
      <c r="AF808">
        <f>IF($E808="","",IF($AR808=1,0,IF($AQ808=1,Settings!$C$6,Settings!$C$7))*100)</f>
        <v/>
      </c>
      <c r="AJ808" s="7" t="n"/>
      <c r="AM808" s="11" t="n"/>
      <c r="AO808">
        <f>IF($E808="","",IF(COUNTIF($E$2:$E808,$E808)=1,1,0))</f>
        <v/>
      </c>
      <c r="AP808">
        <f>IF($AO808=1,SUMPRODUCT(--($AS$2:$AS$1001&lt;$AS808))+1,"")</f>
        <v/>
      </c>
      <c r="AQ808">
        <f>IF($E808="","",IF(OR($V808=TRUE(),$V808="TRUE"),1,0))</f>
        <v/>
      </c>
      <c r="AR808">
        <f>IF($E808="","",IF($AE808="Yes",1,0))</f>
        <v/>
      </c>
      <c r="AS808">
        <f>IF($AO808=1,IFERROR(IF(VALUE($E808)&lt;100000000,VALUE($E808),1000000000),IFERROR(IF(VALUE(MID($E808,2,20))&lt;100000000,VALUE(MID($E808,2,20)),1000000000),1000000000))+ROW()/100000,"")</f>
        <v/>
      </c>
    </row>
    <row r="809">
      <c r="D809">
        <f>IF($E809="","",IFERROR(IF(INDEX('Per Invoice'!$A$2:$A$301,MATCH($E809,'Per Invoice'!$B$2:$B$301,0))=0,"",INDEX('Per Invoice'!$A$2:$A$301,MATCH($E809,'Per Invoice'!$B$2:$B$301,0))),""))</f>
        <v/>
      </c>
      <c r="H809" s="11" t="n"/>
      <c r="R809" s="7">
        <f>IF($E809="","",Q809*Z809/100)</f>
        <v/>
      </c>
      <c r="S809" s="7" t="n"/>
      <c r="Y809" s="7" t="n"/>
      <c r="Z809" s="7" t="n"/>
      <c r="AA809" s="7">
        <f>IF($E809="","",Z809*AF809/100)</f>
        <v/>
      </c>
      <c r="AB809" s="7">
        <f>IF($E809="","",Z809-AA809)</f>
        <v/>
      </c>
      <c r="AC809" s="7">
        <f>IF($E809="","",AB809-R809)</f>
        <v/>
      </c>
      <c r="AF809">
        <f>IF($E809="","",IF($AR809=1,0,IF($AQ809=1,Settings!$C$6,Settings!$C$7))*100)</f>
        <v/>
      </c>
      <c r="AJ809" s="7" t="n"/>
      <c r="AM809" s="11" t="n"/>
      <c r="AO809">
        <f>IF($E809="","",IF(COUNTIF($E$2:$E809,$E809)=1,1,0))</f>
        <v/>
      </c>
      <c r="AP809">
        <f>IF($AO809=1,SUMPRODUCT(--($AS$2:$AS$1001&lt;$AS809))+1,"")</f>
        <v/>
      </c>
      <c r="AQ809">
        <f>IF($E809="","",IF(OR($V809=TRUE(),$V809="TRUE"),1,0))</f>
        <v/>
      </c>
      <c r="AR809">
        <f>IF($E809="","",IF($AE809="Yes",1,0))</f>
        <v/>
      </c>
      <c r="AS809">
        <f>IF($AO809=1,IFERROR(IF(VALUE($E809)&lt;100000000,VALUE($E809),1000000000),IFERROR(IF(VALUE(MID($E809,2,20))&lt;100000000,VALUE(MID($E809,2,20)),1000000000),1000000000))+ROW()/100000,"")</f>
        <v/>
      </c>
    </row>
    <row r="810">
      <c r="D810">
        <f>IF($E810="","",IFERROR(IF(INDEX('Per Invoice'!$A$2:$A$301,MATCH($E810,'Per Invoice'!$B$2:$B$301,0))=0,"",INDEX('Per Invoice'!$A$2:$A$301,MATCH($E810,'Per Invoice'!$B$2:$B$301,0))),""))</f>
        <v/>
      </c>
      <c r="H810" s="11" t="n"/>
      <c r="R810" s="7">
        <f>IF($E810="","",Q810*Z810/100)</f>
        <v/>
      </c>
      <c r="S810" s="7" t="n"/>
      <c r="Y810" s="7" t="n"/>
      <c r="Z810" s="7" t="n"/>
      <c r="AA810" s="7">
        <f>IF($E810="","",Z810*AF810/100)</f>
        <v/>
      </c>
      <c r="AB810" s="7">
        <f>IF($E810="","",Z810-AA810)</f>
        <v/>
      </c>
      <c r="AC810" s="7">
        <f>IF($E810="","",AB810-R810)</f>
        <v/>
      </c>
      <c r="AF810">
        <f>IF($E810="","",IF($AR810=1,0,IF($AQ810=1,Settings!$C$6,Settings!$C$7))*100)</f>
        <v/>
      </c>
      <c r="AJ810" s="7" t="n"/>
      <c r="AM810" s="11" t="n"/>
      <c r="AO810">
        <f>IF($E810="","",IF(COUNTIF($E$2:$E810,$E810)=1,1,0))</f>
        <v/>
      </c>
      <c r="AP810">
        <f>IF($AO810=1,SUMPRODUCT(--($AS$2:$AS$1001&lt;$AS810))+1,"")</f>
        <v/>
      </c>
      <c r="AQ810">
        <f>IF($E810="","",IF(OR($V810=TRUE(),$V810="TRUE"),1,0))</f>
        <v/>
      </c>
      <c r="AR810">
        <f>IF($E810="","",IF($AE810="Yes",1,0))</f>
        <v/>
      </c>
      <c r="AS810">
        <f>IF($AO810=1,IFERROR(IF(VALUE($E810)&lt;100000000,VALUE($E810),1000000000),IFERROR(IF(VALUE(MID($E810,2,20))&lt;100000000,VALUE(MID($E810,2,20)),1000000000),1000000000))+ROW()/100000,"")</f>
        <v/>
      </c>
    </row>
    <row r="811">
      <c r="D811">
        <f>IF($E811="","",IFERROR(IF(INDEX('Per Invoice'!$A$2:$A$301,MATCH($E811,'Per Invoice'!$B$2:$B$301,0))=0,"",INDEX('Per Invoice'!$A$2:$A$301,MATCH($E811,'Per Invoice'!$B$2:$B$301,0))),""))</f>
        <v/>
      </c>
      <c r="H811" s="11" t="n"/>
      <c r="R811" s="7">
        <f>IF($E811="","",Q811*Z811/100)</f>
        <v/>
      </c>
      <c r="S811" s="7" t="n"/>
      <c r="Y811" s="7" t="n"/>
      <c r="Z811" s="7" t="n"/>
      <c r="AA811" s="7">
        <f>IF($E811="","",Z811*AF811/100)</f>
        <v/>
      </c>
      <c r="AB811" s="7">
        <f>IF($E811="","",Z811-AA811)</f>
        <v/>
      </c>
      <c r="AC811" s="7">
        <f>IF($E811="","",AB811-R811)</f>
        <v/>
      </c>
      <c r="AF811">
        <f>IF($E811="","",IF($AR811=1,0,IF($AQ811=1,Settings!$C$6,Settings!$C$7))*100)</f>
        <v/>
      </c>
      <c r="AJ811" s="7" t="n"/>
      <c r="AM811" s="11" t="n"/>
      <c r="AO811">
        <f>IF($E811="","",IF(COUNTIF($E$2:$E811,$E811)=1,1,0))</f>
        <v/>
      </c>
      <c r="AP811">
        <f>IF($AO811=1,SUMPRODUCT(--($AS$2:$AS$1001&lt;$AS811))+1,"")</f>
        <v/>
      </c>
      <c r="AQ811">
        <f>IF($E811="","",IF(OR($V811=TRUE(),$V811="TRUE"),1,0))</f>
        <v/>
      </c>
      <c r="AR811">
        <f>IF($E811="","",IF($AE811="Yes",1,0))</f>
        <v/>
      </c>
      <c r="AS811">
        <f>IF($AO811=1,IFERROR(IF(VALUE($E811)&lt;100000000,VALUE($E811),1000000000),IFERROR(IF(VALUE(MID($E811,2,20))&lt;100000000,VALUE(MID($E811,2,20)),1000000000),1000000000))+ROW()/100000,"")</f>
        <v/>
      </c>
    </row>
    <row r="812">
      <c r="D812">
        <f>IF($E812="","",IFERROR(IF(INDEX('Per Invoice'!$A$2:$A$301,MATCH($E812,'Per Invoice'!$B$2:$B$301,0))=0,"",INDEX('Per Invoice'!$A$2:$A$301,MATCH($E812,'Per Invoice'!$B$2:$B$301,0))),""))</f>
        <v/>
      </c>
      <c r="H812" s="11" t="n"/>
      <c r="R812" s="7">
        <f>IF($E812="","",Q812*Z812/100)</f>
        <v/>
      </c>
      <c r="S812" s="7" t="n"/>
      <c r="Y812" s="7" t="n"/>
      <c r="Z812" s="7" t="n"/>
      <c r="AA812" s="7">
        <f>IF($E812="","",Z812*AF812/100)</f>
        <v/>
      </c>
      <c r="AB812" s="7">
        <f>IF($E812="","",Z812-AA812)</f>
        <v/>
      </c>
      <c r="AC812" s="7">
        <f>IF($E812="","",AB812-R812)</f>
        <v/>
      </c>
      <c r="AF812">
        <f>IF($E812="","",IF($AR812=1,0,IF($AQ812=1,Settings!$C$6,Settings!$C$7))*100)</f>
        <v/>
      </c>
      <c r="AJ812" s="7" t="n"/>
      <c r="AM812" s="11" t="n"/>
      <c r="AO812">
        <f>IF($E812="","",IF(COUNTIF($E$2:$E812,$E812)=1,1,0))</f>
        <v/>
      </c>
      <c r="AP812">
        <f>IF($AO812=1,SUMPRODUCT(--($AS$2:$AS$1001&lt;$AS812))+1,"")</f>
        <v/>
      </c>
      <c r="AQ812">
        <f>IF($E812="","",IF(OR($V812=TRUE(),$V812="TRUE"),1,0))</f>
        <v/>
      </c>
      <c r="AR812">
        <f>IF($E812="","",IF($AE812="Yes",1,0))</f>
        <v/>
      </c>
      <c r="AS812">
        <f>IF($AO812=1,IFERROR(IF(VALUE($E812)&lt;100000000,VALUE($E812),1000000000),IFERROR(IF(VALUE(MID($E812,2,20))&lt;100000000,VALUE(MID($E812,2,20)),1000000000),1000000000))+ROW()/100000,"")</f>
        <v/>
      </c>
    </row>
    <row r="813">
      <c r="D813">
        <f>IF($E813="","",IFERROR(IF(INDEX('Per Invoice'!$A$2:$A$301,MATCH($E813,'Per Invoice'!$B$2:$B$301,0))=0,"",INDEX('Per Invoice'!$A$2:$A$301,MATCH($E813,'Per Invoice'!$B$2:$B$301,0))),""))</f>
        <v/>
      </c>
      <c r="H813" s="11" t="n"/>
      <c r="R813" s="7">
        <f>IF($E813="","",Q813*Z813/100)</f>
        <v/>
      </c>
      <c r="S813" s="7" t="n"/>
      <c r="Y813" s="7" t="n"/>
      <c r="Z813" s="7" t="n"/>
      <c r="AA813" s="7">
        <f>IF($E813="","",Z813*AF813/100)</f>
        <v/>
      </c>
      <c r="AB813" s="7">
        <f>IF($E813="","",Z813-AA813)</f>
        <v/>
      </c>
      <c r="AC813" s="7">
        <f>IF($E813="","",AB813-R813)</f>
        <v/>
      </c>
      <c r="AF813">
        <f>IF($E813="","",IF($AR813=1,0,IF($AQ813=1,Settings!$C$6,Settings!$C$7))*100)</f>
        <v/>
      </c>
      <c r="AJ813" s="7" t="n"/>
      <c r="AM813" s="11" t="n"/>
      <c r="AO813">
        <f>IF($E813="","",IF(COUNTIF($E$2:$E813,$E813)=1,1,0))</f>
        <v/>
      </c>
      <c r="AP813">
        <f>IF($AO813=1,SUMPRODUCT(--($AS$2:$AS$1001&lt;$AS813))+1,"")</f>
        <v/>
      </c>
      <c r="AQ813">
        <f>IF($E813="","",IF(OR($V813=TRUE(),$V813="TRUE"),1,0))</f>
        <v/>
      </c>
      <c r="AR813">
        <f>IF($E813="","",IF($AE813="Yes",1,0))</f>
        <v/>
      </c>
      <c r="AS813">
        <f>IF($AO813=1,IFERROR(IF(VALUE($E813)&lt;100000000,VALUE($E813),1000000000),IFERROR(IF(VALUE(MID($E813,2,20))&lt;100000000,VALUE(MID($E813,2,20)),1000000000),1000000000))+ROW()/100000,"")</f>
        <v/>
      </c>
    </row>
    <row r="814">
      <c r="D814">
        <f>IF($E814="","",IFERROR(IF(INDEX('Per Invoice'!$A$2:$A$301,MATCH($E814,'Per Invoice'!$B$2:$B$301,0))=0,"",INDEX('Per Invoice'!$A$2:$A$301,MATCH($E814,'Per Invoice'!$B$2:$B$301,0))),""))</f>
        <v/>
      </c>
      <c r="H814" s="11" t="n"/>
      <c r="R814" s="7">
        <f>IF($E814="","",Q814*Z814/100)</f>
        <v/>
      </c>
      <c r="S814" s="7" t="n"/>
      <c r="Y814" s="7" t="n"/>
      <c r="Z814" s="7" t="n"/>
      <c r="AA814" s="7">
        <f>IF($E814="","",Z814*AF814/100)</f>
        <v/>
      </c>
      <c r="AB814" s="7">
        <f>IF($E814="","",Z814-AA814)</f>
        <v/>
      </c>
      <c r="AC814" s="7">
        <f>IF($E814="","",AB814-R814)</f>
        <v/>
      </c>
      <c r="AF814">
        <f>IF($E814="","",IF($AR814=1,0,IF($AQ814=1,Settings!$C$6,Settings!$C$7))*100)</f>
        <v/>
      </c>
      <c r="AJ814" s="7" t="n"/>
      <c r="AM814" s="11" t="n"/>
      <c r="AO814">
        <f>IF($E814="","",IF(COUNTIF($E$2:$E814,$E814)=1,1,0))</f>
        <v/>
      </c>
      <c r="AP814">
        <f>IF($AO814=1,SUMPRODUCT(--($AS$2:$AS$1001&lt;$AS814))+1,"")</f>
        <v/>
      </c>
      <c r="AQ814">
        <f>IF($E814="","",IF(OR($V814=TRUE(),$V814="TRUE"),1,0))</f>
        <v/>
      </c>
      <c r="AR814">
        <f>IF($E814="","",IF($AE814="Yes",1,0))</f>
        <v/>
      </c>
      <c r="AS814">
        <f>IF($AO814=1,IFERROR(IF(VALUE($E814)&lt;100000000,VALUE($E814),1000000000),IFERROR(IF(VALUE(MID($E814,2,20))&lt;100000000,VALUE(MID($E814,2,20)),1000000000),1000000000))+ROW()/100000,"")</f>
        <v/>
      </c>
    </row>
    <row r="815">
      <c r="D815">
        <f>IF($E815="","",IFERROR(IF(INDEX('Per Invoice'!$A$2:$A$301,MATCH($E815,'Per Invoice'!$B$2:$B$301,0))=0,"",INDEX('Per Invoice'!$A$2:$A$301,MATCH($E815,'Per Invoice'!$B$2:$B$301,0))),""))</f>
        <v/>
      </c>
      <c r="H815" s="11" t="n"/>
      <c r="R815" s="7">
        <f>IF($E815="","",Q815*Z815/100)</f>
        <v/>
      </c>
      <c r="S815" s="7" t="n"/>
      <c r="Y815" s="7" t="n"/>
      <c r="Z815" s="7" t="n"/>
      <c r="AA815" s="7">
        <f>IF($E815="","",Z815*AF815/100)</f>
        <v/>
      </c>
      <c r="AB815" s="7">
        <f>IF($E815="","",Z815-AA815)</f>
        <v/>
      </c>
      <c r="AC815" s="7">
        <f>IF($E815="","",AB815-R815)</f>
        <v/>
      </c>
      <c r="AF815">
        <f>IF($E815="","",IF($AR815=1,0,IF($AQ815=1,Settings!$C$6,Settings!$C$7))*100)</f>
        <v/>
      </c>
      <c r="AJ815" s="7" t="n"/>
      <c r="AM815" s="11" t="n"/>
      <c r="AO815">
        <f>IF($E815="","",IF(COUNTIF($E$2:$E815,$E815)=1,1,0))</f>
        <v/>
      </c>
      <c r="AP815">
        <f>IF($AO815=1,SUMPRODUCT(--($AS$2:$AS$1001&lt;$AS815))+1,"")</f>
        <v/>
      </c>
      <c r="AQ815">
        <f>IF($E815="","",IF(OR($V815=TRUE(),$V815="TRUE"),1,0))</f>
        <v/>
      </c>
      <c r="AR815">
        <f>IF($E815="","",IF($AE815="Yes",1,0))</f>
        <v/>
      </c>
      <c r="AS815">
        <f>IF($AO815=1,IFERROR(IF(VALUE($E815)&lt;100000000,VALUE($E815),1000000000),IFERROR(IF(VALUE(MID($E815,2,20))&lt;100000000,VALUE(MID($E815,2,20)),1000000000),1000000000))+ROW()/100000,"")</f>
        <v/>
      </c>
    </row>
    <row r="816">
      <c r="D816">
        <f>IF($E816="","",IFERROR(IF(INDEX('Per Invoice'!$A$2:$A$301,MATCH($E816,'Per Invoice'!$B$2:$B$301,0))=0,"",INDEX('Per Invoice'!$A$2:$A$301,MATCH($E816,'Per Invoice'!$B$2:$B$301,0))),""))</f>
        <v/>
      </c>
      <c r="H816" s="11" t="n"/>
      <c r="R816" s="7">
        <f>IF($E816="","",Q816*Z816/100)</f>
        <v/>
      </c>
      <c r="S816" s="7" t="n"/>
      <c r="Y816" s="7" t="n"/>
      <c r="Z816" s="7" t="n"/>
      <c r="AA816" s="7">
        <f>IF($E816="","",Z816*AF816/100)</f>
        <v/>
      </c>
      <c r="AB816" s="7">
        <f>IF($E816="","",Z816-AA816)</f>
        <v/>
      </c>
      <c r="AC816" s="7">
        <f>IF($E816="","",AB816-R816)</f>
        <v/>
      </c>
      <c r="AF816">
        <f>IF($E816="","",IF($AR816=1,0,IF($AQ816=1,Settings!$C$6,Settings!$C$7))*100)</f>
        <v/>
      </c>
      <c r="AJ816" s="7" t="n"/>
      <c r="AM816" s="11" t="n"/>
      <c r="AO816">
        <f>IF($E816="","",IF(COUNTIF($E$2:$E816,$E816)=1,1,0))</f>
        <v/>
      </c>
      <c r="AP816">
        <f>IF($AO816=1,SUMPRODUCT(--($AS$2:$AS$1001&lt;$AS816))+1,"")</f>
        <v/>
      </c>
      <c r="AQ816">
        <f>IF($E816="","",IF(OR($V816=TRUE(),$V816="TRUE"),1,0))</f>
        <v/>
      </c>
      <c r="AR816">
        <f>IF($E816="","",IF($AE816="Yes",1,0))</f>
        <v/>
      </c>
      <c r="AS816">
        <f>IF($AO816=1,IFERROR(IF(VALUE($E816)&lt;100000000,VALUE($E816),1000000000),IFERROR(IF(VALUE(MID($E816,2,20))&lt;100000000,VALUE(MID($E816,2,20)),1000000000),1000000000))+ROW()/100000,"")</f>
        <v/>
      </c>
    </row>
    <row r="817">
      <c r="D817">
        <f>IF($E817="","",IFERROR(IF(INDEX('Per Invoice'!$A$2:$A$301,MATCH($E817,'Per Invoice'!$B$2:$B$301,0))=0,"",INDEX('Per Invoice'!$A$2:$A$301,MATCH($E817,'Per Invoice'!$B$2:$B$301,0))),""))</f>
        <v/>
      </c>
      <c r="H817" s="11" t="n"/>
      <c r="R817" s="7">
        <f>IF($E817="","",Q817*Z817/100)</f>
        <v/>
      </c>
      <c r="S817" s="7" t="n"/>
      <c r="Y817" s="7" t="n"/>
      <c r="Z817" s="7" t="n"/>
      <c r="AA817" s="7">
        <f>IF($E817="","",Z817*AF817/100)</f>
        <v/>
      </c>
      <c r="AB817" s="7">
        <f>IF($E817="","",Z817-AA817)</f>
        <v/>
      </c>
      <c r="AC817" s="7">
        <f>IF($E817="","",AB817-R817)</f>
        <v/>
      </c>
      <c r="AF817">
        <f>IF($E817="","",IF($AR817=1,0,IF($AQ817=1,Settings!$C$6,Settings!$C$7))*100)</f>
        <v/>
      </c>
      <c r="AJ817" s="7" t="n"/>
      <c r="AM817" s="11" t="n"/>
      <c r="AO817">
        <f>IF($E817="","",IF(COUNTIF($E$2:$E817,$E817)=1,1,0))</f>
        <v/>
      </c>
      <c r="AP817">
        <f>IF($AO817=1,SUMPRODUCT(--($AS$2:$AS$1001&lt;$AS817))+1,"")</f>
        <v/>
      </c>
      <c r="AQ817">
        <f>IF($E817="","",IF(OR($V817=TRUE(),$V817="TRUE"),1,0))</f>
        <v/>
      </c>
      <c r="AR817">
        <f>IF($E817="","",IF($AE817="Yes",1,0))</f>
        <v/>
      </c>
      <c r="AS817">
        <f>IF($AO817=1,IFERROR(IF(VALUE($E817)&lt;100000000,VALUE($E817),1000000000),IFERROR(IF(VALUE(MID($E817,2,20))&lt;100000000,VALUE(MID($E817,2,20)),1000000000),1000000000))+ROW()/100000,"")</f>
        <v/>
      </c>
    </row>
    <row r="818">
      <c r="D818">
        <f>IF($E818="","",IFERROR(IF(INDEX('Per Invoice'!$A$2:$A$301,MATCH($E818,'Per Invoice'!$B$2:$B$301,0))=0,"",INDEX('Per Invoice'!$A$2:$A$301,MATCH($E818,'Per Invoice'!$B$2:$B$301,0))),""))</f>
        <v/>
      </c>
      <c r="H818" s="11" t="n"/>
      <c r="R818" s="7">
        <f>IF($E818="","",Q818*Z818/100)</f>
        <v/>
      </c>
      <c r="S818" s="7" t="n"/>
      <c r="Y818" s="7" t="n"/>
      <c r="Z818" s="7" t="n"/>
      <c r="AA818" s="7">
        <f>IF($E818="","",Z818*AF818/100)</f>
        <v/>
      </c>
      <c r="AB818" s="7">
        <f>IF($E818="","",Z818-AA818)</f>
        <v/>
      </c>
      <c r="AC818" s="7">
        <f>IF($E818="","",AB818-R818)</f>
        <v/>
      </c>
      <c r="AF818">
        <f>IF($E818="","",IF($AR818=1,0,IF($AQ818=1,Settings!$C$6,Settings!$C$7))*100)</f>
        <v/>
      </c>
      <c r="AJ818" s="7" t="n"/>
      <c r="AM818" s="11" t="n"/>
      <c r="AO818">
        <f>IF($E818="","",IF(COUNTIF($E$2:$E818,$E818)=1,1,0))</f>
        <v/>
      </c>
      <c r="AP818">
        <f>IF($AO818=1,SUMPRODUCT(--($AS$2:$AS$1001&lt;$AS818))+1,"")</f>
        <v/>
      </c>
      <c r="AQ818">
        <f>IF($E818="","",IF(OR($V818=TRUE(),$V818="TRUE"),1,0))</f>
        <v/>
      </c>
      <c r="AR818">
        <f>IF($E818="","",IF($AE818="Yes",1,0))</f>
        <v/>
      </c>
      <c r="AS818">
        <f>IF($AO818=1,IFERROR(IF(VALUE($E818)&lt;100000000,VALUE($E818),1000000000),IFERROR(IF(VALUE(MID($E818,2,20))&lt;100000000,VALUE(MID($E818,2,20)),1000000000),1000000000))+ROW()/100000,"")</f>
        <v/>
      </c>
    </row>
    <row r="819">
      <c r="D819">
        <f>IF($E819="","",IFERROR(IF(INDEX('Per Invoice'!$A$2:$A$301,MATCH($E819,'Per Invoice'!$B$2:$B$301,0))=0,"",INDEX('Per Invoice'!$A$2:$A$301,MATCH($E819,'Per Invoice'!$B$2:$B$301,0))),""))</f>
        <v/>
      </c>
      <c r="H819" s="11" t="n"/>
      <c r="R819" s="7">
        <f>IF($E819="","",Q819*Z819/100)</f>
        <v/>
      </c>
      <c r="S819" s="7" t="n"/>
      <c r="Y819" s="7" t="n"/>
      <c r="Z819" s="7" t="n"/>
      <c r="AA819" s="7">
        <f>IF($E819="","",Z819*AF819/100)</f>
        <v/>
      </c>
      <c r="AB819" s="7">
        <f>IF($E819="","",Z819-AA819)</f>
        <v/>
      </c>
      <c r="AC819" s="7">
        <f>IF($E819="","",AB819-R819)</f>
        <v/>
      </c>
      <c r="AF819">
        <f>IF($E819="","",IF($AR819=1,0,IF($AQ819=1,Settings!$C$6,Settings!$C$7))*100)</f>
        <v/>
      </c>
      <c r="AJ819" s="7" t="n"/>
      <c r="AM819" s="11" t="n"/>
      <c r="AO819">
        <f>IF($E819="","",IF(COUNTIF($E$2:$E819,$E819)=1,1,0))</f>
        <v/>
      </c>
      <c r="AP819">
        <f>IF($AO819=1,SUMPRODUCT(--($AS$2:$AS$1001&lt;$AS819))+1,"")</f>
        <v/>
      </c>
      <c r="AQ819">
        <f>IF($E819="","",IF(OR($V819=TRUE(),$V819="TRUE"),1,0))</f>
        <v/>
      </c>
      <c r="AR819">
        <f>IF($E819="","",IF($AE819="Yes",1,0))</f>
        <v/>
      </c>
      <c r="AS819">
        <f>IF($AO819=1,IFERROR(IF(VALUE($E819)&lt;100000000,VALUE($E819),1000000000),IFERROR(IF(VALUE(MID($E819,2,20))&lt;100000000,VALUE(MID($E819,2,20)),1000000000),1000000000))+ROW()/100000,"")</f>
        <v/>
      </c>
    </row>
    <row r="820">
      <c r="D820">
        <f>IF($E820="","",IFERROR(IF(INDEX('Per Invoice'!$A$2:$A$301,MATCH($E820,'Per Invoice'!$B$2:$B$301,0))=0,"",INDEX('Per Invoice'!$A$2:$A$301,MATCH($E820,'Per Invoice'!$B$2:$B$301,0))),""))</f>
        <v/>
      </c>
      <c r="H820" s="11" t="n"/>
      <c r="R820" s="7">
        <f>IF($E820="","",Q820*Z820/100)</f>
        <v/>
      </c>
      <c r="S820" s="7" t="n"/>
      <c r="Y820" s="7" t="n"/>
      <c r="Z820" s="7" t="n"/>
      <c r="AA820" s="7">
        <f>IF($E820="","",Z820*AF820/100)</f>
        <v/>
      </c>
      <c r="AB820" s="7">
        <f>IF($E820="","",Z820-AA820)</f>
        <v/>
      </c>
      <c r="AC820" s="7">
        <f>IF($E820="","",AB820-R820)</f>
        <v/>
      </c>
      <c r="AF820">
        <f>IF($E820="","",IF($AR820=1,0,IF($AQ820=1,Settings!$C$6,Settings!$C$7))*100)</f>
        <v/>
      </c>
      <c r="AJ820" s="7" t="n"/>
      <c r="AM820" s="11" t="n"/>
      <c r="AO820">
        <f>IF($E820="","",IF(COUNTIF($E$2:$E820,$E820)=1,1,0))</f>
        <v/>
      </c>
      <c r="AP820">
        <f>IF($AO820=1,SUMPRODUCT(--($AS$2:$AS$1001&lt;$AS820))+1,"")</f>
        <v/>
      </c>
      <c r="AQ820">
        <f>IF($E820="","",IF(OR($V820=TRUE(),$V820="TRUE"),1,0))</f>
        <v/>
      </c>
      <c r="AR820">
        <f>IF($E820="","",IF($AE820="Yes",1,0))</f>
        <v/>
      </c>
      <c r="AS820">
        <f>IF($AO820=1,IFERROR(IF(VALUE($E820)&lt;100000000,VALUE($E820),1000000000),IFERROR(IF(VALUE(MID($E820,2,20))&lt;100000000,VALUE(MID($E820,2,20)),1000000000),1000000000))+ROW()/100000,"")</f>
        <v/>
      </c>
    </row>
    <row r="821">
      <c r="D821">
        <f>IF($E821="","",IFERROR(IF(INDEX('Per Invoice'!$A$2:$A$301,MATCH($E821,'Per Invoice'!$B$2:$B$301,0))=0,"",INDEX('Per Invoice'!$A$2:$A$301,MATCH($E821,'Per Invoice'!$B$2:$B$301,0))),""))</f>
        <v/>
      </c>
      <c r="H821" s="11" t="n"/>
      <c r="R821" s="7">
        <f>IF($E821="","",Q821*Z821/100)</f>
        <v/>
      </c>
      <c r="S821" s="7" t="n"/>
      <c r="Y821" s="7" t="n"/>
      <c r="Z821" s="7" t="n"/>
      <c r="AA821" s="7">
        <f>IF($E821="","",Z821*AF821/100)</f>
        <v/>
      </c>
      <c r="AB821" s="7">
        <f>IF($E821="","",Z821-AA821)</f>
        <v/>
      </c>
      <c r="AC821" s="7">
        <f>IF($E821="","",AB821-R821)</f>
        <v/>
      </c>
      <c r="AF821">
        <f>IF($E821="","",IF($AR821=1,0,IF($AQ821=1,Settings!$C$6,Settings!$C$7))*100)</f>
        <v/>
      </c>
      <c r="AJ821" s="7" t="n"/>
      <c r="AM821" s="11" t="n"/>
      <c r="AO821">
        <f>IF($E821="","",IF(COUNTIF($E$2:$E821,$E821)=1,1,0))</f>
        <v/>
      </c>
      <c r="AP821">
        <f>IF($AO821=1,SUMPRODUCT(--($AS$2:$AS$1001&lt;$AS821))+1,"")</f>
        <v/>
      </c>
      <c r="AQ821">
        <f>IF($E821="","",IF(OR($V821=TRUE(),$V821="TRUE"),1,0))</f>
        <v/>
      </c>
      <c r="AR821">
        <f>IF($E821="","",IF($AE821="Yes",1,0))</f>
        <v/>
      </c>
      <c r="AS821">
        <f>IF($AO821=1,IFERROR(IF(VALUE($E821)&lt;100000000,VALUE($E821),1000000000),IFERROR(IF(VALUE(MID($E821,2,20))&lt;100000000,VALUE(MID($E821,2,20)),1000000000),1000000000))+ROW()/100000,"")</f>
        <v/>
      </c>
    </row>
    <row r="822">
      <c r="D822">
        <f>IF($E822="","",IFERROR(IF(INDEX('Per Invoice'!$A$2:$A$301,MATCH($E822,'Per Invoice'!$B$2:$B$301,0))=0,"",INDEX('Per Invoice'!$A$2:$A$301,MATCH($E822,'Per Invoice'!$B$2:$B$301,0))),""))</f>
        <v/>
      </c>
      <c r="H822" s="11" t="n"/>
      <c r="R822" s="7">
        <f>IF($E822="","",Q822*Z822/100)</f>
        <v/>
      </c>
      <c r="S822" s="7" t="n"/>
      <c r="Y822" s="7" t="n"/>
      <c r="Z822" s="7" t="n"/>
      <c r="AA822" s="7">
        <f>IF($E822="","",Z822*AF822/100)</f>
        <v/>
      </c>
      <c r="AB822" s="7">
        <f>IF($E822="","",Z822-AA822)</f>
        <v/>
      </c>
      <c r="AC822" s="7">
        <f>IF($E822="","",AB822-R822)</f>
        <v/>
      </c>
      <c r="AF822">
        <f>IF($E822="","",IF($AR822=1,0,IF($AQ822=1,Settings!$C$6,Settings!$C$7))*100)</f>
        <v/>
      </c>
      <c r="AJ822" s="7" t="n"/>
      <c r="AM822" s="11" t="n"/>
      <c r="AO822">
        <f>IF($E822="","",IF(COUNTIF($E$2:$E822,$E822)=1,1,0))</f>
        <v/>
      </c>
      <c r="AP822">
        <f>IF($AO822=1,SUMPRODUCT(--($AS$2:$AS$1001&lt;$AS822))+1,"")</f>
        <v/>
      </c>
      <c r="AQ822">
        <f>IF($E822="","",IF(OR($V822=TRUE(),$V822="TRUE"),1,0))</f>
        <v/>
      </c>
      <c r="AR822">
        <f>IF($E822="","",IF($AE822="Yes",1,0))</f>
        <v/>
      </c>
      <c r="AS822">
        <f>IF($AO822=1,IFERROR(IF(VALUE($E822)&lt;100000000,VALUE($E822),1000000000),IFERROR(IF(VALUE(MID($E822,2,20))&lt;100000000,VALUE(MID($E822,2,20)),1000000000),1000000000))+ROW()/100000,"")</f>
        <v/>
      </c>
    </row>
    <row r="823">
      <c r="D823">
        <f>IF($E823="","",IFERROR(IF(INDEX('Per Invoice'!$A$2:$A$301,MATCH($E823,'Per Invoice'!$B$2:$B$301,0))=0,"",INDEX('Per Invoice'!$A$2:$A$301,MATCH($E823,'Per Invoice'!$B$2:$B$301,0))),""))</f>
        <v/>
      </c>
      <c r="H823" s="11" t="n"/>
      <c r="R823" s="7">
        <f>IF($E823="","",Q823*Z823/100)</f>
        <v/>
      </c>
      <c r="S823" s="7" t="n"/>
      <c r="Y823" s="7" t="n"/>
      <c r="Z823" s="7" t="n"/>
      <c r="AA823" s="7">
        <f>IF($E823="","",Z823*AF823/100)</f>
        <v/>
      </c>
      <c r="AB823" s="7">
        <f>IF($E823="","",Z823-AA823)</f>
        <v/>
      </c>
      <c r="AC823" s="7">
        <f>IF($E823="","",AB823-R823)</f>
        <v/>
      </c>
      <c r="AF823">
        <f>IF($E823="","",IF($AR823=1,0,IF($AQ823=1,Settings!$C$6,Settings!$C$7))*100)</f>
        <v/>
      </c>
      <c r="AJ823" s="7" t="n"/>
      <c r="AM823" s="11" t="n"/>
      <c r="AO823">
        <f>IF($E823="","",IF(COUNTIF($E$2:$E823,$E823)=1,1,0))</f>
        <v/>
      </c>
      <c r="AP823">
        <f>IF($AO823=1,SUMPRODUCT(--($AS$2:$AS$1001&lt;$AS823))+1,"")</f>
        <v/>
      </c>
      <c r="AQ823">
        <f>IF($E823="","",IF(OR($V823=TRUE(),$V823="TRUE"),1,0))</f>
        <v/>
      </c>
      <c r="AR823">
        <f>IF($E823="","",IF($AE823="Yes",1,0))</f>
        <v/>
      </c>
      <c r="AS823">
        <f>IF($AO823=1,IFERROR(IF(VALUE($E823)&lt;100000000,VALUE($E823),1000000000),IFERROR(IF(VALUE(MID($E823,2,20))&lt;100000000,VALUE(MID($E823,2,20)),1000000000),1000000000))+ROW()/100000,"")</f>
        <v/>
      </c>
    </row>
    <row r="824">
      <c r="D824">
        <f>IF($E824="","",IFERROR(IF(INDEX('Per Invoice'!$A$2:$A$301,MATCH($E824,'Per Invoice'!$B$2:$B$301,0))=0,"",INDEX('Per Invoice'!$A$2:$A$301,MATCH($E824,'Per Invoice'!$B$2:$B$301,0))),""))</f>
        <v/>
      </c>
      <c r="H824" s="11" t="n"/>
      <c r="R824" s="7">
        <f>IF($E824="","",Q824*Z824/100)</f>
        <v/>
      </c>
      <c r="S824" s="7" t="n"/>
      <c r="Y824" s="7" t="n"/>
      <c r="Z824" s="7" t="n"/>
      <c r="AA824" s="7">
        <f>IF($E824="","",Z824*AF824/100)</f>
        <v/>
      </c>
      <c r="AB824" s="7">
        <f>IF($E824="","",Z824-AA824)</f>
        <v/>
      </c>
      <c r="AC824" s="7">
        <f>IF($E824="","",AB824-R824)</f>
        <v/>
      </c>
      <c r="AF824">
        <f>IF($E824="","",IF($AR824=1,0,IF($AQ824=1,Settings!$C$6,Settings!$C$7))*100)</f>
        <v/>
      </c>
      <c r="AJ824" s="7" t="n"/>
      <c r="AM824" s="11" t="n"/>
      <c r="AO824">
        <f>IF($E824="","",IF(COUNTIF($E$2:$E824,$E824)=1,1,0))</f>
        <v/>
      </c>
      <c r="AP824">
        <f>IF($AO824=1,SUMPRODUCT(--($AS$2:$AS$1001&lt;$AS824))+1,"")</f>
        <v/>
      </c>
      <c r="AQ824">
        <f>IF($E824="","",IF(OR($V824=TRUE(),$V824="TRUE"),1,0))</f>
        <v/>
      </c>
      <c r="AR824">
        <f>IF($E824="","",IF($AE824="Yes",1,0))</f>
        <v/>
      </c>
      <c r="AS824">
        <f>IF($AO824=1,IFERROR(IF(VALUE($E824)&lt;100000000,VALUE($E824),1000000000),IFERROR(IF(VALUE(MID($E824,2,20))&lt;100000000,VALUE(MID($E824,2,20)),1000000000),1000000000))+ROW()/100000,"")</f>
        <v/>
      </c>
    </row>
    <row r="825">
      <c r="D825">
        <f>IF($E825="","",IFERROR(IF(INDEX('Per Invoice'!$A$2:$A$301,MATCH($E825,'Per Invoice'!$B$2:$B$301,0))=0,"",INDEX('Per Invoice'!$A$2:$A$301,MATCH($E825,'Per Invoice'!$B$2:$B$301,0))),""))</f>
        <v/>
      </c>
      <c r="H825" s="11" t="n"/>
      <c r="R825" s="7">
        <f>IF($E825="","",Q825*Z825/100)</f>
        <v/>
      </c>
      <c r="S825" s="7" t="n"/>
      <c r="Y825" s="7" t="n"/>
      <c r="Z825" s="7" t="n"/>
      <c r="AA825" s="7">
        <f>IF($E825="","",Z825*AF825/100)</f>
        <v/>
      </c>
      <c r="AB825" s="7">
        <f>IF($E825="","",Z825-AA825)</f>
        <v/>
      </c>
      <c r="AC825" s="7">
        <f>IF($E825="","",AB825-R825)</f>
        <v/>
      </c>
      <c r="AF825">
        <f>IF($E825="","",IF($AR825=1,0,IF($AQ825=1,Settings!$C$6,Settings!$C$7))*100)</f>
        <v/>
      </c>
      <c r="AJ825" s="7" t="n"/>
      <c r="AM825" s="11" t="n"/>
      <c r="AO825">
        <f>IF($E825="","",IF(COUNTIF($E$2:$E825,$E825)=1,1,0))</f>
        <v/>
      </c>
      <c r="AP825">
        <f>IF($AO825=1,SUMPRODUCT(--($AS$2:$AS$1001&lt;$AS825))+1,"")</f>
        <v/>
      </c>
      <c r="AQ825">
        <f>IF($E825="","",IF(OR($V825=TRUE(),$V825="TRUE"),1,0))</f>
        <v/>
      </c>
      <c r="AR825">
        <f>IF($E825="","",IF($AE825="Yes",1,0))</f>
        <v/>
      </c>
      <c r="AS825">
        <f>IF($AO825=1,IFERROR(IF(VALUE($E825)&lt;100000000,VALUE($E825),1000000000),IFERROR(IF(VALUE(MID($E825,2,20))&lt;100000000,VALUE(MID($E825,2,20)),1000000000),1000000000))+ROW()/100000,"")</f>
        <v/>
      </c>
    </row>
    <row r="826">
      <c r="D826">
        <f>IF($E826="","",IFERROR(IF(INDEX('Per Invoice'!$A$2:$A$301,MATCH($E826,'Per Invoice'!$B$2:$B$301,0))=0,"",INDEX('Per Invoice'!$A$2:$A$301,MATCH($E826,'Per Invoice'!$B$2:$B$301,0))),""))</f>
        <v/>
      </c>
      <c r="H826" s="11" t="n"/>
      <c r="R826" s="7">
        <f>IF($E826="","",Q826*Z826/100)</f>
        <v/>
      </c>
      <c r="S826" s="7" t="n"/>
      <c r="Y826" s="7" t="n"/>
      <c r="Z826" s="7" t="n"/>
      <c r="AA826" s="7">
        <f>IF($E826="","",Z826*AF826/100)</f>
        <v/>
      </c>
      <c r="AB826" s="7">
        <f>IF($E826="","",Z826-AA826)</f>
        <v/>
      </c>
      <c r="AC826" s="7">
        <f>IF($E826="","",AB826-R826)</f>
        <v/>
      </c>
      <c r="AF826">
        <f>IF($E826="","",IF($AR826=1,0,IF($AQ826=1,Settings!$C$6,Settings!$C$7))*100)</f>
        <v/>
      </c>
      <c r="AJ826" s="7" t="n"/>
      <c r="AM826" s="11" t="n"/>
      <c r="AO826">
        <f>IF($E826="","",IF(COUNTIF($E$2:$E826,$E826)=1,1,0))</f>
        <v/>
      </c>
      <c r="AP826">
        <f>IF($AO826=1,SUMPRODUCT(--($AS$2:$AS$1001&lt;$AS826))+1,"")</f>
        <v/>
      </c>
      <c r="AQ826">
        <f>IF($E826="","",IF(OR($V826=TRUE(),$V826="TRUE"),1,0))</f>
        <v/>
      </c>
      <c r="AR826">
        <f>IF($E826="","",IF($AE826="Yes",1,0))</f>
        <v/>
      </c>
      <c r="AS826">
        <f>IF($AO826=1,IFERROR(IF(VALUE($E826)&lt;100000000,VALUE($E826),1000000000),IFERROR(IF(VALUE(MID($E826,2,20))&lt;100000000,VALUE(MID($E826,2,20)),1000000000),1000000000))+ROW()/100000,"")</f>
        <v/>
      </c>
    </row>
    <row r="827">
      <c r="D827">
        <f>IF($E827="","",IFERROR(IF(INDEX('Per Invoice'!$A$2:$A$301,MATCH($E827,'Per Invoice'!$B$2:$B$301,0))=0,"",INDEX('Per Invoice'!$A$2:$A$301,MATCH($E827,'Per Invoice'!$B$2:$B$301,0))),""))</f>
        <v/>
      </c>
      <c r="H827" s="11" t="n"/>
      <c r="R827" s="7">
        <f>IF($E827="","",Q827*Z827/100)</f>
        <v/>
      </c>
      <c r="S827" s="7" t="n"/>
      <c r="Y827" s="7" t="n"/>
      <c r="Z827" s="7" t="n"/>
      <c r="AA827" s="7">
        <f>IF($E827="","",Z827*AF827/100)</f>
        <v/>
      </c>
      <c r="AB827" s="7">
        <f>IF($E827="","",Z827-AA827)</f>
        <v/>
      </c>
      <c r="AC827" s="7">
        <f>IF($E827="","",AB827-R827)</f>
        <v/>
      </c>
      <c r="AF827">
        <f>IF($E827="","",IF($AR827=1,0,IF($AQ827=1,Settings!$C$6,Settings!$C$7))*100)</f>
        <v/>
      </c>
      <c r="AJ827" s="7" t="n"/>
      <c r="AM827" s="11" t="n"/>
      <c r="AO827">
        <f>IF($E827="","",IF(COUNTIF($E$2:$E827,$E827)=1,1,0))</f>
        <v/>
      </c>
      <c r="AP827">
        <f>IF($AO827=1,SUMPRODUCT(--($AS$2:$AS$1001&lt;$AS827))+1,"")</f>
        <v/>
      </c>
      <c r="AQ827">
        <f>IF($E827="","",IF(OR($V827=TRUE(),$V827="TRUE"),1,0))</f>
        <v/>
      </c>
      <c r="AR827">
        <f>IF($E827="","",IF($AE827="Yes",1,0))</f>
        <v/>
      </c>
      <c r="AS827">
        <f>IF($AO827=1,IFERROR(IF(VALUE($E827)&lt;100000000,VALUE($E827),1000000000),IFERROR(IF(VALUE(MID($E827,2,20))&lt;100000000,VALUE(MID($E827,2,20)),1000000000),1000000000))+ROW()/100000,"")</f>
        <v/>
      </c>
    </row>
    <row r="828">
      <c r="D828">
        <f>IF($E828="","",IFERROR(IF(INDEX('Per Invoice'!$A$2:$A$301,MATCH($E828,'Per Invoice'!$B$2:$B$301,0))=0,"",INDEX('Per Invoice'!$A$2:$A$301,MATCH($E828,'Per Invoice'!$B$2:$B$301,0))),""))</f>
        <v/>
      </c>
      <c r="H828" s="11" t="n"/>
      <c r="R828" s="7">
        <f>IF($E828="","",Q828*Z828/100)</f>
        <v/>
      </c>
      <c r="S828" s="7" t="n"/>
      <c r="Y828" s="7" t="n"/>
      <c r="Z828" s="7" t="n"/>
      <c r="AA828" s="7">
        <f>IF($E828="","",Z828*AF828/100)</f>
        <v/>
      </c>
      <c r="AB828" s="7">
        <f>IF($E828="","",Z828-AA828)</f>
        <v/>
      </c>
      <c r="AC828" s="7">
        <f>IF($E828="","",AB828-R828)</f>
        <v/>
      </c>
      <c r="AF828">
        <f>IF($E828="","",IF($AR828=1,0,IF($AQ828=1,Settings!$C$6,Settings!$C$7))*100)</f>
        <v/>
      </c>
      <c r="AJ828" s="7" t="n"/>
      <c r="AM828" s="11" t="n"/>
      <c r="AO828">
        <f>IF($E828="","",IF(COUNTIF($E$2:$E828,$E828)=1,1,0))</f>
        <v/>
      </c>
      <c r="AP828">
        <f>IF($AO828=1,SUMPRODUCT(--($AS$2:$AS$1001&lt;$AS828))+1,"")</f>
        <v/>
      </c>
      <c r="AQ828">
        <f>IF($E828="","",IF(OR($V828=TRUE(),$V828="TRUE"),1,0))</f>
        <v/>
      </c>
      <c r="AR828">
        <f>IF($E828="","",IF($AE828="Yes",1,0))</f>
        <v/>
      </c>
      <c r="AS828">
        <f>IF($AO828=1,IFERROR(IF(VALUE($E828)&lt;100000000,VALUE($E828),1000000000),IFERROR(IF(VALUE(MID($E828,2,20))&lt;100000000,VALUE(MID($E828,2,20)),1000000000),1000000000))+ROW()/100000,"")</f>
        <v/>
      </c>
    </row>
    <row r="829">
      <c r="D829">
        <f>IF($E829="","",IFERROR(IF(INDEX('Per Invoice'!$A$2:$A$301,MATCH($E829,'Per Invoice'!$B$2:$B$301,0))=0,"",INDEX('Per Invoice'!$A$2:$A$301,MATCH($E829,'Per Invoice'!$B$2:$B$301,0))),""))</f>
        <v/>
      </c>
      <c r="H829" s="11" t="n"/>
      <c r="R829" s="7">
        <f>IF($E829="","",Q829*Z829/100)</f>
        <v/>
      </c>
      <c r="S829" s="7" t="n"/>
      <c r="Y829" s="7" t="n"/>
      <c r="Z829" s="7" t="n"/>
      <c r="AA829" s="7">
        <f>IF($E829="","",Z829*AF829/100)</f>
        <v/>
      </c>
      <c r="AB829" s="7">
        <f>IF($E829="","",Z829-AA829)</f>
        <v/>
      </c>
      <c r="AC829" s="7">
        <f>IF($E829="","",AB829-R829)</f>
        <v/>
      </c>
      <c r="AF829">
        <f>IF($E829="","",IF($AR829=1,0,IF($AQ829=1,Settings!$C$6,Settings!$C$7))*100)</f>
        <v/>
      </c>
      <c r="AJ829" s="7" t="n"/>
      <c r="AM829" s="11" t="n"/>
      <c r="AO829">
        <f>IF($E829="","",IF(COUNTIF($E$2:$E829,$E829)=1,1,0))</f>
        <v/>
      </c>
      <c r="AP829">
        <f>IF($AO829=1,SUMPRODUCT(--($AS$2:$AS$1001&lt;$AS829))+1,"")</f>
        <v/>
      </c>
      <c r="AQ829">
        <f>IF($E829="","",IF(OR($V829=TRUE(),$V829="TRUE"),1,0))</f>
        <v/>
      </c>
      <c r="AR829">
        <f>IF($E829="","",IF($AE829="Yes",1,0))</f>
        <v/>
      </c>
      <c r="AS829">
        <f>IF($AO829=1,IFERROR(IF(VALUE($E829)&lt;100000000,VALUE($E829),1000000000),IFERROR(IF(VALUE(MID($E829,2,20))&lt;100000000,VALUE(MID($E829,2,20)),1000000000),1000000000))+ROW()/100000,"")</f>
        <v/>
      </c>
    </row>
    <row r="830">
      <c r="D830">
        <f>IF($E830="","",IFERROR(IF(INDEX('Per Invoice'!$A$2:$A$301,MATCH($E830,'Per Invoice'!$B$2:$B$301,0))=0,"",INDEX('Per Invoice'!$A$2:$A$301,MATCH($E830,'Per Invoice'!$B$2:$B$301,0))),""))</f>
        <v/>
      </c>
      <c r="H830" s="11" t="n"/>
      <c r="R830" s="7">
        <f>IF($E830="","",Q830*Z830/100)</f>
        <v/>
      </c>
      <c r="S830" s="7" t="n"/>
      <c r="Y830" s="7" t="n"/>
      <c r="Z830" s="7" t="n"/>
      <c r="AA830" s="7">
        <f>IF($E830="","",Z830*AF830/100)</f>
        <v/>
      </c>
      <c r="AB830" s="7">
        <f>IF($E830="","",Z830-AA830)</f>
        <v/>
      </c>
      <c r="AC830" s="7">
        <f>IF($E830="","",AB830-R830)</f>
        <v/>
      </c>
      <c r="AF830">
        <f>IF($E830="","",IF($AR830=1,0,IF($AQ830=1,Settings!$C$6,Settings!$C$7))*100)</f>
        <v/>
      </c>
      <c r="AJ830" s="7" t="n"/>
      <c r="AM830" s="11" t="n"/>
      <c r="AO830">
        <f>IF($E830="","",IF(COUNTIF($E$2:$E830,$E830)=1,1,0))</f>
        <v/>
      </c>
      <c r="AP830">
        <f>IF($AO830=1,SUMPRODUCT(--($AS$2:$AS$1001&lt;$AS830))+1,"")</f>
        <v/>
      </c>
      <c r="AQ830">
        <f>IF($E830="","",IF(OR($V830=TRUE(),$V830="TRUE"),1,0))</f>
        <v/>
      </c>
      <c r="AR830">
        <f>IF($E830="","",IF($AE830="Yes",1,0))</f>
        <v/>
      </c>
      <c r="AS830">
        <f>IF($AO830=1,IFERROR(IF(VALUE($E830)&lt;100000000,VALUE($E830),1000000000),IFERROR(IF(VALUE(MID($E830,2,20))&lt;100000000,VALUE(MID($E830,2,20)),1000000000),1000000000))+ROW()/100000,"")</f>
        <v/>
      </c>
    </row>
    <row r="831">
      <c r="D831">
        <f>IF($E831="","",IFERROR(IF(INDEX('Per Invoice'!$A$2:$A$301,MATCH($E831,'Per Invoice'!$B$2:$B$301,0))=0,"",INDEX('Per Invoice'!$A$2:$A$301,MATCH($E831,'Per Invoice'!$B$2:$B$301,0))),""))</f>
        <v/>
      </c>
      <c r="H831" s="11" t="n"/>
      <c r="R831" s="7">
        <f>IF($E831="","",Q831*Z831/100)</f>
        <v/>
      </c>
      <c r="S831" s="7" t="n"/>
      <c r="Y831" s="7" t="n"/>
      <c r="Z831" s="7" t="n"/>
      <c r="AA831" s="7">
        <f>IF($E831="","",Z831*AF831/100)</f>
        <v/>
      </c>
      <c r="AB831" s="7">
        <f>IF($E831="","",Z831-AA831)</f>
        <v/>
      </c>
      <c r="AC831" s="7">
        <f>IF($E831="","",AB831-R831)</f>
        <v/>
      </c>
      <c r="AF831">
        <f>IF($E831="","",IF($AR831=1,0,IF($AQ831=1,Settings!$C$6,Settings!$C$7))*100)</f>
        <v/>
      </c>
      <c r="AJ831" s="7" t="n"/>
      <c r="AM831" s="11" t="n"/>
      <c r="AO831">
        <f>IF($E831="","",IF(COUNTIF($E$2:$E831,$E831)=1,1,0))</f>
        <v/>
      </c>
      <c r="AP831">
        <f>IF($AO831=1,SUMPRODUCT(--($AS$2:$AS$1001&lt;$AS831))+1,"")</f>
        <v/>
      </c>
      <c r="AQ831">
        <f>IF($E831="","",IF(OR($V831=TRUE(),$V831="TRUE"),1,0))</f>
        <v/>
      </c>
      <c r="AR831">
        <f>IF($E831="","",IF($AE831="Yes",1,0))</f>
        <v/>
      </c>
      <c r="AS831">
        <f>IF($AO831=1,IFERROR(IF(VALUE($E831)&lt;100000000,VALUE($E831),1000000000),IFERROR(IF(VALUE(MID($E831,2,20))&lt;100000000,VALUE(MID($E831,2,20)),1000000000),1000000000))+ROW()/100000,"")</f>
        <v/>
      </c>
    </row>
    <row r="832">
      <c r="D832">
        <f>IF($E832="","",IFERROR(IF(INDEX('Per Invoice'!$A$2:$A$301,MATCH($E832,'Per Invoice'!$B$2:$B$301,0))=0,"",INDEX('Per Invoice'!$A$2:$A$301,MATCH($E832,'Per Invoice'!$B$2:$B$301,0))),""))</f>
        <v/>
      </c>
      <c r="H832" s="11" t="n"/>
      <c r="R832" s="7">
        <f>IF($E832="","",Q832*Z832/100)</f>
        <v/>
      </c>
      <c r="S832" s="7" t="n"/>
      <c r="Y832" s="7" t="n"/>
      <c r="Z832" s="7" t="n"/>
      <c r="AA832" s="7">
        <f>IF($E832="","",Z832*AF832/100)</f>
        <v/>
      </c>
      <c r="AB832" s="7">
        <f>IF($E832="","",Z832-AA832)</f>
        <v/>
      </c>
      <c r="AC832" s="7">
        <f>IF($E832="","",AB832-R832)</f>
        <v/>
      </c>
      <c r="AF832">
        <f>IF($E832="","",IF($AR832=1,0,IF($AQ832=1,Settings!$C$6,Settings!$C$7))*100)</f>
        <v/>
      </c>
      <c r="AJ832" s="7" t="n"/>
      <c r="AM832" s="11" t="n"/>
      <c r="AO832">
        <f>IF($E832="","",IF(COUNTIF($E$2:$E832,$E832)=1,1,0))</f>
        <v/>
      </c>
      <c r="AP832">
        <f>IF($AO832=1,SUMPRODUCT(--($AS$2:$AS$1001&lt;$AS832))+1,"")</f>
        <v/>
      </c>
      <c r="AQ832">
        <f>IF($E832="","",IF(OR($V832=TRUE(),$V832="TRUE"),1,0))</f>
        <v/>
      </c>
      <c r="AR832">
        <f>IF($E832="","",IF($AE832="Yes",1,0))</f>
        <v/>
      </c>
      <c r="AS832">
        <f>IF($AO832=1,IFERROR(IF(VALUE($E832)&lt;100000000,VALUE($E832),1000000000),IFERROR(IF(VALUE(MID($E832,2,20))&lt;100000000,VALUE(MID($E832,2,20)),1000000000),1000000000))+ROW()/100000,"")</f>
        <v/>
      </c>
    </row>
    <row r="833">
      <c r="D833">
        <f>IF($E833="","",IFERROR(IF(INDEX('Per Invoice'!$A$2:$A$301,MATCH($E833,'Per Invoice'!$B$2:$B$301,0))=0,"",INDEX('Per Invoice'!$A$2:$A$301,MATCH($E833,'Per Invoice'!$B$2:$B$301,0))),""))</f>
        <v/>
      </c>
      <c r="H833" s="11" t="n"/>
      <c r="R833" s="7">
        <f>IF($E833="","",Q833*Z833/100)</f>
        <v/>
      </c>
      <c r="S833" s="7" t="n"/>
      <c r="Y833" s="7" t="n"/>
      <c r="Z833" s="7" t="n"/>
      <c r="AA833" s="7">
        <f>IF($E833="","",Z833*AF833/100)</f>
        <v/>
      </c>
      <c r="AB833" s="7">
        <f>IF($E833="","",Z833-AA833)</f>
        <v/>
      </c>
      <c r="AC833" s="7">
        <f>IF($E833="","",AB833-R833)</f>
        <v/>
      </c>
      <c r="AF833">
        <f>IF($E833="","",IF($AR833=1,0,IF($AQ833=1,Settings!$C$6,Settings!$C$7))*100)</f>
        <v/>
      </c>
      <c r="AJ833" s="7" t="n"/>
      <c r="AM833" s="11" t="n"/>
      <c r="AO833">
        <f>IF($E833="","",IF(COUNTIF($E$2:$E833,$E833)=1,1,0))</f>
        <v/>
      </c>
      <c r="AP833">
        <f>IF($AO833=1,SUMPRODUCT(--($AS$2:$AS$1001&lt;$AS833))+1,"")</f>
        <v/>
      </c>
      <c r="AQ833">
        <f>IF($E833="","",IF(OR($V833=TRUE(),$V833="TRUE"),1,0))</f>
        <v/>
      </c>
      <c r="AR833">
        <f>IF($E833="","",IF($AE833="Yes",1,0))</f>
        <v/>
      </c>
      <c r="AS833">
        <f>IF($AO833=1,IFERROR(IF(VALUE($E833)&lt;100000000,VALUE($E833),1000000000),IFERROR(IF(VALUE(MID($E833,2,20))&lt;100000000,VALUE(MID($E833,2,20)),1000000000),1000000000))+ROW()/100000,"")</f>
        <v/>
      </c>
    </row>
    <row r="834">
      <c r="D834">
        <f>IF($E834="","",IFERROR(IF(INDEX('Per Invoice'!$A$2:$A$301,MATCH($E834,'Per Invoice'!$B$2:$B$301,0))=0,"",INDEX('Per Invoice'!$A$2:$A$301,MATCH($E834,'Per Invoice'!$B$2:$B$301,0))),""))</f>
        <v/>
      </c>
      <c r="H834" s="11" t="n"/>
      <c r="R834" s="7">
        <f>IF($E834="","",Q834*Z834/100)</f>
        <v/>
      </c>
      <c r="S834" s="7" t="n"/>
      <c r="Y834" s="7" t="n"/>
      <c r="Z834" s="7" t="n"/>
      <c r="AA834" s="7">
        <f>IF($E834="","",Z834*AF834/100)</f>
        <v/>
      </c>
      <c r="AB834" s="7">
        <f>IF($E834="","",Z834-AA834)</f>
        <v/>
      </c>
      <c r="AC834" s="7">
        <f>IF($E834="","",AB834-R834)</f>
        <v/>
      </c>
      <c r="AF834">
        <f>IF($E834="","",IF($AR834=1,0,IF($AQ834=1,Settings!$C$6,Settings!$C$7))*100)</f>
        <v/>
      </c>
      <c r="AJ834" s="7" t="n"/>
      <c r="AM834" s="11" t="n"/>
      <c r="AO834">
        <f>IF($E834="","",IF(COUNTIF($E$2:$E834,$E834)=1,1,0))</f>
        <v/>
      </c>
      <c r="AP834">
        <f>IF($AO834=1,SUMPRODUCT(--($AS$2:$AS$1001&lt;$AS834))+1,"")</f>
        <v/>
      </c>
      <c r="AQ834">
        <f>IF($E834="","",IF(OR($V834=TRUE(),$V834="TRUE"),1,0))</f>
        <v/>
      </c>
      <c r="AR834">
        <f>IF($E834="","",IF($AE834="Yes",1,0))</f>
        <v/>
      </c>
      <c r="AS834">
        <f>IF($AO834=1,IFERROR(IF(VALUE($E834)&lt;100000000,VALUE($E834),1000000000),IFERROR(IF(VALUE(MID($E834,2,20))&lt;100000000,VALUE(MID($E834,2,20)),1000000000),1000000000))+ROW()/100000,"")</f>
        <v/>
      </c>
    </row>
    <row r="835">
      <c r="D835">
        <f>IF($E835="","",IFERROR(IF(INDEX('Per Invoice'!$A$2:$A$301,MATCH($E835,'Per Invoice'!$B$2:$B$301,0))=0,"",INDEX('Per Invoice'!$A$2:$A$301,MATCH($E835,'Per Invoice'!$B$2:$B$301,0))),""))</f>
        <v/>
      </c>
      <c r="H835" s="11" t="n"/>
      <c r="R835" s="7">
        <f>IF($E835="","",Q835*Z835/100)</f>
        <v/>
      </c>
      <c r="S835" s="7" t="n"/>
      <c r="Y835" s="7" t="n"/>
      <c r="Z835" s="7" t="n"/>
      <c r="AA835" s="7">
        <f>IF($E835="","",Z835*AF835/100)</f>
        <v/>
      </c>
      <c r="AB835" s="7">
        <f>IF($E835="","",Z835-AA835)</f>
        <v/>
      </c>
      <c r="AC835" s="7">
        <f>IF($E835="","",AB835-R835)</f>
        <v/>
      </c>
      <c r="AF835">
        <f>IF($E835="","",IF($AR835=1,0,IF($AQ835=1,Settings!$C$6,Settings!$C$7))*100)</f>
        <v/>
      </c>
      <c r="AJ835" s="7" t="n"/>
      <c r="AM835" s="11" t="n"/>
      <c r="AO835">
        <f>IF($E835="","",IF(COUNTIF($E$2:$E835,$E835)=1,1,0))</f>
        <v/>
      </c>
      <c r="AP835">
        <f>IF($AO835=1,SUMPRODUCT(--($AS$2:$AS$1001&lt;$AS835))+1,"")</f>
        <v/>
      </c>
      <c r="AQ835">
        <f>IF($E835="","",IF(OR($V835=TRUE(),$V835="TRUE"),1,0))</f>
        <v/>
      </c>
      <c r="AR835">
        <f>IF($E835="","",IF($AE835="Yes",1,0))</f>
        <v/>
      </c>
      <c r="AS835">
        <f>IF($AO835=1,IFERROR(IF(VALUE($E835)&lt;100000000,VALUE($E835),1000000000),IFERROR(IF(VALUE(MID($E835,2,20))&lt;100000000,VALUE(MID($E835,2,20)),1000000000),1000000000))+ROW()/100000,"")</f>
        <v/>
      </c>
    </row>
    <row r="836">
      <c r="D836">
        <f>IF($E836="","",IFERROR(IF(INDEX('Per Invoice'!$A$2:$A$301,MATCH($E836,'Per Invoice'!$B$2:$B$301,0))=0,"",INDEX('Per Invoice'!$A$2:$A$301,MATCH($E836,'Per Invoice'!$B$2:$B$301,0))),""))</f>
        <v/>
      </c>
      <c r="H836" s="11" t="n"/>
      <c r="R836" s="7">
        <f>IF($E836="","",Q836*Z836/100)</f>
        <v/>
      </c>
      <c r="S836" s="7" t="n"/>
      <c r="Y836" s="7" t="n"/>
      <c r="Z836" s="7" t="n"/>
      <c r="AA836" s="7">
        <f>IF($E836="","",Z836*AF836/100)</f>
        <v/>
      </c>
      <c r="AB836" s="7">
        <f>IF($E836="","",Z836-AA836)</f>
        <v/>
      </c>
      <c r="AC836" s="7">
        <f>IF($E836="","",AB836-R836)</f>
        <v/>
      </c>
      <c r="AF836">
        <f>IF($E836="","",IF($AR836=1,0,IF($AQ836=1,Settings!$C$6,Settings!$C$7))*100)</f>
        <v/>
      </c>
      <c r="AJ836" s="7" t="n"/>
      <c r="AM836" s="11" t="n"/>
      <c r="AO836">
        <f>IF($E836="","",IF(COUNTIF($E$2:$E836,$E836)=1,1,0))</f>
        <v/>
      </c>
      <c r="AP836">
        <f>IF($AO836=1,SUMPRODUCT(--($AS$2:$AS$1001&lt;$AS836))+1,"")</f>
        <v/>
      </c>
      <c r="AQ836">
        <f>IF($E836="","",IF(OR($V836=TRUE(),$V836="TRUE"),1,0))</f>
        <v/>
      </c>
      <c r="AR836">
        <f>IF($E836="","",IF($AE836="Yes",1,0))</f>
        <v/>
      </c>
      <c r="AS836">
        <f>IF($AO836=1,IFERROR(IF(VALUE($E836)&lt;100000000,VALUE($E836),1000000000),IFERROR(IF(VALUE(MID($E836,2,20))&lt;100000000,VALUE(MID($E836,2,20)),1000000000),1000000000))+ROW()/100000,"")</f>
        <v/>
      </c>
    </row>
    <row r="837">
      <c r="D837">
        <f>IF($E837="","",IFERROR(IF(INDEX('Per Invoice'!$A$2:$A$301,MATCH($E837,'Per Invoice'!$B$2:$B$301,0))=0,"",INDEX('Per Invoice'!$A$2:$A$301,MATCH($E837,'Per Invoice'!$B$2:$B$301,0))),""))</f>
        <v/>
      </c>
      <c r="H837" s="11" t="n"/>
      <c r="R837" s="7">
        <f>IF($E837="","",Q837*Z837/100)</f>
        <v/>
      </c>
      <c r="S837" s="7" t="n"/>
      <c r="Y837" s="7" t="n"/>
      <c r="Z837" s="7" t="n"/>
      <c r="AA837" s="7">
        <f>IF($E837="","",Z837*AF837/100)</f>
        <v/>
      </c>
      <c r="AB837" s="7">
        <f>IF($E837="","",Z837-AA837)</f>
        <v/>
      </c>
      <c r="AC837" s="7">
        <f>IF($E837="","",AB837-R837)</f>
        <v/>
      </c>
      <c r="AF837">
        <f>IF($E837="","",IF($AR837=1,0,IF($AQ837=1,Settings!$C$6,Settings!$C$7))*100)</f>
        <v/>
      </c>
      <c r="AJ837" s="7" t="n"/>
      <c r="AM837" s="11" t="n"/>
      <c r="AO837">
        <f>IF($E837="","",IF(COUNTIF($E$2:$E837,$E837)=1,1,0))</f>
        <v/>
      </c>
      <c r="AP837">
        <f>IF($AO837=1,SUMPRODUCT(--($AS$2:$AS$1001&lt;$AS837))+1,"")</f>
        <v/>
      </c>
      <c r="AQ837">
        <f>IF($E837="","",IF(OR($V837=TRUE(),$V837="TRUE"),1,0))</f>
        <v/>
      </c>
      <c r="AR837">
        <f>IF($E837="","",IF($AE837="Yes",1,0))</f>
        <v/>
      </c>
      <c r="AS837">
        <f>IF($AO837=1,IFERROR(IF(VALUE($E837)&lt;100000000,VALUE($E837),1000000000),IFERROR(IF(VALUE(MID($E837,2,20))&lt;100000000,VALUE(MID($E837,2,20)),1000000000),1000000000))+ROW()/100000,"")</f>
        <v/>
      </c>
    </row>
    <row r="838">
      <c r="D838">
        <f>IF($E838="","",IFERROR(IF(INDEX('Per Invoice'!$A$2:$A$301,MATCH($E838,'Per Invoice'!$B$2:$B$301,0))=0,"",INDEX('Per Invoice'!$A$2:$A$301,MATCH($E838,'Per Invoice'!$B$2:$B$301,0))),""))</f>
        <v/>
      </c>
      <c r="H838" s="11" t="n"/>
      <c r="R838" s="7">
        <f>IF($E838="","",Q838*Z838/100)</f>
        <v/>
      </c>
      <c r="S838" s="7" t="n"/>
      <c r="Y838" s="7" t="n"/>
      <c r="Z838" s="7" t="n"/>
      <c r="AA838" s="7">
        <f>IF($E838="","",Z838*AF838/100)</f>
        <v/>
      </c>
      <c r="AB838" s="7">
        <f>IF($E838="","",Z838-AA838)</f>
        <v/>
      </c>
      <c r="AC838" s="7">
        <f>IF($E838="","",AB838-R838)</f>
        <v/>
      </c>
      <c r="AF838">
        <f>IF($E838="","",IF($AR838=1,0,IF($AQ838=1,Settings!$C$6,Settings!$C$7))*100)</f>
        <v/>
      </c>
      <c r="AJ838" s="7" t="n"/>
      <c r="AM838" s="11" t="n"/>
      <c r="AO838">
        <f>IF($E838="","",IF(COUNTIF($E$2:$E838,$E838)=1,1,0))</f>
        <v/>
      </c>
      <c r="AP838">
        <f>IF($AO838=1,SUMPRODUCT(--($AS$2:$AS$1001&lt;$AS838))+1,"")</f>
        <v/>
      </c>
      <c r="AQ838">
        <f>IF($E838="","",IF(OR($V838=TRUE(),$V838="TRUE"),1,0))</f>
        <v/>
      </c>
      <c r="AR838">
        <f>IF($E838="","",IF($AE838="Yes",1,0))</f>
        <v/>
      </c>
      <c r="AS838">
        <f>IF($AO838=1,IFERROR(IF(VALUE($E838)&lt;100000000,VALUE($E838),1000000000),IFERROR(IF(VALUE(MID($E838,2,20))&lt;100000000,VALUE(MID($E838,2,20)),1000000000),1000000000))+ROW()/100000,"")</f>
        <v/>
      </c>
    </row>
    <row r="839">
      <c r="D839">
        <f>IF($E839="","",IFERROR(IF(INDEX('Per Invoice'!$A$2:$A$301,MATCH($E839,'Per Invoice'!$B$2:$B$301,0))=0,"",INDEX('Per Invoice'!$A$2:$A$301,MATCH($E839,'Per Invoice'!$B$2:$B$301,0))),""))</f>
        <v/>
      </c>
      <c r="H839" s="11" t="n"/>
      <c r="R839" s="7">
        <f>IF($E839="","",Q839*Z839/100)</f>
        <v/>
      </c>
      <c r="S839" s="7" t="n"/>
      <c r="Y839" s="7" t="n"/>
      <c r="Z839" s="7" t="n"/>
      <c r="AA839" s="7">
        <f>IF($E839="","",Z839*AF839/100)</f>
        <v/>
      </c>
      <c r="AB839" s="7">
        <f>IF($E839="","",Z839-AA839)</f>
        <v/>
      </c>
      <c r="AC839" s="7">
        <f>IF($E839="","",AB839-R839)</f>
        <v/>
      </c>
      <c r="AF839">
        <f>IF($E839="","",IF($AR839=1,0,IF($AQ839=1,Settings!$C$6,Settings!$C$7))*100)</f>
        <v/>
      </c>
      <c r="AJ839" s="7" t="n"/>
      <c r="AM839" s="11" t="n"/>
      <c r="AO839">
        <f>IF($E839="","",IF(COUNTIF($E$2:$E839,$E839)=1,1,0))</f>
        <v/>
      </c>
      <c r="AP839">
        <f>IF($AO839=1,SUMPRODUCT(--($AS$2:$AS$1001&lt;$AS839))+1,"")</f>
        <v/>
      </c>
      <c r="AQ839">
        <f>IF($E839="","",IF(OR($V839=TRUE(),$V839="TRUE"),1,0))</f>
        <v/>
      </c>
      <c r="AR839">
        <f>IF($E839="","",IF($AE839="Yes",1,0))</f>
        <v/>
      </c>
      <c r="AS839">
        <f>IF($AO839=1,IFERROR(IF(VALUE($E839)&lt;100000000,VALUE($E839),1000000000),IFERROR(IF(VALUE(MID($E839,2,20))&lt;100000000,VALUE(MID($E839,2,20)),1000000000),1000000000))+ROW()/100000,"")</f>
        <v/>
      </c>
    </row>
    <row r="840">
      <c r="D840">
        <f>IF($E840="","",IFERROR(IF(INDEX('Per Invoice'!$A$2:$A$301,MATCH($E840,'Per Invoice'!$B$2:$B$301,0))=0,"",INDEX('Per Invoice'!$A$2:$A$301,MATCH($E840,'Per Invoice'!$B$2:$B$301,0))),""))</f>
        <v/>
      </c>
      <c r="H840" s="11" t="n"/>
      <c r="R840" s="7">
        <f>IF($E840="","",Q840*Z840/100)</f>
        <v/>
      </c>
      <c r="S840" s="7" t="n"/>
      <c r="Y840" s="7" t="n"/>
      <c r="Z840" s="7" t="n"/>
      <c r="AA840" s="7">
        <f>IF($E840="","",Z840*AF840/100)</f>
        <v/>
      </c>
      <c r="AB840" s="7">
        <f>IF($E840="","",Z840-AA840)</f>
        <v/>
      </c>
      <c r="AC840" s="7">
        <f>IF($E840="","",AB840-R840)</f>
        <v/>
      </c>
      <c r="AF840">
        <f>IF($E840="","",IF($AR840=1,0,IF($AQ840=1,Settings!$C$6,Settings!$C$7))*100)</f>
        <v/>
      </c>
      <c r="AJ840" s="7" t="n"/>
      <c r="AM840" s="11" t="n"/>
      <c r="AO840">
        <f>IF($E840="","",IF(COUNTIF($E$2:$E840,$E840)=1,1,0))</f>
        <v/>
      </c>
      <c r="AP840">
        <f>IF($AO840=1,SUMPRODUCT(--($AS$2:$AS$1001&lt;$AS840))+1,"")</f>
        <v/>
      </c>
      <c r="AQ840">
        <f>IF($E840="","",IF(OR($V840=TRUE(),$V840="TRUE"),1,0))</f>
        <v/>
      </c>
      <c r="AR840">
        <f>IF($E840="","",IF($AE840="Yes",1,0))</f>
        <v/>
      </c>
      <c r="AS840">
        <f>IF($AO840=1,IFERROR(IF(VALUE($E840)&lt;100000000,VALUE($E840),1000000000),IFERROR(IF(VALUE(MID($E840,2,20))&lt;100000000,VALUE(MID($E840,2,20)),1000000000),1000000000))+ROW()/100000,"")</f>
        <v/>
      </c>
    </row>
    <row r="841">
      <c r="D841">
        <f>IF($E841="","",IFERROR(IF(INDEX('Per Invoice'!$A$2:$A$301,MATCH($E841,'Per Invoice'!$B$2:$B$301,0))=0,"",INDEX('Per Invoice'!$A$2:$A$301,MATCH($E841,'Per Invoice'!$B$2:$B$301,0))),""))</f>
        <v/>
      </c>
      <c r="H841" s="11" t="n"/>
      <c r="R841" s="7">
        <f>IF($E841="","",Q841*Z841/100)</f>
        <v/>
      </c>
      <c r="S841" s="7" t="n"/>
      <c r="Y841" s="7" t="n"/>
      <c r="Z841" s="7" t="n"/>
      <c r="AA841" s="7">
        <f>IF($E841="","",Z841*AF841/100)</f>
        <v/>
      </c>
      <c r="AB841" s="7">
        <f>IF($E841="","",Z841-AA841)</f>
        <v/>
      </c>
      <c r="AC841" s="7">
        <f>IF($E841="","",AB841-R841)</f>
        <v/>
      </c>
      <c r="AF841">
        <f>IF($E841="","",IF($AR841=1,0,IF($AQ841=1,Settings!$C$6,Settings!$C$7))*100)</f>
        <v/>
      </c>
      <c r="AJ841" s="7" t="n"/>
      <c r="AM841" s="11" t="n"/>
      <c r="AO841">
        <f>IF($E841="","",IF(COUNTIF($E$2:$E841,$E841)=1,1,0))</f>
        <v/>
      </c>
      <c r="AP841">
        <f>IF($AO841=1,SUMPRODUCT(--($AS$2:$AS$1001&lt;$AS841))+1,"")</f>
        <v/>
      </c>
      <c r="AQ841">
        <f>IF($E841="","",IF(OR($V841=TRUE(),$V841="TRUE"),1,0))</f>
        <v/>
      </c>
      <c r="AR841">
        <f>IF($E841="","",IF($AE841="Yes",1,0))</f>
        <v/>
      </c>
      <c r="AS841">
        <f>IF($AO841=1,IFERROR(IF(VALUE($E841)&lt;100000000,VALUE($E841),1000000000),IFERROR(IF(VALUE(MID($E841,2,20))&lt;100000000,VALUE(MID($E841,2,20)),1000000000),1000000000))+ROW()/100000,"")</f>
        <v/>
      </c>
    </row>
    <row r="842">
      <c r="D842">
        <f>IF($E842="","",IFERROR(IF(INDEX('Per Invoice'!$A$2:$A$301,MATCH($E842,'Per Invoice'!$B$2:$B$301,0))=0,"",INDEX('Per Invoice'!$A$2:$A$301,MATCH($E842,'Per Invoice'!$B$2:$B$301,0))),""))</f>
        <v/>
      </c>
      <c r="H842" s="11" t="n"/>
      <c r="R842" s="7">
        <f>IF($E842="","",Q842*Z842/100)</f>
        <v/>
      </c>
      <c r="S842" s="7" t="n"/>
      <c r="Y842" s="7" t="n"/>
      <c r="Z842" s="7" t="n"/>
      <c r="AA842" s="7">
        <f>IF($E842="","",Z842*AF842/100)</f>
        <v/>
      </c>
      <c r="AB842" s="7">
        <f>IF($E842="","",Z842-AA842)</f>
        <v/>
      </c>
      <c r="AC842" s="7">
        <f>IF($E842="","",AB842-R842)</f>
        <v/>
      </c>
      <c r="AF842">
        <f>IF($E842="","",IF($AR842=1,0,IF($AQ842=1,Settings!$C$6,Settings!$C$7))*100)</f>
        <v/>
      </c>
      <c r="AJ842" s="7" t="n"/>
      <c r="AM842" s="11" t="n"/>
      <c r="AO842">
        <f>IF($E842="","",IF(COUNTIF($E$2:$E842,$E842)=1,1,0))</f>
        <v/>
      </c>
      <c r="AP842">
        <f>IF($AO842=1,SUMPRODUCT(--($AS$2:$AS$1001&lt;$AS842))+1,"")</f>
        <v/>
      </c>
      <c r="AQ842">
        <f>IF($E842="","",IF(OR($V842=TRUE(),$V842="TRUE"),1,0))</f>
        <v/>
      </c>
      <c r="AR842">
        <f>IF($E842="","",IF($AE842="Yes",1,0))</f>
        <v/>
      </c>
      <c r="AS842">
        <f>IF($AO842=1,IFERROR(IF(VALUE($E842)&lt;100000000,VALUE($E842),1000000000),IFERROR(IF(VALUE(MID($E842,2,20))&lt;100000000,VALUE(MID($E842,2,20)),1000000000),1000000000))+ROW()/100000,"")</f>
        <v/>
      </c>
    </row>
    <row r="843">
      <c r="D843">
        <f>IF($E843="","",IFERROR(IF(INDEX('Per Invoice'!$A$2:$A$301,MATCH($E843,'Per Invoice'!$B$2:$B$301,0))=0,"",INDEX('Per Invoice'!$A$2:$A$301,MATCH($E843,'Per Invoice'!$B$2:$B$301,0))),""))</f>
        <v/>
      </c>
      <c r="H843" s="11" t="n"/>
      <c r="R843" s="7">
        <f>IF($E843="","",Q843*Z843/100)</f>
        <v/>
      </c>
      <c r="S843" s="7" t="n"/>
      <c r="Y843" s="7" t="n"/>
      <c r="Z843" s="7" t="n"/>
      <c r="AA843" s="7">
        <f>IF($E843="","",Z843*AF843/100)</f>
        <v/>
      </c>
      <c r="AB843" s="7">
        <f>IF($E843="","",Z843-AA843)</f>
        <v/>
      </c>
      <c r="AC843" s="7">
        <f>IF($E843="","",AB843-R843)</f>
        <v/>
      </c>
      <c r="AF843">
        <f>IF($E843="","",IF($AR843=1,0,IF($AQ843=1,Settings!$C$6,Settings!$C$7))*100)</f>
        <v/>
      </c>
      <c r="AJ843" s="7" t="n"/>
      <c r="AM843" s="11" t="n"/>
      <c r="AO843">
        <f>IF($E843="","",IF(COUNTIF($E$2:$E843,$E843)=1,1,0))</f>
        <v/>
      </c>
      <c r="AP843">
        <f>IF($AO843=1,SUMPRODUCT(--($AS$2:$AS$1001&lt;$AS843))+1,"")</f>
        <v/>
      </c>
      <c r="AQ843">
        <f>IF($E843="","",IF(OR($V843=TRUE(),$V843="TRUE"),1,0))</f>
        <v/>
      </c>
      <c r="AR843">
        <f>IF($E843="","",IF($AE843="Yes",1,0))</f>
        <v/>
      </c>
      <c r="AS843">
        <f>IF($AO843=1,IFERROR(IF(VALUE($E843)&lt;100000000,VALUE($E843),1000000000),IFERROR(IF(VALUE(MID($E843,2,20))&lt;100000000,VALUE(MID($E843,2,20)),1000000000),1000000000))+ROW()/100000,"")</f>
        <v/>
      </c>
    </row>
    <row r="844">
      <c r="D844">
        <f>IF($E844="","",IFERROR(IF(INDEX('Per Invoice'!$A$2:$A$301,MATCH($E844,'Per Invoice'!$B$2:$B$301,0))=0,"",INDEX('Per Invoice'!$A$2:$A$301,MATCH($E844,'Per Invoice'!$B$2:$B$301,0))),""))</f>
        <v/>
      </c>
      <c r="H844" s="11" t="n"/>
      <c r="R844" s="7">
        <f>IF($E844="","",Q844*Z844/100)</f>
        <v/>
      </c>
      <c r="S844" s="7" t="n"/>
      <c r="Y844" s="7" t="n"/>
      <c r="Z844" s="7" t="n"/>
      <c r="AA844" s="7">
        <f>IF($E844="","",Z844*AF844/100)</f>
        <v/>
      </c>
      <c r="AB844" s="7">
        <f>IF($E844="","",Z844-AA844)</f>
        <v/>
      </c>
      <c r="AC844" s="7">
        <f>IF($E844="","",AB844-R844)</f>
        <v/>
      </c>
      <c r="AF844">
        <f>IF($E844="","",IF($AR844=1,0,IF($AQ844=1,Settings!$C$6,Settings!$C$7))*100)</f>
        <v/>
      </c>
      <c r="AJ844" s="7" t="n"/>
      <c r="AM844" s="11" t="n"/>
      <c r="AO844">
        <f>IF($E844="","",IF(COUNTIF($E$2:$E844,$E844)=1,1,0))</f>
        <v/>
      </c>
      <c r="AP844">
        <f>IF($AO844=1,SUMPRODUCT(--($AS$2:$AS$1001&lt;$AS844))+1,"")</f>
        <v/>
      </c>
      <c r="AQ844">
        <f>IF($E844="","",IF(OR($V844=TRUE(),$V844="TRUE"),1,0))</f>
        <v/>
      </c>
      <c r="AR844">
        <f>IF($E844="","",IF($AE844="Yes",1,0))</f>
        <v/>
      </c>
      <c r="AS844">
        <f>IF($AO844=1,IFERROR(IF(VALUE($E844)&lt;100000000,VALUE($E844),1000000000),IFERROR(IF(VALUE(MID($E844,2,20))&lt;100000000,VALUE(MID($E844,2,20)),1000000000),1000000000))+ROW()/100000,"")</f>
        <v/>
      </c>
    </row>
    <row r="845">
      <c r="D845">
        <f>IF($E845="","",IFERROR(IF(INDEX('Per Invoice'!$A$2:$A$301,MATCH($E845,'Per Invoice'!$B$2:$B$301,0))=0,"",INDEX('Per Invoice'!$A$2:$A$301,MATCH($E845,'Per Invoice'!$B$2:$B$301,0))),""))</f>
        <v/>
      </c>
      <c r="H845" s="11" t="n"/>
      <c r="R845" s="7">
        <f>IF($E845="","",Q845*Z845/100)</f>
        <v/>
      </c>
      <c r="S845" s="7" t="n"/>
      <c r="Y845" s="7" t="n"/>
      <c r="Z845" s="7" t="n"/>
      <c r="AA845" s="7">
        <f>IF($E845="","",Z845*AF845/100)</f>
        <v/>
      </c>
      <c r="AB845" s="7">
        <f>IF($E845="","",Z845-AA845)</f>
        <v/>
      </c>
      <c r="AC845" s="7">
        <f>IF($E845="","",AB845-R845)</f>
        <v/>
      </c>
      <c r="AF845">
        <f>IF($E845="","",IF($AR845=1,0,IF($AQ845=1,Settings!$C$6,Settings!$C$7))*100)</f>
        <v/>
      </c>
      <c r="AJ845" s="7" t="n"/>
      <c r="AM845" s="11" t="n"/>
      <c r="AO845">
        <f>IF($E845="","",IF(COUNTIF($E$2:$E845,$E845)=1,1,0))</f>
        <v/>
      </c>
      <c r="AP845">
        <f>IF($AO845=1,SUMPRODUCT(--($AS$2:$AS$1001&lt;$AS845))+1,"")</f>
        <v/>
      </c>
      <c r="AQ845">
        <f>IF($E845="","",IF(OR($V845=TRUE(),$V845="TRUE"),1,0))</f>
        <v/>
      </c>
      <c r="AR845">
        <f>IF($E845="","",IF($AE845="Yes",1,0))</f>
        <v/>
      </c>
      <c r="AS845">
        <f>IF($AO845=1,IFERROR(IF(VALUE($E845)&lt;100000000,VALUE($E845),1000000000),IFERROR(IF(VALUE(MID($E845,2,20))&lt;100000000,VALUE(MID($E845,2,20)),1000000000),1000000000))+ROW()/100000,"")</f>
        <v/>
      </c>
    </row>
    <row r="846">
      <c r="D846">
        <f>IF($E846="","",IFERROR(IF(INDEX('Per Invoice'!$A$2:$A$301,MATCH($E846,'Per Invoice'!$B$2:$B$301,0))=0,"",INDEX('Per Invoice'!$A$2:$A$301,MATCH($E846,'Per Invoice'!$B$2:$B$301,0))),""))</f>
        <v/>
      </c>
      <c r="H846" s="11" t="n"/>
      <c r="R846" s="7">
        <f>IF($E846="","",Q846*Z846/100)</f>
        <v/>
      </c>
      <c r="S846" s="7" t="n"/>
      <c r="Y846" s="7" t="n"/>
      <c r="Z846" s="7" t="n"/>
      <c r="AA846" s="7">
        <f>IF($E846="","",Z846*AF846/100)</f>
        <v/>
      </c>
      <c r="AB846" s="7">
        <f>IF($E846="","",Z846-AA846)</f>
        <v/>
      </c>
      <c r="AC846" s="7">
        <f>IF($E846="","",AB846-R846)</f>
        <v/>
      </c>
      <c r="AF846">
        <f>IF($E846="","",IF($AR846=1,0,IF($AQ846=1,Settings!$C$6,Settings!$C$7))*100)</f>
        <v/>
      </c>
      <c r="AJ846" s="7" t="n"/>
      <c r="AM846" s="11" t="n"/>
      <c r="AO846">
        <f>IF($E846="","",IF(COUNTIF($E$2:$E846,$E846)=1,1,0))</f>
        <v/>
      </c>
      <c r="AP846">
        <f>IF($AO846=1,SUMPRODUCT(--($AS$2:$AS$1001&lt;$AS846))+1,"")</f>
        <v/>
      </c>
      <c r="AQ846">
        <f>IF($E846="","",IF(OR($V846=TRUE(),$V846="TRUE"),1,0))</f>
        <v/>
      </c>
      <c r="AR846">
        <f>IF($E846="","",IF($AE846="Yes",1,0))</f>
        <v/>
      </c>
      <c r="AS846">
        <f>IF($AO846=1,IFERROR(IF(VALUE($E846)&lt;100000000,VALUE($E846),1000000000),IFERROR(IF(VALUE(MID($E846,2,20))&lt;100000000,VALUE(MID($E846,2,20)),1000000000),1000000000))+ROW()/100000,"")</f>
        <v/>
      </c>
    </row>
    <row r="847">
      <c r="D847">
        <f>IF($E847="","",IFERROR(IF(INDEX('Per Invoice'!$A$2:$A$301,MATCH($E847,'Per Invoice'!$B$2:$B$301,0))=0,"",INDEX('Per Invoice'!$A$2:$A$301,MATCH($E847,'Per Invoice'!$B$2:$B$301,0))),""))</f>
        <v/>
      </c>
      <c r="H847" s="11" t="n"/>
      <c r="R847" s="7">
        <f>IF($E847="","",Q847*Z847/100)</f>
        <v/>
      </c>
      <c r="S847" s="7" t="n"/>
      <c r="Y847" s="7" t="n"/>
      <c r="Z847" s="7" t="n"/>
      <c r="AA847" s="7">
        <f>IF($E847="","",Z847*AF847/100)</f>
        <v/>
      </c>
      <c r="AB847" s="7">
        <f>IF($E847="","",Z847-AA847)</f>
        <v/>
      </c>
      <c r="AC847" s="7">
        <f>IF($E847="","",AB847-R847)</f>
        <v/>
      </c>
      <c r="AF847">
        <f>IF($E847="","",IF($AR847=1,0,IF($AQ847=1,Settings!$C$6,Settings!$C$7))*100)</f>
        <v/>
      </c>
      <c r="AJ847" s="7" t="n"/>
      <c r="AM847" s="11" t="n"/>
      <c r="AO847">
        <f>IF($E847="","",IF(COUNTIF($E$2:$E847,$E847)=1,1,0))</f>
        <v/>
      </c>
      <c r="AP847">
        <f>IF($AO847=1,SUMPRODUCT(--($AS$2:$AS$1001&lt;$AS847))+1,"")</f>
        <v/>
      </c>
      <c r="AQ847">
        <f>IF($E847="","",IF(OR($V847=TRUE(),$V847="TRUE"),1,0))</f>
        <v/>
      </c>
      <c r="AR847">
        <f>IF($E847="","",IF($AE847="Yes",1,0))</f>
        <v/>
      </c>
      <c r="AS847">
        <f>IF($AO847=1,IFERROR(IF(VALUE($E847)&lt;100000000,VALUE($E847),1000000000),IFERROR(IF(VALUE(MID($E847,2,20))&lt;100000000,VALUE(MID($E847,2,20)),1000000000),1000000000))+ROW()/100000,"")</f>
        <v/>
      </c>
    </row>
    <row r="848">
      <c r="D848">
        <f>IF($E848="","",IFERROR(IF(INDEX('Per Invoice'!$A$2:$A$301,MATCH($E848,'Per Invoice'!$B$2:$B$301,0))=0,"",INDEX('Per Invoice'!$A$2:$A$301,MATCH($E848,'Per Invoice'!$B$2:$B$301,0))),""))</f>
        <v/>
      </c>
      <c r="H848" s="11" t="n"/>
      <c r="R848" s="7">
        <f>IF($E848="","",Q848*Z848/100)</f>
        <v/>
      </c>
      <c r="S848" s="7" t="n"/>
      <c r="Y848" s="7" t="n"/>
      <c r="Z848" s="7" t="n"/>
      <c r="AA848" s="7">
        <f>IF($E848="","",Z848*AF848/100)</f>
        <v/>
      </c>
      <c r="AB848" s="7">
        <f>IF($E848="","",Z848-AA848)</f>
        <v/>
      </c>
      <c r="AC848" s="7">
        <f>IF($E848="","",AB848-R848)</f>
        <v/>
      </c>
      <c r="AF848">
        <f>IF($E848="","",IF($AR848=1,0,IF($AQ848=1,Settings!$C$6,Settings!$C$7))*100)</f>
        <v/>
      </c>
      <c r="AJ848" s="7" t="n"/>
      <c r="AM848" s="11" t="n"/>
      <c r="AO848">
        <f>IF($E848="","",IF(COUNTIF($E$2:$E848,$E848)=1,1,0))</f>
        <v/>
      </c>
      <c r="AP848">
        <f>IF($AO848=1,SUMPRODUCT(--($AS$2:$AS$1001&lt;$AS848))+1,"")</f>
        <v/>
      </c>
      <c r="AQ848">
        <f>IF($E848="","",IF(OR($V848=TRUE(),$V848="TRUE"),1,0))</f>
        <v/>
      </c>
      <c r="AR848">
        <f>IF($E848="","",IF($AE848="Yes",1,0))</f>
        <v/>
      </c>
      <c r="AS848">
        <f>IF($AO848=1,IFERROR(IF(VALUE($E848)&lt;100000000,VALUE($E848),1000000000),IFERROR(IF(VALUE(MID($E848,2,20))&lt;100000000,VALUE(MID($E848,2,20)),1000000000),1000000000))+ROW()/100000,"")</f>
        <v/>
      </c>
    </row>
    <row r="849">
      <c r="D849">
        <f>IF($E849="","",IFERROR(IF(INDEX('Per Invoice'!$A$2:$A$301,MATCH($E849,'Per Invoice'!$B$2:$B$301,0))=0,"",INDEX('Per Invoice'!$A$2:$A$301,MATCH($E849,'Per Invoice'!$B$2:$B$301,0))),""))</f>
        <v/>
      </c>
      <c r="H849" s="11" t="n"/>
      <c r="R849" s="7">
        <f>IF($E849="","",Q849*Z849/100)</f>
        <v/>
      </c>
      <c r="S849" s="7" t="n"/>
      <c r="Y849" s="7" t="n"/>
      <c r="Z849" s="7" t="n"/>
      <c r="AA849" s="7">
        <f>IF($E849="","",Z849*AF849/100)</f>
        <v/>
      </c>
      <c r="AB849" s="7">
        <f>IF($E849="","",Z849-AA849)</f>
        <v/>
      </c>
      <c r="AC849" s="7">
        <f>IF($E849="","",AB849-R849)</f>
        <v/>
      </c>
      <c r="AF849">
        <f>IF($E849="","",IF($AR849=1,0,IF($AQ849=1,Settings!$C$6,Settings!$C$7))*100)</f>
        <v/>
      </c>
      <c r="AJ849" s="7" t="n"/>
      <c r="AM849" s="11" t="n"/>
      <c r="AO849">
        <f>IF($E849="","",IF(COUNTIF($E$2:$E849,$E849)=1,1,0))</f>
        <v/>
      </c>
      <c r="AP849">
        <f>IF($AO849=1,SUMPRODUCT(--($AS$2:$AS$1001&lt;$AS849))+1,"")</f>
        <v/>
      </c>
      <c r="AQ849">
        <f>IF($E849="","",IF(OR($V849=TRUE(),$V849="TRUE"),1,0))</f>
        <v/>
      </c>
      <c r="AR849">
        <f>IF($E849="","",IF($AE849="Yes",1,0))</f>
        <v/>
      </c>
      <c r="AS849">
        <f>IF($AO849=1,IFERROR(IF(VALUE($E849)&lt;100000000,VALUE($E849),1000000000),IFERROR(IF(VALUE(MID($E849,2,20))&lt;100000000,VALUE(MID($E849,2,20)),1000000000),1000000000))+ROW()/100000,"")</f>
        <v/>
      </c>
    </row>
    <row r="850">
      <c r="D850">
        <f>IF($E850="","",IFERROR(IF(INDEX('Per Invoice'!$A$2:$A$301,MATCH($E850,'Per Invoice'!$B$2:$B$301,0))=0,"",INDEX('Per Invoice'!$A$2:$A$301,MATCH($E850,'Per Invoice'!$B$2:$B$301,0))),""))</f>
        <v/>
      </c>
      <c r="H850" s="11" t="n"/>
      <c r="R850" s="7">
        <f>IF($E850="","",Q850*Z850/100)</f>
        <v/>
      </c>
      <c r="S850" s="7" t="n"/>
      <c r="Y850" s="7" t="n"/>
      <c r="Z850" s="7" t="n"/>
      <c r="AA850" s="7">
        <f>IF($E850="","",Z850*AF850/100)</f>
        <v/>
      </c>
      <c r="AB850" s="7">
        <f>IF($E850="","",Z850-AA850)</f>
        <v/>
      </c>
      <c r="AC850" s="7">
        <f>IF($E850="","",AB850-R850)</f>
        <v/>
      </c>
      <c r="AF850">
        <f>IF($E850="","",IF($AR850=1,0,IF($AQ850=1,Settings!$C$6,Settings!$C$7))*100)</f>
        <v/>
      </c>
      <c r="AJ850" s="7" t="n"/>
      <c r="AM850" s="11" t="n"/>
      <c r="AO850">
        <f>IF($E850="","",IF(COUNTIF($E$2:$E850,$E850)=1,1,0))</f>
        <v/>
      </c>
      <c r="AP850">
        <f>IF($AO850=1,SUMPRODUCT(--($AS$2:$AS$1001&lt;$AS850))+1,"")</f>
        <v/>
      </c>
      <c r="AQ850">
        <f>IF($E850="","",IF(OR($V850=TRUE(),$V850="TRUE"),1,0))</f>
        <v/>
      </c>
      <c r="AR850">
        <f>IF($E850="","",IF($AE850="Yes",1,0))</f>
        <v/>
      </c>
      <c r="AS850">
        <f>IF($AO850=1,IFERROR(IF(VALUE($E850)&lt;100000000,VALUE($E850),1000000000),IFERROR(IF(VALUE(MID($E850,2,20))&lt;100000000,VALUE(MID($E850,2,20)),1000000000),1000000000))+ROW()/100000,"")</f>
        <v/>
      </c>
    </row>
    <row r="851">
      <c r="D851">
        <f>IF($E851="","",IFERROR(IF(INDEX('Per Invoice'!$A$2:$A$301,MATCH($E851,'Per Invoice'!$B$2:$B$301,0))=0,"",INDEX('Per Invoice'!$A$2:$A$301,MATCH($E851,'Per Invoice'!$B$2:$B$301,0))),""))</f>
        <v/>
      </c>
      <c r="H851" s="11" t="n"/>
      <c r="R851" s="7">
        <f>IF($E851="","",Q851*Z851/100)</f>
        <v/>
      </c>
      <c r="S851" s="7" t="n"/>
      <c r="Y851" s="7" t="n"/>
      <c r="Z851" s="7" t="n"/>
      <c r="AA851" s="7">
        <f>IF($E851="","",Z851*AF851/100)</f>
        <v/>
      </c>
      <c r="AB851" s="7">
        <f>IF($E851="","",Z851-AA851)</f>
        <v/>
      </c>
      <c r="AC851" s="7">
        <f>IF($E851="","",AB851-R851)</f>
        <v/>
      </c>
      <c r="AF851">
        <f>IF($E851="","",IF($AR851=1,0,IF($AQ851=1,Settings!$C$6,Settings!$C$7))*100)</f>
        <v/>
      </c>
      <c r="AJ851" s="7" t="n"/>
      <c r="AM851" s="11" t="n"/>
      <c r="AO851">
        <f>IF($E851="","",IF(COUNTIF($E$2:$E851,$E851)=1,1,0))</f>
        <v/>
      </c>
      <c r="AP851">
        <f>IF($AO851=1,SUMPRODUCT(--($AS$2:$AS$1001&lt;$AS851))+1,"")</f>
        <v/>
      </c>
      <c r="AQ851">
        <f>IF($E851="","",IF(OR($V851=TRUE(),$V851="TRUE"),1,0))</f>
        <v/>
      </c>
      <c r="AR851">
        <f>IF($E851="","",IF($AE851="Yes",1,0))</f>
        <v/>
      </c>
      <c r="AS851">
        <f>IF($AO851=1,IFERROR(IF(VALUE($E851)&lt;100000000,VALUE($E851),1000000000),IFERROR(IF(VALUE(MID($E851,2,20))&lt;100000000,VALUE(MID($E851,2,20)),1000000000),1000000000))+ROW()/100000,"")</f>
        <v/>
      </c>
    </row>
    <row r="852">
      <c r="D852">
        <f>IF($E852="","",IFERROR(IF(INDEX('Per Invoice'!$A$2:$A$301,MATCH($E852,'Per Invoice'!$B$2:$B$301,0))=0,"",INDEX('Per Invoice'!$A$2:$A$301,MATCH($E852,'Per Invoice'!$B$2:$B$301,0))),""))</f>
        <v/>
      </c>
      <c r="H852" s="11" t="n"/>
      <c r="R852" s="7">
        <f>IF($E852="","",Q852*Z852/100)</f>
        <v/>
      </c>
      <c r="S852" s="7" t="n"/>
      <c r="Y852" s="7" t="n"/>
      <c r="Z852" s="7" t="n"/>
      <c r="AA852" s="7">
        <f>IF($E852="","",Z852*AF852/100)</f>
        <v/>
      </c>
      <c r="AB852" s="7">
        <f>IF($E852="","",Z852-AA852)</f>
        <v/>
      </c>
      <c r="AC852" s="7">
        <f>IF($E852="","",AB852-R852)</f>
        <v/>
      </c>
      <c r="AF852">
        <f>IF($E852="","",IF($AR852=1,0,IF($AQ852=1,Settings!$C$6,Settings!$C$7))*100)</f>
        <v/>
      </c>
      <c r="AJ852" s="7" t="n"/>
      <c r="AM852" s="11" t="n"/>
      <c r="AO852">
        <f>IF($E852="","",IF(COUNTIF($E$2:$E852,$E852)=1,1,0))</f>
        <v/>
      </c>
      <c r="AP852">
        <f>IF($AO852=1,SUMPRODUCT(--($AS$2:$AS$1001&lt;$AS852))+1,"")</f>
        <v/>
      </c>
      <c r="AQ852">
        <f>IF($E852="","",IF(OR($V852=TRUE(),$V852="TRUE"),1,0))</f>
        <v/>
      </c>
      <c r="AR852">
        <f>IF($E852="","",IF($AE852="Yes",1,0))</f>
        <v/>
      </c>
      <c r="AS852">
        <f>IF($AO852=1,IFERROR(IF(VALUE($E852)&lt;100000000,VALUE($E852),1000000000),IFERROR(IF(VALUE(MID($E852,2,20))&lt;100000000,VALUE(MID($E852,2,20)),1000000000),1000000000))+ROW()/100000,"")</f>
        <v/>
      </c>
    </row>
    <row r="853">
      <c r="D853">
        <f>IF($E853="","",IFERROR(IF(INDEX('Per Invoice'!$A$2:$A$301,MATCH($E853,'Per Invoice'!$B$2:$B$301,0))=0,"",INDEX('Per Invoice'!$A$2:$A$301,MATCH($E853,'Per Invoice'!$B$2:$B$301,0))),""))</f>
        <v/>
      </c>
      <c r="H853" s="11" t="n"/>
      <c r="R853" s="7">
        <f>IF($E853="","",Q853*Z853/100)</f>
        <v/>
      </c>
      <c r="S853" s="7" t="n"/>
      <c r="Y853" s="7" t="n"/>
      <c r="Z853" s="7" t="n"/>
      <c r="AA853" s="7">
        <f>IF($E853="","",Z853*AF853/100)</f>
        <v/>
      </c>
      <c r="AB853" s="7">
        <f>IF($E853="","",Z853-AA853)</f>
        <v/>
      </c>
      <c r="AC853" s="7">
        <f>IF($E853="","",AB853-R853)</f>
        <v/>
      </c>
      <c r="AF853">
        <f>IF($E853="","",IF($AR853=1,0,IF($AQ853=1,Settings!$C$6,Settings!$C$7))*100)</f>
        <v/>
      </c>
      <c r="AJ853" s="7" t="n"/>
      <c r="AM853" s="11" t="n"/>
      <c r="AO853">
        <f>IF($E853="","",IF(COUNTIF($E$2:$E853,$E853)=1,1,0))</f>
        <v/>
      </c>
      <c r="AP853">
        <f>IF($AO853=1,SUMPRODUCT(--($AS$2:$AS$1001&lt;$AS853))+1,"")</f>
        <v/>
      </c>
      <c r="AQ853">
        <f>IF($E853="","",IF(OR($V853=TRUE(),$V853="TRUE"),1,0))</f>
        <v/>
      </c>
      <c r="AR853">
        <f>IF($E853="","",IF($AE853="Yes",1,0))</f>
        <v/>
      </c>
      <c r="AS853">
        <f>IF($AO853=1,IFERROR(IF(VALUE($E853)&lt;100000000,VALUE($E853),1000000000),IFERROR(IF(VALUE(MID($E853,2,20))&lt;100000000,VALUE(MID($E853,2,20)),1000000000),1000000000))+ROW()/100000,"")</f>
        <v/>
      </c>
    </row>
    <row r="854">
      <c r="D854">
        <f>IF($E854="","",IFERROR(IF(INDEX('Per Invoice'!$A$2:$A$301,MATCH($E854,'Per Invoice'!$B$2:$B$301,0))=0,"",INDEX('Per Invoice'!$A$2:$A$301,MATCH($E854,'Per Invoice'!$B$2:$B$301,0))),""))</f>
        <v/>
      </c>
      <c r="H854" s="11" t="n"/>
      <c r="R854" s="7">
        <f>IF($E854="","",Q854*Z854/100)</f>
        <v/>
      </c>
      <c r="S854" s="7" t="n"/>
      <c r="Y854" s="7" t="n"/>
      <c r="Z854" s="7" t="n"/>
      <c r="AA854" s="7">
        <f>IF($E854="","",Z854*AF854/100)</f>
        <v/>
      </c>
      <c r="AB854" s="7">
        <f>IF($E854="","",Z854-AA854)</f>
        <v/>
      </c>
      <c r="AC854" s="7">
        <f>IF($E854="","",AB854-R854)</f>
        <v/>
      </c>
      <c r="AF854">
        <f>IF($E854="","",IF($AR854=1,0,IF($AQ854=1,Settings!$C$6,Settings!$C$7))*100)</f>
        <v/>
      </c>
      <c r="AJ854" s="7" t="n"/>
      <c r="AM854" s="11" t="n"/>
      <c r="AO854">
        <f>IF($E854="","",IF(COUNTIF($E$2:$E854,$E854)=1,1,0))</f>
        <v/>
      </c>
      <c r="AP854">
        <f>IF($AO854=1,SUMPRODUCT(--($AS$2:$AS$1001&lt;$AS854))+1,"")</f>
        <v/>
      </c>
      <c r="AQ854">
        <f>IF($E854="","",IF(OR($V854=TRUE(),$V854="TRUE"),1,0))</f>
        <v/>
      </c>
      <c r="AR854">
        <f>IF($E854="","",IF($AE854="Yes",1,0))</f>
        <v/>
      </c>
      <c r="AS854">
        <f>IF($AO854=1,IFERROR(IF(VALUE($E854)&lt;100000000,VALUE($E854),1000000000),IFERROR(IF(VALUE(MID($E854,2,20))&lt;100000000,VALUE(MID($E854,2,20)),1000000000),1000000000))+ROW()/100000,"")</f>
        <v/>
      </c>
    </row>
    <row r="855">
      <c r="D855">
        <f>IF($E855="","",IFERROR(IF(INDEX('Per Invoice'!$A$2:$A$301,MATCH($E855,'Per Invoice'!$B$2:$B$301,0))=0,"",INDEX('Per Invoice'!$A$2:$A$301,MATCH($E855,'Per Invoice'!$B$2:$B$301,0))),""))</f>
        <v/>
      </c>
      <c r="H855" s="11" t="n"/>
      <c r="R855" s="7">
        <f>IF($E855="","",Q855*Z855/100)</f>
        <v/>
      </c>
      <c r="S855" s="7" t="n"/>
      <c r="Y855" s="7" t="n"/>
      <c r="Z855" s="7" t="n"/>
      <c r="AA855" s="7">
        <f>IF($E855="","",Z855*AF855/100)</f>
        <v/>
      </c>
      <c r="AB855" s="7">
        <f>IF($E855="","",Z855-AA855)</f>
        <v/>
      </c>
      <c r="AC855" s="7">
        <f>IF($E855="","",AB855-R855)</f>
        <v/>
      </c>
      <c r="AF855">
        <f>IF($E855="","",IF($AR855=1,0,IF($AQ855=1,Settings!$C$6,Settings!$C$7))*100)</f>
        <v/>
      </c>
      <c r="AJ855" s="7" t="n"/>
      <c r="AM855" s="11" t="n"/>
      <c r="AO855">
        <f>IF($E855="","",IF(COUNTIF($E$2:$E855,$E855)=1,1,0))</f>
        <v/>
      </c>
      <c r="AP855">
        <f>IF($AO855=1,SUMPRODUCT(--($AS$2:$AS$1001&lt;$AS855))+1,"")</f>
        <v/>
      </c>
      <c r="AQ855">
        <f>IF($E855="","",IF(OR($V855=TRUE(),$V855="TRUE"),1,0))</f>
        <v/>
      </c>
      <c r="AR855">
        <f>IF($E855="","",IF($AE855="Yes",1,0))</f>
        <v/>
      </c>
      <c r="AS855">
        <f>IF($AO855=1,IFERROR(IF(VALUE($E855)&lt;100000000,VALUE($E855),1000000000),IFERROR(IF(VALUE(MID($E855,2,20))&lt;100000000,VALUE(MID($E855,2,20)),1000000000),1000000000))+ROW()/100000,"")</f>
        <v/>
      </c>
    </row>
    <row r="856">
      <c r="D856">
        <f>IF($E856="","",IFERROR(IF(INDEX('Per Invoice'!$A$2:$A$301,MATCH($E856,'Per Invoice'!$B$2:$B$301,0))=0,"",INDEX('Per Invoice'!$A$2:$A$301,MATCH($E856,'Per Invoice'!$B$2:$B$301,0))),""))</f>
        <v/>
      </c>
      <c r="H856" s="11" t="n"/>
      <c r="R856" s="7">
        <f>IF($E856="","",Q856*Z856/100)</f>
        <v/>
      </c>
      <c r="S856" s="7" t="n"/>
      <c r="Y856" s="7" t="n"/>
      <c r="Z856" s="7" t="n"/>
      <c r="AA856" s="7">
        <f>IF($E856="","",Z856*AF856/100)</f>
        <v/>
      </c>
      <c r="AB856" s="7">
        <f>IF($E856="","",Z856-AA856)</f>
        <v/>
      </c>
      <c r="AC856" s="7">
        <f>IF($E856="","",AB856-R856)</f>
        <v/>
      </c>
      <c r="AF856">
        <f>IF($E856="","",IF($AR856=1,0,IF($AQ856=1,Settings!$C$6,Settings!$C$7))*100)</f>
        <v/>
      </c>
      <c r="AJ856" s="7" t="n"/>
      <c r="AM856" s="11" t="n"/>
      <c r="AO856">
        <f>IF($E856="","",IF(COUNTIF($E$2:$E856,$E856)=1,1,0))</f>
        <v/>
      </c>
      <c r="AP856">
        <f>IF($AO856=1,SUMPRODUCT(--($AS$2:$AS$1001&lt;$AS856))+1,"")</f>
        <v/>
      </c>
      <c r="AQ856">
        <f>IF($E856="","",IF(OR($V856=TRUE(),$V856="TRUE"),1,0))</f>
        <v/>
      </c>
      <c r="AR856">
        <f>IF($E856="","",IF($AE856="Yes",1,0))</f>
        <v/>
      </c>
      <c r="AS856">
        <f>IF($AO856=1,IFERROR(IF(VALUE($E856)&lt;100000000,VALUE($E856),1000000000),IFERROR(IF(VALUE(MID($E856,2,20))&lt;100000000,VALUE(MID($E856,2,20)),1000000000),1000000000))+ROW()/100000,"")</f>
        <v/>
      </c>
    </row>
    <row r="857">
      <c r="D857">
        <f>IF($E857="","",IFERROR(IF(INDEX('Per Invoice'!$A$2:$A$301,MATCH($E857,'Per Invoice'!$B$2:$B$301,0))=0,"",INDEX('Per Invoice'!$A$2:$A$301,MATCH($E857,'Per Invoice'!$B$2:$B$301,0))),""))</f>
        <v/>
      </c>
      <c r="H857" s="11" t="n"/>
      <c r="R857" s="7">
        <f>IF($E857="","",Q857*Z857/100)</f>
        <v/>
      </c>
      <c r="S857" s="7" t="n"/>
      <c r="Y857" s="7" t="n"/>
      <c r="Z857" s="7" t="n"/>
      <c r="AA857" s="7">
        <f>IF($E857="","",Z857*AF857/100)</f>
        <v/>
      </c>
      <c r="AB857" s="7">
        <f>IF($E857="","",Z857-AA857)</f>
        <v/>
      </c>
      <c r="AC857" s="7">
        <f>IF($E857="","",AB857-R857)</f>
        <v/>
      </c>
      <c r="AF857">
        <f>IF($E857="","",IF($AR857=1,0,IF($AQ857=1,Settings!$C$6,Settings!$C$7))*100)</f>
        <v/>
      </c>
      <c r="AJ857" s="7" t="n"/>
      <c r="AM857" s="11" t="n"/>
      <c r="AO857">
        <f>IF($E857="","",IF(COUNTIF($E$2:$E857,$E857)=1,1,0))</f>
        <v/>
      </c>
      <c r="AP857">
        <f>IF($AO857=1,SUMPRODUCT(--($AS$2:$AS$1001&lt;$AS857))+1,"")</f>
        <v/>
      </c>
      <c r="AQ857">
        <f>IF($E857="","",IF(OR($V857=TRUE(),$V857="TRUE"),1,0))</f>
        <v/>
      </c>
      <c r="AR857">
        <f>IF($E857="","",IF($AE857="Yes",1,0))</f>
        <v/>
      </c>
      <c r="AS857">
        <f>IF($AO857=1,IFERROR(IF(VALUE($E857)&lt;100000000,VALUE($E857),1000000000),IFERROR(IF(VALUE(MID($E857,2,20))&lt;100000000,VALUE(MID($E857,2,20)),1000000000),1000000000))+ROW()/100000,"")</f>
        <v/>
      </c>
    </row>
    <row r="858">
      <c r="D858">
        <f>IF($E858="","",IFERROR(IF(INDEX('Per Invoice'!$A$2:$A$301,MATCH($E858,'Per Invoice'!$B$2:$B$301,0))=0,"",INDEX('Per Invoice'!$A$2:$A$301,MATCH($E858,'Per Invoice'!$B$2:$B$301,0))),""))</f>
        <v/>
      </c>
      <c r="H858" s="11" t="n"/>
      <c r="R858" s="7">
        <f>IF($E858="","",Q858*Z858/100)</f>
        <v/>
      </c>
      <c r="S858" s="7" t="n"/>
      <c r="Y858" s="7" t="n"/>
      <c r="Z858" s="7" t="n"/>
      <c r="AA858" s="7">
        <f>IF($E858="","",Z858*AF858/100)</f>
        <v/>
      </c>
      <c r="AB858" s="7">
        <f>IF($E858="","",Z858-AA858)</f>
        <v/>
      </c>
      <c r="AC858" s="7">
        <f>IF($E858="","",AB858-R858)</f>
        <v/>
      </c>
      <c r="AF858">
        <f>IF($E858="","",IF($AR858=1,0,IF($AQ858=1,Settings!$C$6,Settings!$C$7))*100)</f>
        <v/>
      </c>
      <c r="AJ858" s="7" t="n"/>
      <c r="AM858" s="11" t="n"/>
      <c r="AO858">
        <f>IF($E858="","",IF(COUNTIF($E$2:$E858,$E858)=1,1,0))</f>
        <v/>
      </c>
      <c r="AP858">
        <f>IF($AO858=1,SUMPRODUCT(--($AS$2:$AS$1001&lt;$AS858))+1,"")</f>
        <v/>
      </c>
      <c r="AQ858">
        <f>IF($E858="","",IF(OR($V858=TRUE(),$V858="TRUE"),1,0))</f>
        <v/>
      </c>
      <c r="AR858">
        <f>IF($E858="","",IF($AE858="Yes",1,0))</f>
        <v/>
      </c>
      <c r="AS858">
        <f>IF($AO858=1,IFERROR(IF(VALUE($E858)&lt;100000000,VALUE($E858),1000000000),IFERROR(IF(VALUE(MID($E858,2,20))&lt;100000000,VALUE(MID($E858,2,20)),1000000000),1000000000))+ROW()/100000,"")</f>
        <v/>
      </c>
    </row>
    <row r="859">
      <c r="D859">
        <f>IF($E859="","",IFERROR(IF(INDEX('Per Invoice'!$A$2:$A$301,MATCH($E859,'Per Invoice'!$B$2:$B$301,0))=0,"",INDEX('Per Invoice'!$A$2:$A$301,MATCH($E859,'Per Invoice'!$B$2:$B$301,0))),""))</f>
        <v/>
      </c>
      <c r="H859" s="11" t="n"/>
      <c r="R859" s="7">
        <f>IF($E859="","",Q859*Z859/100)</f>
        <v/>
      </c>
      <c r="S859" s="7" t="n"/>
      <c r="Y859" s="7" t="n"/>
      <c r="Z859" s="7" t="n"/>
      <c r="AA859" s="7">
        <f>IF($E859="","",Z859*AF859/100)</f>
        <v/>
      </c>
      <c r="AB859" s="7">
        <f>IF($E859="","",Z859-AA859)</f>
        <v/>
      </c>
      <c r="AC859" s="7">
        <f>IF($E859="","",AB859-R859)</f>
        <v/>
      </c>
      <c r="AF859">
        <f>IF($E859="","",IF($AR859=1,0,IF($AQ859=1,Settings!$C$6,Settings!$C$7))*100)</f>
        <v/>
      </c>
      <c r="AJ859" s="7" t="n"/>
      <c r="AM859" s="11" t="n"/>
      <c r="AO859">
        <f>IF($E859="","",IF(COUNTIF($E$2:$E859,$E859)=1,1,0))</f>
        <v/>
      </c>
      <c r="AP859">
        <f>IF($AO859=1,SUMPRODUCT(--($AS$2:$AS$1001&lt;$AS859))+1,"")</f>
        <v/>
      </c>
      <c r="AQ859">
        <f>IF($E859="","",IF(OR($V859=TRUE(),$V859="TRUE"),1,0))</f>
        <v/>
      </c>
      <c r="AR859">
        <f>IF($E859="","",IF($AE859="Yes",1,0))</f>
        <v/>
      </c>
      <c r="AS859">
        <f>IF($AO859=1,IFERROR(IF(VALUE($E859)&lt;100000000,VALUE($E859),1000000000),IFERROR(IF(VALUE(MID($E859,2,20))&lt;100000000,VALUE(MID($E859,2,20)),1000000000),1000000000))+ROW()/100000,"")</f>
        <v/>
      </c>
    </row>
    <row r="860">
      <c r="D860">
        <f>IF($E860="","",IFERROR(IF(INDEX('Per Invoice'!$A$2:$A$301,MATCH($E860,'Per Invoice'!$B$2:$B$301,0))=0,"",INDEX('Per Invoice'!$A$2:$A$301,MATCH($E860,'Per Invoice'!$B$2:$B$301,0))),""))</f>
        <v/>
      </c>
      <c r="H860" s="11" t="n"/>
      <c r="R860" s="7">
        <f>IF($E860="","",Q860*Z860/100)</f>
        <v/>
      </c>
      <c r="S860" s="7" t="n"/>
      <c r="Y860" s="7" t="n"/>
      <c r="Z860" s="7" t="n"/>
      <c r="AA860" s="7">
        <f>IF($E860="","",Z860*AF860/100)</f>
        <v/>
      </c>
      <c r="AB860" s="7">
        <f>IF($E860="","",Z860-AA860)</f>
        <v/>
      </c>
      <c r="AC860" s="7">
        <f>IF($E860="","",AB860-R860)</f>
        <v/>
      </c>
      <c r="AF860">
        <f>IF($E860="","",IF($AR860=1,0,IF($AQ860=1,Settings!$C$6,Settings!$C$7))*100)</f>
        <v/>
      </c>
      <c r="AJ860" s="7" t="n"/>
      <c r="AM860" s="11" t="n"/>
      <c r="AO860">
        <f>IF($E860="","",IF(COUNTIF($E$2:$E860,$E860)=1,1,0))</f>
        <v/>
      </c>
      <c r="AP860">
        <f>IF($AO860=1,SUMPRODUCT(--($AS$2:$AS$1001&lt;$AS860))+1,"")</f>
        <v/>
      </c>
      <c r="AQ860">
        <f>IF($E860="","",IF(OR($V860=TRUE(),$V860="TRUE"),1,0))</f>
        <v/>
      </c>
      <c r="AR860">
        <f>IF($E860="","",IF($AE860="Yes",1,0))</f>
        <v/>
      </c>
      <c r="AS860">
        <f>IF($AO860=1,IFERROR(IF(VALUE($E860)&lt;100000000,VALUE($E860),1000000000),IFERROR(IF(VALUE(MID($E860,2,20))&lt;100000000,VALUE(MID($E860,2,20)),1000000000),1000000000))+ROW()/100000,"")</f>
        <v/>
      </c>
    </row>
    <row r="861">
      <c r="D861">
        <f>IF($E861="","",IFERROR(IF(INDEX('Per Invoice'!$A$2:$A$301,MATCH($E861,'Per Invoice'!$B$2:$B$301,0))=0,"",INDEX('Per Invoice'!$A$2:$A$301,MATCH($E861,'Per Invoice'!$B$2:$B$301,0))),""))</f>
        <v/>
      </c>
      <c r="H861" s="11" t="n"/>
      <c r="R861" s="7">
        <f>IF($E861="","",Q861*Z861/100)</f>
        <v/>
      </c>
      <c r="S861" s="7" t="n"/>
      <c r="Y861" s="7" t="n"/>
      <c r="Z861" s="7" t="n"/>
      <c r="AA861" s="7">
        <f>IF($E861="","",Z861*AF861/100)</f>
        <v/>
      </c>
      <c r="AB861" s="7">
        <f>IF($E861="","",Z861-AA861)</f>
        <v/>
      </c>
      <c r="AC861" s="7">
        <f>IF($E861="","",AB861-R861)</f>
        <v/>
      </c>
      <c r="AF861">
        <f>IF($E861="","",IF($AR861=1,0,IF($AQ861=1,Settings!$C$6,Settings!$C$7))*100)</f>
        <v/>
      </c>
      <c r="AJ861" s="7" t="n"/>
      <c r="AM861" s="11" t="n"/>
      <c r="AO861">
        <f>IF($E861="","",IF(COUNTIF($E$2:$E861,$E861)=1,1,0))</f>
        <v/>
      </c>
      <c r="AP861">
        <f>IF($AO861=1,SUMPRODUCT(--($AS$2:$AS$1001&lt;$AS861))+1,"")</f>
        <v/>
      </c>
      <c r="AQ861">
        <f>IF($E861="","",IF(OR($V861=TRUE(),$V861="TRUE"),1,0))</f>
        <v/>
      </c>
      <c r="AR861">
        <f>IF($E861="","",IF($AE861="Yes",1,0))</f>
        <v/>
      </c>
      <c r="AS861">
        <f>IF($AO861=1,IFERROR(IF(VALUE($E861)&lt;100000000,VALUE($E861),1000000000),IFERROR(IF(VALUE(MID($E861,2,20))&lt;100000000,VALUE(MID($E861,2,20)),1000000000),1000000000))+ROW()/100000,"")</f>
        <v/>
      </c>
    </row>
    <row r="862">
      <c r="D862">
        <f>IF($E862="","",IFERROR(IF(INDEX('Per Invoice'!$A$2:$A$301,MATCH($E862,'Per Invoice'!$B$2:$B$301,0))=0,"",INDEX('Per Invoice'!$A$2:$A$301,MATCH($E862,'Per Invoice'!$B$2:$B$301,0))),""))</f>
        <v/>
      </c>
      <c r="H862" s="11" t="n"/>
      <c r="R862" s="7">
        <f>IF($E862="","",Q862*Z862/100)</f>
        <v/>
      </c>
      <c r="S862" s="7" t="n"/>
      <c r="Y862" s="7" t="n"/>
      <c r="Z862" s="7" t="n"/>
      <c r="AA862" s="7">
        <f>IF($E862="","",Z862*AF862/100)</f>
        <v/>
      </c>
      <c r="AB862" s="7">
        <f>IF($E862="","",Z862-AA862)</f>
        <v/>
      </c>
      <c r="AC862" s="7">
        <f>IF($E862="","",AB862-R862)</f>
        <v/>
      </c>
      <c r="AF862">
        <f>IF($E862="","",IF($AR862=1,0,IF($AQ862=1,Settings!$C$6,Settings!$C$7))*100)</f>
        <v/>
      </c>
      <c r="AJ862" s="7" t="n"/>
      <c r="AM862" s="11" t="n"/>
      <c r="AO862">
        <f>IF($E862="","",IF(COUNTIF($E$2:$E862,$E862)=1,1,0))</f>
        <v/>
      </c>
      <c r="AP862">
        <f>IF($AO862=1,SUMPRODUCT(--($AS$2:$AS$1001&lt;$AS862))+1,"")</f>
        <v/>
      </c>
      <c r="AQ862">
        <f>IF($E862="","",IF(OR($V862=TRUE(),$V862="TRUE"),1,0))</f>
        <v/>
      </c>
      <c r="AR862">
        <f>IF($E862="","",IF($AE862="Yes",1,0))</f>
        <v/>
      </c>
      <c r="AS862">
        <f>IF($AO862=1,IFERROR(IF(VALUE($E862)&lt;100000000,VALUE($E862),1000000000),IFERROR(IF(VALUE(MID($E862,2,20))&lt;100000000,VALUE(MID($E862,2,20)),1000000000),1000000000))+ROW()/100000,"")</f>
        <v/>
      </c>
    </row>
    <row r="863">
      <c r="D863">
        <f>IF($E863="","",IFERROR(IF(INDEX('Per Invoice'!$A$2:$A$301,MATCH($E863,'Per Invoice'!$B$2:$B$301,0))=0,"",INDEX('Per Invoice'!$A$2:$A$301,MATCH($E863,'Per Invoice'!$B$2:$B$301,0))),""))</f>
        <v/>
      </c>
      <c r="H863" s="11" t="n"/>
      <c r="R863" s="7">
        <f>IF($E863="","",Q863*Z863/100)</f>
        <v/>
      </c>
      <c r="S863" s="7" t="n"/>
      <c r="Y863" s="7" t="n"/>
      <c r="Z863" s="7" t="n"/>
      <c r="AA863" s="7">
        <f>IF($E863="","",Z863*AF863/100)</f>
        <v/>
      </c>
      <c r="AB863" s="7">
        <f>IF($E863="","",Z863-AA863)</f>
        <v/>
      </c>
      <c r="AC863" s="7">
        <f>IF($E863="","",AB863-R863)</f>
        <v/>
      </c>
      <c r="AF863">
        <f>IF($E863="","",IF($AR863=1,0,IF($AQ863=1,Settings!$C$6,Settings!$C$7))*100)</f>
        <v/>
      </c>
      <c r="AJ863" s="7" t="n"/>
      <c r="AM863" s="11" t="n"/>
      <c r="AO863">
        <f>IF($E863="","",IF(COUNTIF($E$2:$E863,$E863)=1,1,0))</f>
        <v/>
      </c>
      <c r="AP863">
        <f>IF($AO863=1,SUMPRODUCT(--($AS$2:$AS$1001&lt;$AS863))+1,"")</f>
        <v/>
      </c>
      <c r="AQ863">
        <f>IF($E863="","",IF(OR($V863=TRUE(),$V863="TRUE"),1,0))</f>
        <v/>
      </c>
      <c r="AR863">
        <f>IF($E863="","",IF($AE863="Yes",1,0))</f>
        <v/>
      </c>
      <c r="AS863">
        <f>IF($AO863=1,IFERROR(IF(VALUE($E863)&lt;100000000,VALUE($E863),1000000000),IFERROR(IF(VALUE(MID($E863,2,20))&lt;100000000,VALUE(MID($E863,2,20)),1000000000),1000000000))+ROW()/100000,"")</f>
        <v/>
      </c>
    </row>
    <row r="864">
      <c r="D864">
        <f>IF($E864="","",IFERROR(IF(INDEX('Per Invoice'!$A$2:$A$301,MATCH($E864,'Per Invoice'!$B$2:$B$301,0))=0,"",INDEX('Per Invoice'!$A$2:$A$301,MATCH($E864,'Per Invoice'!$B$2:$B$301,0))),""))</f>
        <v/>
      </c>
      <c r="H864" s="11" t="n"/>
      <c r="R864" s="7">
        <f>IF($E864="","",Q864*Z864/100)</f>
        <v/>
      </c>
      <c r="S864" s="7" t="n"/>
      <c r="Y864" s="7" t="n"/>
      <c r="Z864" s="7" t="n"/>
      <c r="AA864" s="7">
        <f>IF($E864="","",Z864*AF864/100)</f>
        <v/>
      </c>
      <c r="AB864" s="7">
        <f>IF($E864="","",Z864-AA864)</f>
        <v/>
      </c>
      <c r="AC864" s="7">
        <f>IF($E864="","",AB864-R864)</f>
        <v/>
      </c>
      <c r="AF864">
        <f>IF($E864="","",IF($AR864=1,0,IF($AQ864=1,Settings!$C$6,Settings!$C$7))*100)</f>
        <v/>
      </c>
      <c r="AJ864" s="7" t="n"/>
      <c r="AM864" s="11" t="n"/>
      <c r="AO864">
        <f>IF($E864="","",IF(COUNTIF($E$2:$E864,$E864)=1,1,0))</f>
        <v/>
      </c>
      <c r="AP864">
        <f>IF($AO864=1,SUMPRODUCT(--($AS$2:$AS$1001&lt;$AS864))+1,"")</f>
        <v/>
      </c>
      <c r="AQ864">
        <f>IF($E864="","",IF(OR($V864=TRUE(),$V864="TRUE"),1,0))</f>
        <v/>
      </c>
      <c r="AR864">
        <f>IF($E864="","",IF($AE864="Yes",1,0))</f>
        <v/>
      </c>
      <c r="AS864">
        <f>IF($AO864=1,IFERROR(IF(VALUE($E864)&lt;100000000,VALUE($E864),1000000000),IFERROR(IF(VALUE(MID($E864,2,20))&lt;100000000,VALUE(MID($E864,2,20)),1000000000),1000000000))+ROW()/100000,"")</f>
        <v/>
      </c>
    </row>
    <row r="865">
      <c r="D865">
        <f>IF($E865="","",IFERROR(IF(INDEX('Per Invoice'!$A$2:$A$301,MATCH($E865,'Per Invoice'!$B$2:$B$301,0))=0,"",INDEX('Per Invoice'!$A$2:$A$301,MATCH($E865,'Per Invoice'!$B$2:$B$301,0))),""))</f>
        <v/>
      </c>
      <c r="H865" s="11" t="n"/>
      <c r="R865" s="7">
        <f>IF($E865="","",Q865*Z865/100)</f>
        <v/>
      </c>
      <c r="S865" s="7" t="n"/>
      <c r="Y865" s="7" t="n"/>
      <c r="Z865" s="7" t="n"/>
      <c r="AA865" s="7">
        <f>IF($E865="","",Z865*AF865/100)</f>
        <v/>
      </c>
      <c r="AB865" s="7">
        <f>IF($E865="","",Z865-AA865)</f>
        <v/>
      </c>
      <c r="AC865" s="7">
        <f>IF($E865="","",AB865-R865)</f>
        <v/>
      </c>
      <c r="AF865">
        <f>IF($E865="","",IF($AR865=1,0,IF($AQ865=1,Settings!$C$6,Settings!$C$7))*100)</f>
        <v/>
      </c>
      <c r="AJ865" s="7" t="n"/>
      <c r="AM865" s="11" t="n"/>
      <c r="AO865">
        <f>IF($E865="","",IF(COUNTIF($E$2:$E865,$E865)=1,1,0))</f>
        <v/>
      </c>
      <c r="AP865">
        <f>IF($AO865=1,SUMPRODUCT(--($AS$2:$AS$1001&lt;$AS865))+1,"")</f>
        <v/>
      </c>
      <c r="AQ865">
        <f>IF($E865="","",IF(OR($V865=TRUE(),$V865="TRUE"),1,0))</f>
        <v/>
      </c>
      <c r="AR865">
        <f>IF($E865="","",IF($AE865="Yes",1,0))</f>
        <v/>
      </c>
      <c r="AS865">
        <f>IF($AO865=1,IFERROR(IF(VALUE($E865)&lt;100000000,VALUE($E865),1000000000),IFERROR(IF(VALUE(MID($E865,2,20))&lt;100000000,VALUE(MID($E865,2,20)),1000000000),1000000000))+ROW()/100000,"")</f>
        <v/>
      </c>
    </row>
    <row r="866">
      <c r="D866">
        <f>IF($E866="","",IFERROR(IF(INDEX('Per Invoice'!$A$2:$A$301,MATCH($E866,'Per Invoice'!$B$2:$B$301,0))=0,"",INDEX('Per Invoice'!$A$2:$A$301,MATCH($E866,'Per Invoice'!$B$2:$B$301,0))),""))</f>
        <v/>
      </c>
      <c r="H866" s="11" t="n"/>
      <c r="R866" s="7">
        <f>IF($E866="","",Q866*Z866/100)</f>
        <v/>
      </c>
      <c r="S866" s="7" t="n"/>
      <c r="Y866" s="7" t="n"/>
      <c r="Z866" s="7" t="n"/>
      <c r="AA866" s="7">
        <f>IF($E866="","",Z866*AF866/100)</f>
        <v/>
      </c>
      <c r="AB866" s="7">
        <f>IF($E866="","",Z866-AA866)</f>
        <v/>
      </c>
      <c r="AC866" s="7">
        <f>IF($E866="","",AB866-R866)</f>
        <v/>
      </c>
      <c r="AF866">
        <f>IF($E866="","",IF($AR866=1,0,IF($AQ866=1,Settings!$C$6,Settings!$C$7))*100)</f>
        <v/>
      </c>
      <c r="AJ866" s="7" t="n"/>
      <c r="AM866" s="11" t="n"/>
      <c r="AO866">
        <f>IF($E866="","",IF(COUNTIF($E$2:$E866,$E866)=1,1,0))</f>
        <v/>
      </c>
      <c r="AP866">
        <f>IF($AO866=1,SUMPRODUCT(--($AS$2:$AS$1001&lt;$AS866))+1,"")</f>
        <v/>
      </c>
      <c r="AQ866">
        <f>IF($E866="","",IF(OR($V866=TRUE(),$V866="TRUE"),1,0))</f>
        <v/>
      </c>
      <c r="AR866">
        <f>IF($E866="","",IF($AE866="Yes",1,0))</f>
        <v/>
      </c>
      <c r="AS866">
        <f>IF($AO866=1,IFERROR(IF(VALUE($E866)&lt;100000000,VALUE($E866),1000000000),IFERROR(IF(VALUE(MID($E866,2,20))&lt;100000000,VALUE(MID($E866,2,20)),1000000000),1000000000))+ROW()/100000,"")</f>
        <v/>
      </c>
    </row>
    <row r="867">
      <c r="D867">
        <f>IF($E867="","",IFERROR(IF(INDEX('Per Invoice'!$A$2:$A$301,MATCH($E867,'Per Invoice'!$B$2:$B$301,0))=0,"",INDEX('Per Invoice'!$A$2:$A$301,MATCH($E867,'Per Invoice'!$B$2:$B$301,0))),""))</f>
        <v/>
      </c>
      <c r="H867" s="11" t="n"/>
      <c r="R867" s="7">
        <f>IF($E867="","",Q867*Z867/100)</f>
        <v/>
      </c>
      <c r="S867" s="7" t="n"/>
      <c r="Y867" s="7" t="n"/>
      <c r="Z867" s="7" t="n"/>
      <c r="AA867" s="7">
        <f>IF($E867="","",Z867*AF867/100)</f>
        <v/>
      </c>
      <c r="AB867" s="7">
        <f>IF($E867="","",Z867-AA867)</f>
        <v/>
      </c>
      <c r="AC867" s="7">
        <f>IF($E867="","",AB867-R867)</f>
        <v/>
      </c>
      <c r="AF867">
        <f>IF($E867="","",IF($AR867=1,0,IF($AQ867=1,Settings!$C$6,Settings!$C$7))*100)</f>
        <v/>
      </c>
      <c r="AJ867" s="7" t="n"/>
      <c r="AM867" s="11" t="n"/>
      <c r="AO867">
        <f>IF($E867="","",IF(COUNTIF($E$2:$E867,$E867)=1,1,0))</f>
        <v/>
      </c>
      <c r="AP867">
        <f>IF($AO867=1,SUMPRODUCT(--($AS$2:$AS$1001&lt;$AS867))+1,"")</f>
        <v/>
      </c>
      <c r="AQ867">
        <f>IF($E867="","",IF(OR($V867=TRUE(),$V867="TRUE"),1,0))</f>
        <v/>
      </c>
      <c r="AR867">
        <f>IF($E867="","",IF($AE867="Yes",1,0))</f>
        <v/>
      </c>
      <c r="AS867">
        <f>IF($AO867=1,IFERROR(IF(VALUE($E867)&lt;100000000,VALUE($E867),1000000000),IFERROR(IF(VALUE(MID($E867,2,20))&lt;100000000,VALUE(MID($E867,2,20)),1000000000),1000000000))+ROW()/100000,"")</f>
        <v/>
      </c>
    </row>
    <row r="868">
      <c r="D868">
        <f>IF($E868="","",IFERROR(IF(INDEX('Per Invoice'!$A$2:$A$301,MATCH($E868,'Per Invoice'!$B$2:$B$301,0))=0,"",INDEX('Per Invoice'!$A$2:$A$301,MATCH($E868,'Per Invoice'!$B$2:$B$301,0))),""))</f>
        <v/>
      </c>
      <c r="H868" s="11" t="n"/>
      <c r="R868" s="7">
        <f>IF($E868="","",Q868*Z868/100)</f>
        <v/>
      </c>
      <c r="S868" s="7" t="n"/>
      <c r="Y868" s="7" t="n"/>
      <c r="Z868" s="7" t="n"/>
      <c r="AA868" s="7">
        <f>IF($E868="","",Z868*AF868/100)</f>
        <v/>
      </c>
      <c r="AB868" s="7">
        <f>IF($E868="","",Z868-AA868)</f>
        <v/>
      </c>
      <c r="AC868" s="7">
        <f>IF($E868="","",AB868-R868)</f>
        <v/>
      </c>
      <c r="AF868">
        <f>IF($E868="","",IF($AR868=1,0,IF($AQ868=1,Settings!$C$6,Settings!$C$7))*100)</f>
        <v/>
      </c>
      <c r="AJ868" s="7" t="n"/>
      <c r="AM868" s="11" t="n"/>
      <c r="AO868">
        <f>IF($E868="","",IF(COUNTIF($E$2:$E868,$E868)=1,1,0))</f>
        <v/>
      </c>
      <c r="AP868">
        <f>IF($AO868=1,SUMPRODUCT(--($AS$2:$AS$1001&lt;$AS868))+1,"")</f>
        <v/>
      </c>
      <c r="AQ868">
        <f>IF($E868="","",IF(OR($V868=TRUE(),$V868="TRUE"),1,0))</f>
        <v/>
      </c>
      <c r="AR868">
        <f>IF($E868="","",IF($AE868="Yes",1,0))</f>
        <v/>
      </c>
      <c r="AS868">
        <f>IF($AO868=1,IFERROR(IF(VALUE($E868)&lt;100000000,VALUE($E868),1000000000),IFERROR(IF(VALUE(MID($E868,2,20))&lt;100000000,VALUE(MID($E868,2,20)),1000000000),1000000000))+ROW()/100000,"")</f>
        <v/>
      </c>
    </row>
    <row r="869">
      <c r="D869">
        <f>IF($E869="","",IFERROR(IF(INDEX('Per Invoice'!$A$2:$A$301,MATCH($E869,'Per Invoice'!$B$2:$B$301,0))=0,"",INDEX('Per Invoice'!$A$2:$A$301,MATCH($E869,'Per Invoice'!$B$2:$B$301,0))),""))</f>
        <v/>
      </c>
      <c r="H869" s="11" t="n"/>
      <c r="R869" s="7">
        <f>IF($E869="","",Q869*Z869/100)</f>
        <v/>
      </c>
      <c r="S869" s="7" t="n"/>
      <c r="Y869" s="7" t="n"/>
      <c r="Z869" s="7" t="n"/>
      <c r="AA869" s="7">
        <f>IF($E869="","",Z869*AF869/100)</f>
        <v/>
      </c>
      <c r="AB869" s="7">
        <f>IF($E869="","",Z869-AA869)</f>
        <v/>
      </c>
      <c r="AC869" s="7">
        <f>IF($E869="","",AB869-R869)</f>
        <v/>
      </c>
      <c r="AF869">
        <f>IF($E869="","",IF($AR869=1,0,IF($AQ869=1,Settings!$C$6,Settings!$C$7))*100)</f>
        <v/>
      </c>
      <c r="AJ869" s="7" t="n"/>
      <c r="AM869" s="11" t="n"/>
      <c r="AO869">
        <f>IF($E869="","",IF(COUNTIF($E$2:$E869,$E869)=1,1,0))</f>
        <v/>
      </c>
      <c r="AP869">
        <f>IF($AO869=1,SUMPRODUCT(--($AS$2:$AS$1001&lt;$AS869))+1,"")</f>
        <v/>
      </c>
      <c r="AQ869">
        <f>IF($E869="","",IF(OR($V869=TRUE(),$V869="TRUE"),1,0))</f>
        <v/>
      </c>
      <c r="AR869">
        <f>IF($E869="","",IF($AE869="Yes",1,0))</f>
        <v/>
      </c>
      <c r="AS869">
        <f>IF($AO869=1,IFERROR(IF(VALUE($E869)&lt;100000000,VALUE($E869),1000000000),IFERROR(IF(VALUE(MID($E869,2,20))&lt;100000000,VALUE(MID($E869,2,20)),1000000000),1000000000))+ROW()/100000,"")</f>
        <v/>
      </c>
    </row>
    <row r="870">
      <c r="D870">
        <f>IF($E870="","",IFERROR(IF(INDEX('Per Invoice'!$A$2:$A$301,MATCH($E870,'Per Invoice'!$B$2:$B$301,0))=0,"",INDEX('Per Invoice'!$A$2:$A$301,MATCH($E870,'Per Invoice'!$B$2:$B$301,0))),""))</f>
        <v/>
      </c>
      <c r="H870" s="11" t="n"/>
      <c r="R870" s="7">
        <f>IF($E870="","",Q870*Z870/100)</f>
        <v/>
      </c>
      <c r="S870" s="7" t="n"/>
      <c r="Y870" s="7" t="n"/>
      <c r="Z870" s="7" t="n"/>
      <c r="AA870" s="7">
        <f>IF($E870="","",Z870*AF870/100)</f>
        <v/>
      </c>
      <c r="AB870" s="7">
        <f>IF($E870="","",Z870-AA870)</f>
        <v/>
      </c>
      <c r="AC870" s="7">
        <f>IF($E870="","",AB870-R870)</f>
        <v/>
      </c>
      <c r="AF870">
        <f>IF($E870="","",IF($AR870=1,0,IF($AQ870=1,Settings!$C$6,Settings!$C$7))*100)</f>
        <v/>
      </c>
      <c r="AJ870" s="7" t="n"/>
      <c r="AM870" s="11" t="n"/>
      <c r="AO870">
        <f>IF($E870="","",IF(COUNTIF($E$2:$E870,$E870)=1,1,0))</f>
        <v/>
      </c>
      <c r="AP870">
        <f>IF($AO870=1,SUMPRODUCT(--($AS$2:$AS$1001&lt;$AS870))+1,"")</f>
        <v/>
      </c>
      <c r="AQ870">
        <f>IF($E870="","",IF(OR($V870=TRUE(),$V870="TRUE"),1,0))</f>
        <v/>
      </c>
      <c r="AR870">
        <f>IF($E870="","",IF($AE870="Yes",1,0))</f>
        <v/>
      </c>
      <c r="AS870">
        <f>IF($AO870=1,IFERROR(IF(VALUE($E870)&lt;100000000,VALUE($E870),1000000000),IFERROR(IF(VALUE(MID($E870,2,20))&lt;100000000,VALUE(MID($E870,2,20)),1000000000),1000000000))+ROW()/100000,"")</f>
        <v/>
      </c>
    </row>
    <row r="871">
      <c r="D871">
        <f>IF($E871="","",IFERROR(IF(INDEX('Per Invoice'!$A$2:$A$301,MATCH($E871,'Per Invoice'!$B$2:$B$301,0))=0,"",INDEX('Per Invoice'!$A$2:$A$301,MATCH($E871,'Per Invoice'!$B$2:$B$301,0))),""))</f>
        <v/>
      </c>
      <c r="H871" s="11" t="n"/>
      <c r="R871" s="7">
        <f>IF($E871="","",Q871*Z871/100)</f>
        <v/>
      </c>
      <c r="S871" s="7" t="n"/>
      <c r="Y871" s="7" t="n"/>
      <c r="Z871" s="7" t="n"/>
      <c r="AA871" s="7">
        <f>IF($E871="","",Z871*AF871/100)</f>
        <v/>
      </c>
      <c r="AB871" s="7">
        <f>IF($E871="","",Z871-AA871)</f>
        <v/>
      </c>
      <c r="AC871" s="7">
        <f>IF($E871="","",AB871-R871)</f>
        <v/>
      </c>
      <c r="AF871">
        <f>IF($E871="","",IF($AR871=1,0,IF($AQ871=1,Settings!$C$6,Settings!$C$7))*100)</f>
        <v/>
      </c>
      <c r="AJ871" s="7" t="n"/>
      <c r="AM871" s="11" t="n"/>
      <c r="AO871">
        <f>IF($E871="","",IF(COUNTIF($E$2:$E871,$E871)=1,1,0))</f>
        <v/>
      </c>
      <c r="AP871">
        <f>IF($AO871=1,SUMPRODUCT(--($AS$2:$AS$1001&lt;$AS871))+1,"")</f>
        <v/>
      </c>
      <c r="AQ871">
        <f>IF($E871="","",IF(OR($V871=TRUE(),$V871="TRUE"),1,0))</f>
        <v/>
      </c>
      <c r="AR871">
        <f>IF($E871="","",IF($AE871="Yes",1,0))</f>
        <v/>
      </c>
      <c r="AS871">
        <f>IF($AO871=1,IFERROR(IF(VALUE($E871)&lt;100000000,VALUE($E871),1000000000),IFERROR(IF(VALUE(MID($E871,2,20))&lt;100000000,VALUE(MID($E871,2,20)),1000000000),1000000000))+ROW()/100000,"")</f>
        <v/>
      </c>
    </row>
    <row r="872">
      <c r="D872">
        <f>IF($E872="","",IFERROR(IF(INDEX('Per Invoice'!$A$2:$A$301,MATCH($E872,'Per Invoice'!$B$2:$B$301,0))=0,"",INDEX('Per Invoice'!$A$2:$A$301,MATCH($E872,'Per Invoice'!$B$2:$B$301,0))),""))</f>
        <v/>
      </c>
      <c r="H872" s="11" t="n"/>
      <c r="R872" s="7">
        <f>IF($E872="","",Q872*Z872/100)</f>
        <v/>
      </c>
      <c r="S872" s="7" t="n"/>
      <c r="Y872" s="7" t="n"/>
      <c r="Z872" s="7" t="n"/>
      <c r="AA872" s="7">
        <f>IF($E872="","",Z872*AF872/100)</f>
        <v/>
      </c>
      <c r="AB872" s="7">
        <f>IF($E872="","",Z872-AA872)</f>
        <v/>
      </c>
      <c r="AC872" s="7">
        <f>IF($E872="","",AB872-R872)</f>
        <v/>
      </c>
      <c r="AF872">
        <f>IF($E872="","",IF($AR872=1,0,IF($AQ872=1,Settings!$C$6,Settings!$C$7))*100)</f>
        <v/>
      </c>
      <c r="AJ872" s="7" t="n"/>
      <c r="AM872" s="11" t="n"/>
      <c r="AO872">
        <f>IF($E872="","",IF(COUNTIF($E$2:$E872,$E872)=1,1,0))</f>
        <v/>
      </c>
      <c r="AP872">
        <f>IF($AO872=1,SUMPRODUCT(--($AS$2:$AS$1001&lt;$AS872))+1,"")</f>
        <v/>
      </c>
      <c r="AQ872">
        <f>IF($E872="","",IF(OR($V872=TRUE(),$V872="TRUE"),1,0))</f>
        <v/>
      </c>
      <c r="AR872">
        <f>IF($E872="","",IF($AE872="Yes",1,0))</f>
        <v/>
      </c>
      <c r="AS872">
        <f>IF($AO872=1,IFERROR(IF(VALUE($E872)&lt;100000000,VALUE($E872),1000000000),IFERROR(IF(VALUE(MID($E872,2,20))&lt;100000000,VALUE(MID($E872,2,20)),1000000000),1000000000))+ROW()/100000,"")</f>
        <v/>
      </c>
    </row>
    <row r="873">
      <c r="D873">
        <f>IF($E873="","",IFERROR(IF(INDEX('Per Invoice'!$A$2:$A$301,MATCH($E873,'Per Invoice'!$B$2:$B$301,0))=0,"",INDEX('Per Invoice'!$A$2:$A$301,MATCH($E873,'Per Invoice'!$B$2:$B$301,0))),""))</f>
        <v/>
      </c>
      <c r="H873" s="11" t="n"/>
      <c r="R873" s="7">
        <f>IF($E873="","",Q873*Z873/100)</f>
        <v/>
      </c>
      <c r="S873" s="7" t="n"/>
      <c r="Y873" s="7" t="n"/>
      <c r="Z873" s="7" t="n"/>
      <c r="AA873" s="7">
        <f>IF($E873="","",Z873*AF873/100)</f>
        <v/>
      </c>
      <c r="AB873" s="7">
        <f>IF($E873="","",Z873-AA873)</f>
        <v/>
      </c>
      <c r="AC873" s="7">
        <f>IF($E873="","",AB873-R873)</f>
        <v/>
      </c>
      <c r="AF873">
        <f>IF($E873="","",IF($AR873=1,0,IF($AQ873=1,Settings!$C$6,Settings!$C$7))*100)</f>
        <v/>
      </c>
      <c r="AJ873" s="7" t="n"/>
      <c r="AM873" s="11" t="n"/>
      <c r="AO873">
        <f>IF($E873="","",IF(COUNTIF($E$2:$E873,$E873)=1,1,0))</f>
        <v/>
      </c>
      <c r="AP873">
        <f>IF($AO873=1,SUMPRODUCT(--($AS$2:$AS$1001&lt;$AS873))+1,"")</f>
        <v/>
      </c>
      <c r="AQ873">
        <f>IF($E873="","",IF(OR($V873=TRUE(),$V873="TRUE"),1,0))</f>
        <v/>
      </c>
      <c r="AR873">
        <f>IF($E873="","",IF($AE873="Yes",1,0))</f>
        <v/>
      </c>
      <c r="AS873">
        <f>IF($AO873=1,IFERROR(IF(VALUE($E873)&lt;100000000,VALUE($E873),1000000000),IFERROR(IF(VALUE(MID($E873,2,20))&lt;100000000,VALUE(MID($E873,2,20)),1000000000),1000000000))+ROW()/100000,"")</f>
        <v/>
      </c>
    </row>
    <row r="874">
      <c r="D874">
        <f>IF($E874="","",IFERROR(IF(INDEX('Per Invoice'!$A$2:$A$301,MATCH($E874,'Per Invoice'!$B$2:$B$301,0))=0,"",INDEX('Per Invoice'!$A$2:$A$301,MATCH($E874,'Per Invoice'!$B$2:$B$301,0))),""))</f>
        <v/>
      </c>
      <c r="H874" s="11" t="n"/>
      <c r="R874" s="7">
        <f>IF($E874="","",Q874*Z874/100)</f>
        <v/>
      </c>
      <c r="S874" s="7" t="n"/>
      <c r="Y874" s="7" t="n"/>
      <c r="Z874" s="7" t="n"/>
      <c r="AA874" s="7">
        <f>IF($E874="","",Z874*AF874/100)</f>
        <v/>
      </c>
      <c r="AB874" s="7">
        <f>IF($E874="","",Z874-AA874)</f>
        <v/>
      </c>
      <c r="AC874" s="7">
        <f>IF($E874="","",AB874-R874)</f>
        <v/>
      </c>
      <c r="AF874">
        <f>IF($E874="","",IF($AR874=1,0,IF($AQ874=1,Settings!$C$6,Settings!$C$7))*100)</f>
        <v/>
      </c>
      <c r="AJ874" s="7" t="n"/>
      <c r="AM874" s="11" t="n"/>
      <c r="AO874">
        <f>IF($E874="","",IF(COUNTIF($E$2:$E874,$E874)=1,1,0))</f>
        <v/>
      </c>
      <c r="AP874">
        <f>IF($AO874=1,SUMPRODUCT(--($AS$2:$AS$1001&lt;$AS874))+1,"")</f>
        <v/>
      </c>
      <c r="AQ874">
        <f>IF($E874="","",IF(OR($V874=TRUE(),$V874="TRUE"),1,0))</f>
        <v/>
      </c>
      <c r="AR874">
        <f>IF($E874="","",IF($AE874="Yes",1,0))</f>
        <v/>
      </c>
      <c r="AS874">
        <f>IF($AO874=1,IFERROR(IF(VALUE($E874)&lt;100000000,VALUE($E874),1000000000),IFERROR(IF(VALUE(MID($E874,2,20))&lt;100000000,VALUE(MID($E874,2,20)),1000000000),1000000000))+ROW()/100000,"")</f>
        <v/>
      </c>
    </row>
    <row r="875">
      <c r="D875">
        <f>IF($E875="","",IFERROR(IF(INDEX('Per Invoice'!$A$2:$A$301,MATCH($E875,'Per Invoice'!$B$2:$B$301,0))=0,"",INDEX('Per Invoice'!$A$2:$A$301,MATCH($E875,'Per Invoice'!$B$2:$B$301,0))),""))</f>
        <v/>
      </c>
      <c r="H875" s="11" t="n"/>
      <c r="R875" s="7">
        <f>IF($E875="","",Q875*Z875/100)</f>
        <v/>
      </c>
      <c r="S875" s="7" t="n"/>
      <c r="Y875" s="7" t="n"/>
      <c r="Z875" s="7" t="n"/>
      <c r="AA875" s="7">
        <f>IF($E875="","",Z875*AF875/100)</f>
        <v/>
      </c>
      <c r="AB875" s="7">
        <f>IF($E875="","",Z875-AA875)</f>
        <v/>
      </c>
      <c r="AC875" s="7">
        <f>IF($E875="","",AB875-R875)</f>
        <v/>
      </c>
      <c r="AF875">
        <f>IF($E875="","",IF($AR875=1,0,IF($AQ875=1,Settings!$C$6,Settings!$C$7))*100)</f>
        <v/>
      </c>
      <c r="AJ875" s="7" t="n"/>
      <c r="AM875" s="11" t="n"/>
      <c r="AO875">
        <f>IF($E875="","",IF(COUNTIF($E$2:$E875,$E875)=1,1,0))</f>
        <v/>
      </c>
      <c r="AP875">
        <f>IF($AO875=1,SUMPRODUCT(--($AS$2:$AS$1001&lt;$AS875))+1,"")</f>
        <v/>
      </c>
      <c r="AQ875">
        <f>IF($E875="","",IF(OR($V875=TRUE(),$V875="TRUE"),1,0))</f>
        <v/>
      </c>
      <c r="AR875">
        <f>IF($E875="","",IF($AE875="Yes",1,0))</f>
        <v/>
      </c>
      <c r="AS875">
        <f>IF($AO875=1,IFERROR(IF(VALUE($E875)&lt;100000000,VALUE($E875),1000000000),IFERROR(IF(VALUE(MID($E875,2,20))&lt;100000000,VALUE(MID($E875,2,20)),1000000000),1000000000))+ROW()/100000,"")</f>
        <v/>
      </c>
    </row>
    <row r="876">
      <c r="D876">
        <f>IF($E876="","",IFERROR(IF(INDEX('Per Invoice'!$A$2:$A$301,MATCH($E876,'Per Invoice'!$B$2:$B$301,0))=0,"",INDEX('Per Invoice'!$A$2:$A$301,MATCH($E876,'Per Invoice'!$B$2:$B$301,0))),""))</f>
        <v/>
      </c>
      <c r="H876" s="11" t="n"/>
      <c r="R876" s="7">
        <f>IF($E876="","",Q876*Z876/100)</f>
        <v/>
      </c>
      <c r="S876" s="7" t="n"/>
      <c r="Y876" s="7" t="n"/>
      <c r="Z876" s="7" t="n"/>
      <c r="AA876" s="7">
        <f>IF($E876="","",Z876*AF876/100)</f>
        <v/>
      </c>
      <c r="AB876" s="7">
        <f>IF($E876="","",Z876-AA876)</f>
        <v/>
      </c>
      <c r="AC876" s="7">
        <f>IF($E876="","",AB876-R876)</f>
        <v/>
      </c>
      <c r="AF876">
        <f>IF($E876="","",IF($AR876=1,0,IF($AQ876=1,Settings!$C$6,Settings!$C$7))*100)</f>
        <v/>
      </c>
      <c r="AJ876" s="7" t="n"/>
      <c r="AM876" s="11" t="n"/>
      <c r="AO876">
        <f>IF($E876="","",IF(COUNTIF($E$2:$E876,$E876)=1,1,0))</f>
        <v/>
      </c>
      <c r="AP876">
        <f>IF($AO876=1,SUMPRODUCT(--($AS$2:$AS$1001&lt;$AS876))+1,"")</f>
        <v/>
      </c>
      <c r="AQ876">
        <f>IF($E876="","",IF(OR($V876=TRUE(),$V876="TRUE"),1,0))</f>
        <v/>
      </c>
      <c r="AR876">
        <f>IF($E876="","",IF($AE876="Yes",1,0))</f>
        <v/>
      </c>
      <c r="AS876">
        <f>IF($AO876=1,IFERROR(IF(VALUE($E876)&lt;100000000,VALUE($E876),1000000000),IFERROR(IF(VALUE(MID($E876,2,20))&lt;100000000,VALUE(MID($E876,2,20)),1000000000),1000000000))+ROW()/100000,"")</f>
        <v/>
      </c>
    </row>
    <row r="877">
      <c r="D877">
        <f>IF($E877="","",IFERROR(IF(INDEX('Per Invoice'!$A$2:$A$301,MATCH($E877,'Per Invoice'!$B$2:$B$301,0))=0,"",INDEX('Per Invoice'!$A$2:$A$301,MATCH($E877,'Per Invoice'!$B$2:$B$301,0))),""))</f>
        <v/>
      </c>
      <c r="H877" s="11" t="n"/>
      <c r="R877" s="7">
        <f>IF($E877="","",Q877*Z877/100)</f>
        <v/>
      </c>
      <c r="S877" s="7" t="n"/>
      <c r="Y877" s="7" t="n"/>
      <c r="Z877" s="7" t="n"/>
      <c r="AA877" s="7">
        <f>IF($E877="","",Z877*AF877/100)</f>
        <v/>
      </c>
      <c r="AB877" s="7">
        <f>IF($E877="","",Z877-AA877)</f>
        <v/>
      </c>
      <c r="AC877" s="7">
        <f>IF($E877="","",AB877-R877)</f>
        <v/>
      </c>
      <c r="AF877">
        <f>IF($E877="","",IF($AR877=1,0,IF($AQ877=1,Settings!$C$6,Settings!$C$7))*100)</f>
        <v/>
      </c>
      <c r="AJ877" s="7" t="n"/>
      <c r="AM877" s="11" t="n"/>
      <c r="AO877">
        <f>IF($E877="","",IF(COUNTIF($E$2:$E877,$E877)=1,1,0))</f>
        <v/>
      </c>
      <c r="AP877">
        <f>IF($AO877=1,SUMPRODUCT(--($AS$2:$AS$1001&lt;$AS877))+1,"")</f>
        <v/>
      </c>
      <c r="AQ877">
        <f>IF($E877="","",IF(OR($V877=TRUE(),$V877="TRUE"),1,0))</f>
        <v/>
      </c>
      <c r="AR877">
        <f>IF($E877="","",IF($AE877="Yes",1,0))</f>
        <v/>
      </c>
      <c r="AS877">
        <f>IF($AO877=1,IFERROR(IF(VALUE($E877)&lt;100000000,VALUE($E877),1000000000),IFERROR(IF(VALUE(MID($E877,2,20))&lt;100000000,VALUE(MID($E877,2,20)),1000000000),1000000000))+ROW()/100000,"")</f>
        <v/>
      </c>
    </row>
    <row r="878">
      <c r="D878">
        <f>IF($E878="","",IFERROR(IF(INDEX('Per Invoice'!$A$2:$A$301,MATCH($E878,'Per Invoice'!$B$2:$B$301,0))=0,"",INDEX('Per Invoice'!$A$2:$A$301,MATCH($E878,'Per Invoice'!$B$2:$B$301,0))),""))</f>
        <v/>
      </c>
      <c r="H878" s="11" t="n"/>
      <c r="R878" s="7">
        <f>IF($E878="","",Q878*Z878/100)</f>
        <v/>
      </c>
      <c r="S878" s="7" t="n"/>
      <c r="Y878" s="7" t="n"/>
      <c r="Z878" s="7" t="n"/>
      <c r="AA878" s="7">
        <f>IF($E878="","",Z878*AF878/100)</f>
        <v/>
      </c>
      <c r="AB878" s="7">
        <f>IF($E878="","",Z878-AA878)</f>
        <v/>
      </c>
      <c r="AC878" s="7">
        <f>IF($E878="","",AB878-R878)</f>
        <v/>
      </c>
      <c r="AF878">
        <f>IF($E878="","",IF($AR878=1,0,IF($AQ878=1,Settings!$C$6,Settings!$C$7))*100)</f>
        <v/>
      </c>
      <c r="AJ878" s="7" t="n"/>
      <c r="AM878" s="11" t="n"/>
      <c r="AO878">
        <f>IF($E878="","",IF(COUNTIF($E$2:$E878,$E878)=1,1,0))</f>
        <v/>
      </c>
      <c r="AP878">
        <f>IF($AO878=1,SUMPRODUCT(--($AS$2:$AS$1001&lt;$AS878))+1,"")</f>
        <v/>
      </c>
      <c r="AQ878">
        <f>IF($E878="","",IF(OR($V878=TRUE(),$V878="TRUE"),1,0))</f>
        <v/>
      </c>
      <c r="AR878">
        <f>IF($E878="","",IF($AE878="Yes",1,0))</f>
        <v/>
      </c>
      <c r="AS878">
        <f>IF($AO878=1,IFERROR(IF(VALUE($E878)&lt;100000000,VALUE($E878),1000000000),IFERROR(IF(VALUE(MID($E878,2,20))&lt;100000000,VALUE(MID($E878,2,20)),1000000000),1000000000))+ROW()/100000,"")</f>
        <v/>
      </c>
    </row>
    <row r="879">
      <c r="D879">
        <f>IF($E879="","",IFERROR(IF(INDEX('Per Invoice'!$A$2:$A$301,MATCH($E879,'Per Invoice'!$B$2:$B$301,0))=0,"",INDEX('Per Invoice'!$A$2:$A$301,MATCH($E879,'Per Invoice'!$B$2:$B$301,0))),""))</f>
        <v/>
      </c>
      <c r="H879" s="11" t="n"/>
      <c r="R879" s="7">
        <f>IF($E879="","",Q879*Z879/100)</f>
        <v/>
      </c>
      <c r="S879" s="7" t="n"/>
      <c r="Y879" s="7" t="n"/>
      <c r="Z879" s="7" t="n"/>
      <c r="AA879" s="7">
        <f>IF($E879="","",Z879*AF879/100)</f>
        <v/>
      </c>
      <c r="AB879" s="7">
        <f>IF($E879="","",Z879-AA879)</f>
        <v/>
      </c>
      <c r="AC879" s="7">
        <f>IF($E879="","",AB879-R879)</f>
        <v/>
      </c>
      <c r="AF879">
        <f>IF($E879="","",IF($AR879=1,0,IF($AQ879=1,Settings!$C$6,Settings!$C$7))*100)</f>
        <v/>
      </c>
      <c r="AJ879" s="7" t="n"/>
      <c r="AM879" s="11" t="n"/>
      <c r="AO879">
        <f>IF($E879="","",IF(COUNTIF($E$2:$E879,$E879)=1,1,0))</f>
        <v/>
      </c>
      <c r="AP879">
        <f>IF($AO879=1,SUMPRODUCT(--($AS$2:$AS$1001&lt;$AS879))+1,"")</f>
        <v/>
      </c>
      <c r="AQ879">
        <f>IF($E879="","",IF(OR($V879=TRUE(),$V879="TRUE"),1,0))</f>
        <v/>
      </c>
      <c r="AR879">
        <f>IF($E879="","",IF($AE879="Yes",1,0))</f>
        <v/>
      </c>
      <c r="AS879">
        <f>IF($AO879=1,IFERROR(IF(VALUE($E879)&lt;100000000,VALUE($E879),1000000000),IFERROR(IF(VALUE(MID($E879,2,20))&lt;100000000,VALUE(MID($E879,2,20)),1000000000),1000000000))+ROW()/100000,"")</f>
        <v/>
      </c>
    </row>
    <row r="880">
      <c r="D880">
        <f>IF($E880="","",IFERROR(IF(INDEX('Per Invoice'!$A$2:$A$301,MATCH($E880,'Per Invoice'!$B$2:$B$301,0))=0,"",INDEX('Per Invoice'!$A$2:$A$301,MATCH($E880,'Per Invoice'!$B$2:$B$301,0))),""))</f>
        <v/>
      </c>
      <c r="H880" s="11" t="n"/>
      <c r="R880" s="7">
        <f>IF($E880="","",Q880*Z880/100)</f>
        <v/>
      </c>
      <c r="S880" s="7" t="n"/>
      <c r="Y880" s="7" t="n"/>
      <c r="Z880" s="7" t="n"/>
      <c r="AA880" s="7">
        <f>IF($E880="","",Z880*AF880/100)</f>
        <v/>
      </c>
      <c r="AB880" s="7">
        <f>IF($E880="","",Z880-AA880)</f>
        <v/>
      </c>
      <c r="AC880" s="7">
        <f>IF($E880="","",AB880-R880)</f>
        <v/>
      </c>
      <c r="AF880">
        <f>IF($E880="","",IF($AR880=1,0,IF($AQ880=1,Settings!$C$6,Settings!$C$7))*100)</f>
        <v/>
      </c>
      <c r="AJ880" s="7" t="n"/>
      <c r="AM880" s="11" t="n"/>
      <c r="AO880">
        <f>IF($E880="","",IF(COUNTIF($E$2:$E880,$E880)=1,1,0))</f>
        <v/>
      </c>
      <c r="AP880">
        <f>IF($AO880=1,SUMPRODUCT(--($AS$2:$AS$1001&lt;$AS880))+1,"")</f>
        <v/>
      </c>
      <c r="AQ880">
        <f>IF($E880="","",IF(OR($V880=TRUE(),$V880="TRUE"),1,0))</f>
        <v/>
      </c>
      <c r="AR880">
        <f>IF($E880="","",IF($AE880="Yes",1,0))</f>
        <v/>
      </c>
      <c r="AS880">
        <f>IF($AO880=1,IFERROR(IF(VALUE($E880)&lt;100000000,VALUE($E880),1000000000),IFERROR(IF(VALUE(MID($E880,2,20))&lt;100000000,VALUE(MID($E880,2,20)),1000000000),1000000000))+ROW()/100000,"")</f>
        <v/>
      </c>
    </row>
    <row r="881">
      <c r="D881">
        <f>IF($E881="","",IFERROR(IF(INDEX('Per Invoice'!$A$2:$A$301,MATCH($E881,'Per Invoice'!$B$2:$B$301,0))=0,"",INDEX('Per Invoice'!$A$2:$A$301,MATCH($E881,'Per Invoice'!$B$2:$B$301,0))),""))</f>
        <v/>
      </c>
      <c r="H881" s="11" t="n"/>
      <c r="R881" s="7">
        <f>IF($E881="","",Q881*Z881/100)</f>
        <v/>
      </c>
      <c r="S881" s="7" t="n"/>
      <c r="Y881" s="7" t="n"/>
      <c r="Z881" s="7" t="n"/>
      <c r="AA881" s="7">
        <f>IF($E881="","",Z881*AF881/100)</f>
        <v/>
      </c>
      <c r="AB881" s="7">
        <f>IF($E881="","",Z881-AA881)</f>
        <v/>
      </c>
      <c r="AC881" s="7">
        <f>IF($E881="","",AB881-R881)</f>
        <v/>
      </c>
      <c r="AF881">
        <f>IF($E881="","",IF($AR881=1,0,IF($AQ881=1,Settings!$C$6,Settings!$C$7))*100)</f>
        <v/>
      </c>
      <c r="AJ881" s="7" t="n"/>
      <c r="AM881" s="11" t="n"/>
      <c r="AO881">
        <f>IF($E881="","",IF(COUNTIF($E$2:$E881,$E881)=1,1,0))</f>
        <v/>
      </c>
      <c r="AP881">
        <f>IF($AO881=1,SUMPRODUCT(--($AS$2:$AS$1001&lt;$AS881))+1,"")</f>
        <v/>
      </c>
      <c r="AQ881">
        <f>IF($E881="","",IF(OR($V881=TRUE(),$V881="TRUE"),1,0))</f>
        <v/>
      </c>
      <c r="AR881">
        <f>IF($E881="","",IF($AE881="Yes",1,0))</f>
        <v/>
      </c>
      <c r="AS881">
        <f>IF($AO881=1,IFERROR(IF(VALUE($E881)&lt;100000000,VALUE($E881),1000000000),IFERROR(IF(VALUE(MID($E881,2,20))&lt;100000000,VALUE(MID($E881,2,20)),1000000000),1000000000))+ROW()/100000,"")</f>
        <v/>
      </c>
    </row>
    <row r="882">
      <c r="D882">
        <f>IF($E882="","",IFERROR(IF(INDEX('Per Invoice'!$A$2:$A$301,MATCH($E882,'Per Invoice'!$B$2:$B$301,0))=0,"",INDEX('Per Invoice'!$A$2:$A$301,MATCH($E882,'Per Invoice'!$B$2:$B$301,0))),""))</f>
        <v/>
      </c>
      <c r="H882" s="11" t="n"/>
      <c r="R882" s="7">
        <f>IF($E882="","",Q882*Z882/100)</f>
        <v/>
      </c>
      <c r="S882" s="7" t="n"/>
      <c r="Y882" s="7" t="n"/>
      <c r="Z882" s="7" t="n"/>
      <c r="AA882" s="7">
        <f>IF($E882="","",Z882*AF882/100)</f>
        <v/>
      </c>
      <c r="AB882" s="7">
        <f>IF($E882="","",Z882-AA882)</f>
        <v/>
      </c>
      <c r="AC882" s="7">
        <f>IF($E882="","",AB882-R882)</f>
        <v/>
      </c>
      <c r="AF882">
        <f>IF($E882="","",IF($AR882=1,0,IF($AQ882=1,Settings!$C$6,Settings!$C$7))*100)</f>
        <v/>
      </c>
      <c r="AJ882" s="7" t="n"/>
      <c r="AM882" s="11" t="n"/>
      <c r="AO882">
        <f>IF($E882="","",IF(COUNTIF($E$2:$E882,$E882)=1,1,0))</f>
        <v/>
      </c>
      <c r="AP882">
        <f>IF($AO882=1,SUMPRODUCT(--($AS$2:$AS$1001&lt;$AS882))+1,"")</f>
        <v/>
      </c>
      <c r="AQ882">
        <f>IF($E882="","",IF(OR($V882=TRUE(),$V882="TRUE"),1,0))</f>
        <v/>
      </c>
      <c r="AR882">
        <f>IF($E882="","",IF($AE882="Yes",1,0))</f>
        <v/>
      </c>
      <c r="AS882">
        <f>IF($AO882=1,IFERROR(IF(VALUE($E882)&lt;100000000,VALUE($E882),1000000000),IFERROR(IF(VALUE(MID($E882,2,20))&lt;100000000,VALUE(MID($E882,2,20)),1000000000),1000000000))+ROW()/100000,"")</f>
        <v/>
      </c>
    </row>
    <row r="883">
      <c r="D883">
        <f>IF($E883="","",IFERROR(IF(INDEX('Per Invoice'!$A$2:$A$301,MATCH($E883,'Per Invoice'!$B$2:$B$301,0))=0,"",INDEX('Per Invoice'!$A$2:$A$301,MATCH($E883,'Per Invoice'!$B$2:$B$301,0))),""))</f>
        <v/>
      </c>
      <c r="H883" s="11" t="n"/>
      <c r="R883" s="7">
        <f>IF($E883="","",Q883*Z883/100)</f>
        <v/>
      </c>
      <c r="S883" s="7" t="n"/>
      <c r="Y883" s="7" t="n"/>
      <c r="Z883" s="7" t="n"/>
      <c r="AA883" s="7">
        <f>IF($E883="","",Z883*AF883/100)</f>
        <v/>
      </c>
      <c r="AB883" s="7">
        <f>IF($E883="","",Z883-AA883)</f>
        <v/>
      </c>
      <c r="AC883" s="7">
        <f>IF($E883="","",AB883-R883)</f>
        <v/>
      </c>
      <c r="AF883">
        <f>IF($E883="","",IF($AR883=1,0,IF($AQ883=1,Settings!$C$6,Settings!$C$7))*100)</f>
        <v/>
      </c>
      <c r="AJ883" s="7" t="n"/>
      <c r="AM883" s="11" t="n"/>
      <c r="AO883">
        <f>IF($E883="","",IF(COUNTIF($E$2:$E883,$E883)=1,1,0))</f>
        <v/>
      </c>
      <c r="AP883">
        <f>IF($AO883=1,SUMPRODUCT(--($AS$2:$AS$1001&lt;$AS883))+1,"")</f>
        <v/>
      </c>
      <c r="AQ883">
        <f>IF($E883="","",IF(OR($V883=TRUE(),$V883="TRUE"),1,0))</f>
        <v/>
      </c>
      <c r="AR883">
        <f>IF($E883="","",IF($AE883="Yes",1,0))</f>
        <v/>
      </c>
      <c r="AS883">
        <f>IF($AO883=1,IFERROR(IF(VALUE($E883)&lt;100000000,VALUE($E883),1000000000),IFERROR(IF(VALUE(MID($E883,2,20))&lt;100000000,VALUE(MID($E883,2,20)),1000000000),1000000000))+ROW()/100000,"")</f>
        <v/>
      </c>
    </row>
    <row r="884">
      <c r="D884">
        <f>IF($E884="","",IFERROR(IF(INDEX('Per Invoice'!$A$2:$A$301,MATCH($E884,'Per Invoice'!$B$2:$B$301,0))=0,"",INDEX('Per Invoice'!$A$2:$A$301,MATCH($E884,'Per Invoice'!$B$2:$B$301,0))),""))</f>
        <v/>
      </c>
      <c r="H884" s="11" t="n"/>
      <c r="R884" s="7">
        <f>IF($E884="","",Q884*Z884/100)</f>
        <v/>
      </c>
      <c r="S884" s="7" t="n"/>
      <c r="Y884" s="7" t="n"/>
      <c r="Z884" s="7" t="n"/>
      <c r="AA884" s="7">
        <f>IF($E884="","",Z884*AF884/100)</f>
        <v/>
      </c>
      <c r="AB884" s="7">
        <f>IF($E884="","",Z884-AA884)</f>
        <v/>
      </c>
      <c r="AC884" s="7">
        <f>IF($E884="","",AB884-R884)</f>
        <v/>
      </c>
      <c r="AF884">
        <f>IF($E884="","",IF($AR884=1,0,IF($AQ884=1,Settings!$C$6,Settings!$C$7))*100)</f>
        <v/>
      </c>
      <c r="AJ884" s="7" t="n"/>
      <c r="AM884" s="11" t="n"/>
      <c r="AO884">
        <f>IF($E884="","",IF(COUNTIF($E$2:$E884,$E884)=1,1,0))</f>
        <v/>
      </c>
      <c r="AP884">
        <f>IF($AO884=1,SUMPRODUCT(--($AS$2:$AS$1001&lt;$AS884))+1,"")</f>
        <v/>
      </c>
      <c r="AQ884">
        <f>IF($E884="","",IF(OR($V884=TRUE(),$V884="TRUE"),1,0))</f>
        <v/>
      </c>
      <c r="AR884">
        <f>IF($E884="","",IF($AE884="Yes",1,0))</f>
        <v/>
      </c>
      <c r="AS884">
        <f>IF($AO884=1,IFERROR(IF(VALUE($E884)&lt;100000000,VALUE($E884),1000000000),IFERROR(IF(VALUE(MID($E884,2,20))&lt;100000000,VALUE(MID($E884,2,20)),1000000000),1000000000))+ROW()/100000,"")</f>
        <v/>
      </c>
    </row>
    <row r="885">
      <c r="D885">
        <f>IF($E885="","",IFERROR(IF(INDEX('Per Invoice'!$A$2:$A$301,MATCH($E885,'Per Invoice'!$B$2:$B$301,0))=0,"",INDEX('Per Invoice'!$A$2:$A$301,MATCH($E885,'Per Invoice'!$B$2:$B$301,0))),""))</f>
        <v/>
      </c>
      <c r="H885" s="11" t="n"/>
      <c r="R885" s="7">
        <f>IF($E885="","",Q885*Z885/100)</f>
        <v/>
      </c>
      <c r="S885" s="7" t="n"/>
      <c r="Y885" s="7" t="n"/>
      <c r="Z885" s="7" t="n"/>
      <c r="AA885" s="7">
        <f>IF($E885="","",Z885*AF885/100)</f>
        <v/>
      </c>
      <c r="AB885" s="7">
        <f>IF($E885="","",Z885-AA885)</f>
        <v/>
      </c>
      <c r="AC885" s="7">
        <f>IF($E885="","",AB885-R885)</f>
        <v/>
      </c>
      <c r="AF885">
        <f>IF($E885="","",IF($AR885=1,0,IF($AQ885=1,Settings!$C$6,Settings!$C$7))*100)</f>
        <v/>
      </c>
      <c r="AJ885" s="7" t="n"/>
      <c r="AM885" s="11" t="n"/>
      <c r="AO885">
        <f>IF($E885="","",IF(COUNTIF($E$2:$E885,$E885)=1,1,0))</f>
        <v/>
      </c>
      <c r="AP885">
        <f>IF($AO885=1,SUMPRODUCT(--($AS$2:$AS$1001&lt;$AS885))+1,"")</f>
        <v/>
      </c>
      <c r="AQ885">
        <f>IF($E885="","",IF(OR($V885=TRUE(),$V885="TRUE"),1,0))</f>
        <v/>
      </c>
      <c r="AR885">
        <f>IF($E885="","",IF($AE885="Yes",1,0))</f>
        <v/>
      </c>
      <c r="AS885">
        <f>IF($AO885=1,IFERROR(IF(VALUE($E885)&lt;100000000,VALUE($E885),1000000000),IFERROR(IF(VALUE(MID($E885,2,20))&lt;100000000,VALUE(MID($E885,2,20)),1000000000),1000000000))+ROW()/100000,"")</f>
        <v/>
      </c>
    </row>
    <row r="886">
      <c r="D886">
        <f>IF($E886="","",IFERROR(IF(INDEX('Per Invoice'!$A$2:$A$301,MATCH($E886,'Per Invoice'!$B$2:$B$301,0))=0,"",INDEX('Per Invoice'!$A$2:$A$301,MATCH($E886,'Per Invoice'!$B$2:$B$301,0))),""))</f>
        <v/>
      </c>
      <c r="H886" s="11" t="n"/>
      <c r="R886" s="7">
        <f>IF($E886="","",Q886*Z886/100)</f>
        <v/>
      </c>
      <c r="S886" s="7" t="n"/>
      <c r="Y886" s="7" t="n"/>
      <c r="Z886" s="7" t="n"/>
      <c r="AA886" s="7">
        <f>IF($E886="","",Z886*AF886/100)</f>
        <v/>
      </c>
      <c r="AB886" s="7">
        <f>IF($E886="","",Z886-AA886)</f>
        <v/>
      </c>
      <c r="AC886" s="7">
        <f>IF($E886="","",AB886-R886)</f>
        <v/>
      </c>
      <c r="AF886">
        <f>IF($E886="","",IF($AR886=1,0,IF($AQ886=1,Settings!$C$6,Settings!$C$7))*100)</f>
        <v/>
      </c>
      <c r="AJ886" s="7" t="n"/>
      <c r="AM886" s="11" t="n"/>
      <c r="AO886">
        <f>IF($E886="","",IF(COUNTIF($E$2:$E886,$E886)=1,1,0))</f>
        <v/>
      </c>
      <c r="AP886">
        <f>IF($AO886=1,SUMPRODUCT(--($AS$2:$AS$1001&lt;$AS886))+1,"")</f>
        <v/>
      </c>
      <c r="AQ886">
        <f>IF($E886="","",IF(OR($V886=TRUE(),$V886="TRUE"),1,0))</f>
        <v/>
      </c>
      <c r="AR886">
        <f>IF($E886="","",IF($AE886="Yes",1,0))</f>
        <v/>
      </c>
      <c r="AS886">
        <f>IF($AO886=1,IFERROR(IF(VALUE($E886)&lt;100000000,VALUE($E886),1000000000),IFERROR(IF(VALUE(MID($E886,2,20))&lt;100000000,VALUE(MID($E886,2,20)),1000000000),1000000000))+ROW()/100000,"")</f>
        <v/>
      </c>
    </row>
    <row r="887">
      <c r="D887">
        <f>IF($E887="","",IFERROR(IF(INDEX('Per Invoice'!$A$2:$A$301,MATCH($E887,'Per Invoice'!$B$2:$B$301,0))=0,"",INDEX('Per Invoice'!$A$2:$A$301,MATCH($E887,'Per Invoice'!$B$2:$B$301,0))),""))</f>
        <v/>
      </c>
      <c r="H887" s="11" t="n"/>
      <c r="R887" s="7">
        <f>IF($E887="","",Q887*Z887/100)</f>
        <v/>
      </c>
      <c r="S887" s="7" t="n"/>
      <c r="Y887" s="7" t="n"/>
      <c r="Z887" s="7" t="n"/>
      <c r="AA887" s="7">
        <f>IF($E887="","",Z887*AF887/100)</f>
        <v/>
      </c>
      <c r="AB887" s="7">
        <f>IF($E887="","",Z887-AA887)</f>
        <v/>
      </c>
      <c r="AC887" s="7">
        <f>IF($E887="","",AB887-R887)</f>
        <v/>
      </c>
      <c r="AF887">
        <f>IF($E887="","",IF($AR887=1,0,IF($AQ887=1,Settings!$C$6,Settings!$C$7))*100)</f>
        <v/>
      </c>
      <c r="AJ887" s="7" t="n"/>
      <c r="AM887" s="11" t="n"/>
      <c r="AO887">
        <f>IF($E887="","",IF(COUNTIF($E$2:$E887,$E887)=1,1,0))</f>
        <v/>
      </c>
      <c r="AP887">
        <f>IF($AO887=1,SUMPRODUCT(--($AS$2:$AS$1001&lt;$AS887))+1,"")</f>
        <v/>
      </c>
      <c r="AQ887">
        <f>IF($E887="","",IF(OR($V887=TRUE(),$V887="TRUE"),1,0))</f>
        <v/>
      </c>
      <c r="AR887">
        <f>IF($E887="","",IF($AE887="Yes",1,0))</f>
        <v/>
      </c>
      <c r="AS887">
        <f>IF($AO887=1,IFERROR(IF(VALUE($E887)&lt;100000000,VALUE($E887),1000000000),IFERROR(IF(VALUE(MID($E887,2,20))&lt;100000000,VALUE(MID($E887,2,20)),1000000000),1000000000))+ROW()/100000,"")</f>
        <v/>
      </c>
    </row>
    <row r="888">
      <c r="D888">
        <f>IF($E888="","",IFERROR(IF(INDEX('Per Invoice'!$A$2:$A$301,MATCH($E888,'Per Invoice'!$B$2:$B$301,0))=0,"",INDEX('Per Invoice'!$A$2:$A$301,MATCH($E888,'Per Invoice'!$B$2:$B$301,0))),""))</f>
        <v/>
      </c>
      <c r="H888" s="11" t="n"/>
      <c r="R888" s="7">
        <f>IF($E888="","",Q888*Z888/100)</f>
        <v/>
      </c>
      <c r="S888" s="7" t="n"/>
      <c r="Y888" s="7" t="n"/>
      <c r="Z888" s="7" t="n"/>
      <c r="AA888" s="7">
        <f>IF($E888="","",Z888*AF888/100)</f>
        <v/>
      </c>
      <c r="AB888" s="7">
        <f>IF($E888="","",Z888-AA888)</f>
        <v/>
      </c>
      <c r="AC888" s="7">
        <f>IF($E888="","",AB888-R888)</f>
        <v/>
      </c>
      <c r="AF888">
        <f>IF($E888="","",IF($AR888=1,0,IF($AQ888=1,Settings!$C$6,Settings!$C$7))*100)</f>
        <v/>
      </c>
      <c r="AJ888" s="7" t="n"/>
      <c r="AM888" s="11" t="n"/>
      <c r="AO888">
        <f>IF($E888="","",IF(COUNTIF($E$2:$E888,$E888)=1,1,0))</f>
        <v/>
      </c>
      <c r="AP888">
        <f>IF($AO888=1,SUMPRODUCT(--($AS$2:$AS$1001&lt;$AS888))+1,"")</f>
        <v/>
      </c>
      <c r="AQ888">
        <f>IF($E888="","",IF(OR($V888=TRUE(),$V888="TRUE"),1,0))</f>
        <v/>
      </c>
      <c r="AR888">
        <f>IF($E888="","",IF($AE888="Yes",1,0))</f>
        <v/>
      </c>
      <c r="AS888">
        <f>IF($AO888=1,IFERROR(IF(VALUE($E888)&lt;100000000,VALUE($E888),1000000000),IFERROR(IF(VALUE(MID($E888,2,20))&lt;100000000,VALUE(MID($E888,2,20)),1000000000),1000000000))+ROW()/100000,"")</f>
        <v/>
      </c>
    </row>
    <row r="889">
      <c r="D889">
        <f>IF($E889="","",IFERROR(IF(INDEX('Per Invoice'!$A$2:$A$301,MATCH($E889,'Per Invoice'!$B$2:$B$301,0))=0,"",INDEX('Per Invoice'!$A$2:$A$301,MATCH($E889,'Per Invoice'!$B$2:$B$301,0))),""))</f>
        <v/>
      </c>
      <c r="H889" s="11" t="n"/>
      <c r="R889" s="7">
        <f>IF($E889="","",Q889*Z889/100)</f>
        <v/>
      </c>
      <c r="S889" s="7" t="n"/>
      <c r="Y889" s="7" t="n"/>
      <c r="Z889" s="7" t="n"/>
      <c r="AA889" s="7">
        <f>IF($E889="","",Z889*AF889/100)</f>
        <v/>
      </c>
      <c r="AB889" s="7">
        <f>IF($E889="","",Z889-AA889)</f>
        <v/>
      </c>
      <c r="AC889" s="7">
        <f>IF($E889="","",AB889-R889)</f>
        <v/>
      </c>
      <c r="AF889">
        <f>IF($E889="","",IF($AR889=1,0,IF($AQ889=1,Settings!$C$6,Settings!$C$7))*100)</f>
        <v/>
      </c>
      <c r="AJ889" s="7" t="n"/>
      <c r="AM889" s="11" t="n"/>
      <c r="AO889">
        <f>IF($E889="","",IF(COUNTIF($E$2:$E889,$E889)=1,1,0))</f>
        <v/>
      </c>
      <c r="AP889">
        <f>IF($AO889=1,SUMPRODUCT(--($AS$2:$AS$1001&lt;$AS889))+1,"")</f>
        <v/>
      </c>
      <c r="AQ889">
        <f>IF($E889="","",IF(OR($V889=TRUE(),$V889="TRUE"),1,0))</f>
        <v/>
      </c>
      <c r="AR889">
        <f>IF($E889="","",IF($AE889="Yes",1,0))</f>
        <v/>
      </c>
      <c r="AS889">
        <f>IF($AO889=1,IFERROR(IF(VALUE($E889)&lt;100000000,VALUE($E889),1000000000),IFERROR(IF(VALUE(MID($E889,2,20))&lt;100000000,VALUE(MID($E889,2,20)),1000000000),1000000000))+ROW()/100000,"")</f>
        <v/>
      </c>
    </row>
    <row r="890">
      <c r="D890">
        <f>IF($E890="","",IFERROR(IF(INDEX('Per Invoice'!$A$2:$A$301,MATCH($E890,'Per Invoice'!$B$2:$B$301,0))=0,"",INDEX('Per Invoice'!$A$2:$A$301,MATCH($E890,'Per Invoice'!$B$2:$B$301,0))),""))</f>
        <v/>
      </c>
      <c r="H890" s="11" t="n"/>
      <c r="R890" s="7">
        <f>IF($E890="","",Q890*Z890/100)</f>
        <v/>
      </c>
      <c r="S890" s="7" t="n"/>
      <c r="Y890" s="7" t="n"/>
      <c r="Z890" s="7" t="n"/>
      <c r="AA890" s="7">
        <f>IF($E890="","",Z890*AF890/100)</f>
        <v/>
      </c>
      <c r="AB890" s="7">
        <f>IF($E890="","",Z890-AA890)</f>
        <v/>
      </c>
      <c r="AC890" s="7">
        <f>IF($E890="","",AB890-R890)</f>
        <v/>
      </c>
      <c r="AF890">
        <f>IF($E890="","",IF($AR890=1,0,IF($AQ890=1,Settings!$C$6,Settings!$C$7))*100)</f>
        <v/>
      </c>
      <c r="AJ890" s="7" t="n"/>
      <c r="AM890" s="11" t="n"/>
      <c r="AO890">
        <f>IF($E890="","",IF(COUNTIF($E$2:$E890,$E890)=1,1,0))</f>
        <v/>
      </c>
      <c r="AP890">
        <f>IF($AO890=1,SUMPRODUCT(--($AS$2:$AS$1001&lt;$AS890))+1,"")</f>
        <v/>
      </c>
      <c r="AQ890">
        <f>IF($E890="","",IF(OR($V890=TRUE(),$V890="TRUE"),1,0))</f>
        <v/>
      </c>
      <c r="AR890">
        <f>IF($E890="","",IF($AE890="Yes",1,0))</f>
        <v/>
      </c>
      <c r="AS890">
        <f>IF($AO890=1,IFERROR(IF(VALUE($E890)&lt;100000000,VALUE($E890),1000000000),IFERROR(IF(VALUE(MID($E890,2,20))&lt;100000000,VALUE(MID($E890,2,20)),1000000000),1000000000))+ROW()/100000,"")</f>
        <v/>
      </c>
    </row>
    <row r="891">
      <c r="D891">
        <f>IF($E891="","",IFERROR(IF(INDEX('Per Invoice'!$A$2:$A$301,MATCH($E891,'Per Invoice'!$B$2:$B$301,0))=0,"",INDEX('Per Invoice'!$A$2:$A$301,MATCH($E891,'Per Invoice'!$B$2:$B$301,0))),""))</f>
        <v/>
      </c>
      <c r="H891" s="11" t="n"/>
      <c r="R891" s="7">
        <f>IF($E891="","",Q891*Z891/100)</f>
        <v/>
      </c>
      <c r="S891" s="7" t="n"/>
      <c r="Y891" s="7" t="n"/>
      <c r="Z891" s="7" t="n"/>
      <c r="AA891" s="7">
        <f>IF($E891="","",Z891*AF891/100)</f>
        <v/>
      </c>
      <c r="AB891" s="7">
        <f>IF($E891="","",Z891-AA891)</f>
        <v/>
      </c>
      <c r="AC891" s="7">
        <f>IF($E891="","",AB891-R891)</f>
        <v/>
      </c>
      <c r="AF891">
        <f>IF($E891="","",IF($AR891=1,0,IF($AQ891=1,Settings!$C$6,Settings!$C$7))*100)</f>
        <v/>
      </c>
      <c r="AJ891" s="7" t="n"/>
      <c r="AM891" s="11" t="n"/>
      <c r="AO891">
        <f>IF($E891="","",IF(COUNTIF($E$2:$E891,$E891)=1,1,0))</f>
        <v/>
      </c>
      <c r="AP891">
        <f>IF($AO891=1,SUMPRODUCT(--($AS$2:$AS$1001&lt;$AS891))+1,"")</f>
        <v/>
      </c>
      <c r="AQ891">
        <f>IF($E891="","",IF(OR($V891=TRUE(),$V891="TRUE"),1,0))</f>
        <v/>
      </c>
      <c r="AR891">
        <f>IF($E891="","",IF($AE891="Yes",1,0))</f>
        <v/>
      </c>
      <c r="AS891">
        <f>IF($AO891=1,IFERROR(IF(VALUE($E891)&lt;100000000,VALUE($E891),1000000000),IFERROR(IF(VALUE(MID($E891,2,20))&lt;100000000,VALUE(MID($E891,2,20)),1000000000),1000000000))+ROW()/100000,"")</f>
        <v/>
      </c>
    </row>
    <row r="892">
      <c r="D892">
        <f>IF($E892="","",IFERROR(IF(INDEX('Per Invoice'!$A$2:$A$301,MATCH($E892,'Per Invoice'!$B$2:$B$301,0))=0,"",INDEX('Per Invoice'!$A$2:$A$301,MATCH($E892,'Per Invoice'!$B$2:$B$301,0))),""))</f>
        <v/>
      </c>
      <c r="H892" s="11" t="n"/>
      <c r="R892" s="7">
        <f>IF($E892="","",Q892*Z892/100)</f>
        <v/>
      </c>
      <c r="S892" s="7" t="n"/>
      <c r="Y892" s="7" t="n"/>
      <c r="Z892" s="7" t="n"/>
      <c r="AA892" s="7">
        <f>IF($E892="","",Z892*AF892/100)</f>
        <v/>
      </c>
      <c r="AB892" s="7">
        <f>IF($E892="","",Z892-AA892)</f>
        <v/>
      </c>
      <c r="AC892" s="7">
        <f>IF($E892="","",AB892-R892)</f>
        <v/>
      </c>
      <c r="AF892">
        <f>IF($E892="","",IF($AR892=1,0,IF($AQ892=1,Settings!$C$6,Settings!$C$7))*100)</f>
        <v/>
      </c>
      <c r="AJ892" s="7" t="n"/>
      <c r="AM892" s="11" t="n"/>
      <c r="AO892">
        <f>IF($E892="","",IF(COUNTIF($E$2:$E892,$E892)=1,1,0))</f>
        <v/>
      </c>
      <c r="AP892">
        <f>IF($AO892=1,SUMPRODUCT(--($AS$2:$AS$1001&lt;$AS892))+1,"")</f>
        <v/>
      </c>
      <c r="AQ892">
        <f>IF($E892="","",IF(OR($V892=TRUE(),$V892="TRUE"),1,0))</f>
        <v/>
      </c>
      <c r="AR892">
        <f>IF($E892="","",IF($AE892="Yes",1,0))</f>
        <v/>
      </c>
      <c r="AS892">
        <f>IF($AO892=1,IFERROR(IF(VALUE($E892)&lt;100000000,VALUE($E892),1000000000),IFERROR(IF(VALUE(MID($E892,2,20))&lt;100000000,VALUE(MID($E892,2,20)),1000000000),1000000000))+ROW()/100000,"")</f>
        <v/>
      </c>
    </row>
    <row r="893">
      <c r="D893">
        <f>IF($E893="","",IFERROR(IF(INDEX('Per Invoice'!$A$2:$A$301,MATCH($E893,'Per Invoice'!$B$2:$B$301,0))=0,"",INDEX('Per Invoice'!$A$2:$A$301,MATCH($E893,'Per Invoice'!$B$2:$B$301,0))),""))</f>
        <v/>
      </c>
      <c r="H893" s="11" t="n"/>
      <c r="R893" s="7">
        <f>IF($E893="","",Q893*Z893/100)</f>
        <v/>
      </c>
      <c r="S893" s="7" t="n"/>
      <c r="Y893" s="7" t="n"/>
      <c r="Z893" s="7" t="n"/>
      <c r="AA893" s="7">
        <f>IF($E893="","",Z893*AF893/100)</f>
        <v/>
      </c>
      <c r="AB893" s="7">
        <f>IF($E893="","",Z893-AA893)</f>
        <v/>
      </c>
      <c r="AC893" s="7">
        <f>IF($E893="","",AB893-R893)</f>
        <v/>
      </c>
      <c r="AF893">
        <f>IF($E893="","",IF($AR893=1,0,IF($AQ893=1,Settings!$C$6,Settings!$C$7))*100)</f>
        <v/>
      </c>
      <c r="AJ893" s="7" t="n"/>
      <c r="AM893" s="11" t="n"/>
      <c r="AO893">
        <f>IF($E893="","",IF(COUNTIF($E$2:$E893,$E893)=1,1,0))</f>
        <v/>
      </c>
      <c r="AP893">
        <f>IF($AO893=1,SUMPRODUCT(--($AS$2:$AS$1001&lt;$AS893))+1,"")</f>
        <v/>
      </c>
      <c r="AQ893">
        <f>IF($E893="","",IF(OR($V893=TRUE(),$V893="TRUE"),1,0))</f>
        <v/>
      </c>
      <c r="AR893">
        <f>IF($E893="","",IF($AE893="Yes",1,0))</f>
        <v/>
      </c>
      <c r="AS893">
        <f>IF($AO893=1,IFERROR(IF(VALUE($E893)&lt;100000000,VALUE($E893),1000000000),IFERROR(IF(VALUE(MID($E893,2,20))&lt;100000000,VALUE(MID($E893,2,20)),1000000000),1000000000))+ROW()/100000,"")</f>
        <v/>
      </c>
    </row>
    <row r="894">
      <c r="D894">
        <f>IF($E894="","",IFERROR(IF(INDEX('Per Invoice'!$A$2:$A$301,MATCH($E894,'Per Invoice'!$B$2:$B$301,0))=0,"",INDEX('Per Invoice'!$A$2:$A$301,MATCH($E894,'Per Invoice'!$B$2:$B$301,0))),""))</f>
        <v/>
      </c>
      <c r="H894" s="11" t="n"/>
      <c r="R894" s="7">
        <f>IF($E894="","",Q894*Z894/100)</f>
        <v/>
      </c>
      <c r="S894" s="7" t="n"/>
      <c r="Y894" s="7" t="n"/>
      <c r="Z894" s="7" t="n"/>
      <c r="AA894" s="7">
        <f>IF($E894="","",Z894*AF894/100)</f>
        <v/>
      </c>
      <c r="AB894" s="7">
        <f>IF($E894="","",Z894-AA894)</f>
        <v/>
      </c>
      <c r="AC894" s="7">
        <f>IF($E894="","",AB894-R894)</f>
        <v/>
      </c>
      <c r="AF894">
        <f>IF($E894="","",IF($AR894=1,0,IF($AQ894=1,Settings!$C$6,Settings!$C$7))*100)</f>
        <v/>
      </c>
      <c r="AJ894" s="7" t="n"/>
      <c r="AM894" s="11" t="n"/>
      <c r="AO894">
        <f>IF($E894="","",IF(COUNTIF($E$2:$E894,$E894)=1,1,0))</f>
        <v/>
      </c>
      <c r="AP894">
        <f>IF($AO894=1,SUMPRODUCT(--($AS$2:$AS$1001&lt;$AS894))+1,"")</f>
        <v/>
      </c>
      <c r="AQ894">
        <f>IF($E894="","",IF(OR($V894=TRUE(),$V894="TRUE"),1,0))</f>
        <v/>
      </c>
      <c r="AR894">
        <f>IF($E894="","",IF($AE894="Yes",1,0))</f>
        <v/>
      </c>
      <c r="AS894">
        <f>IF($AO894=1,IFERROR(IF(VALUE($E894)&lt;100000000,VALUE($E894),1000000000),IFERROR(IF(VALUE(MID($E894,2,20))&lt;100000000,VALUE(MID($E894,2,20)),1000000000),1000000000))+ROW()/100000,"")</f>
        <v/>
      </c>
    </row>
    <row r="895">
      <c r="D895">
        <f>IF($E895="","",IFERROR(IF(INDEX('Per Invoice'!$A$2:$A$301,MATCH($E895,'Per Invoice'!$B$2:$B$301,0))=0,"",INDEX('Per Invoice'!$A$2:$A$301,MATCH($E895,'Per Invoice'!$B$2:$B$301,0))),""))</f>
        <v/>
      </c>
      <c r="H895" s="11" t="n"/>
      <c r="R895" s="7">
        <f>IF($E895="","",Q895*Z895/100)</f>
        <v/>
      </c>
      <c r="S895" s="7" t="n"/>
      <c r="Y895" s="7" t="n"/>
      <c r="Z895" s="7" t="n"/>
      <c r="AA895" s="7">
        <f>IF($E895="","",Z895*AF895/100)</f>
        <v/>
      </c>
      <c r="AB895" s="7">
        <f>IF($E895="","",Z895-AA895)</f>
        <v/>
      </c>
      <c r="AC895" s="7">
        <f>IF($E895="","",AB895-R895)</f>
        <v/>
      </c>
      <c r="AF895">
        <f>IF($E895="","",IF($AR895=1,0,IF($AQ895=1,Settings!$C$6,Settings!$C$7))*100)</f>
        <v/>
      </c>
      <c r="AJ895" s="7" t="n"/>
      <c r="AM895" s="11" t="n"/>
      <c r="AO895">
        <f>IF($E895="","",IF(COUNTIF($E$2:$E895,$E895)=1,1,0))</f>
        <v/>
      </c>
      <c r="AP895">
        <f>IF($AO895=1,SUMPRODUCT(--($AS$2:$AS$1001&lt;$AS895))+1,"")</f>
        <v/>
      </c>
      <c r="AQ895">
        <f>IF($E895="","",IF(OR($V895=TRUE(),$V895="TRUE"),1,0))</f>
        <v/>
      </c>
      <c r="AR895">
        <f>IF($E895="","",IF($AE895="Yes",1,0))</f>
        <v/>
      </c>
      <c r="AS895">
        <f>IF($AO895=1,IFERROR(IF(VALUE($E895)&lt;100000000,VALUE($E895),1000000000),IFERROR(IF(VALUE(MID($E895,2,20))&lt;100000000,VALUE(MID($E895,2,20)),1000000000),1000000000))+ROW()/100000,"")</f>
        <v/>
      </c>
    </row>
    <row r="896">
      <c r="D896">
        <f>IF($E896="","",IFERROR(IF(INDEX('Per Invoice'!$A$2:$A$301,MATCH($E896,'Per Invoice'!$B$2:$B$301,0))=0,"",INDEX('Per Invoice'!$A$2:$A$301,MATCH($E896,'Per Invoice'!$B$2:$B$301,0))),""))</f>
        <v/>
      </c>
      <c r="H896" s="11" t="n"/>
      <c r="R896" s="7">
        <f>IF($E896="","",Q896*Z896/100)</f>
        <v/>
      </c>
      <c r="S896" s="7" t="n"/>
      <c r="Y896" s="7" t="n"/>
      <c r="Z896" s="7" t="n"/>
      <c r="AA896" s="7">
        <f>IF($E896="","",Z896*AF896/100)</f>
        <v/>
      </c>
      <c r="AB896" s="7">
        <f>IF($E896="","",Z896-AA896)</f>
        <v/>
      </c>
      <c r="AC896" s="7">
        <f>IF($E896="","",AB896-R896)</f>
        <v/>
      </c>
      <c r="AF896">
        <f>IF($E896="","",IF($AR896=1,0,IF($AQ896=1,Settings!$C$6,Settings!$C$7))*100)</f>
        <v/>
      </c>
      <c r="AJ896" s="7" t="n"/>
      <c r="AM896" s="11" t="n"/>
      <c r="AO896">
        <f>IF($E896="","",IF(COUNTIF($E$2:$E896,$E896)=1,1,0))</f>
        <v/>
      </c>
      <c r="AP896">
        <f>IF($AO896=1,SUMPRODUCT(--($AS$2:$AS$1001&lt;$AS896))+1,"")</f>
        <v/>
      </c>
      <c r="AQ896">
        <f>IF($E896="","",IF(OR($V896=TRUE(),$V896="TRUE"),1,0))</f>
        <v/>
      </c>
      <c r="AR896">
        <f>IF($E896="","",IF($AE896="Yes",1,0))</f>
        <v/>
      </c>
      <c r="AS896">
        <f>IF($AO896=1,IFERROR(IF(VALUE($E896)&lt;100000000,VALUE($E896),1000000000),IFERROR(IF(VALUE(MID($E896,2,20))&lt;100000000,VALUE(MID($E896,2,20)),1000000000),1000000000))+ROW()/100000,"")</f>
        <v/>
      </c>
    </row>
    <row r="897">
      <c r="D897">
        <f>IF($E897="","",IFERROR(IF(INDEX('Per Invoice'!$A$2:$A$301,MATCH($E897,'Per Invoice'!$B$2:$B$301,0))=0,"",INDEX('Per Invoice'!$A$2:$A$301,MATCH($E897,'Per Invoice'!$B$2:$B$301,0))),""))</f>
        <v/>
      </c>
      <c r="H897" s="11" t="n"/>
      <c r="R897" s="7">
        <f>IF($E897="","",Q897*Z897/100)</f>
        <v/>
      </c>
      <c r="S897" s="7" t="n"/>
      <c r="Y897" s="7" t="n"/>
      <c r="Z897" s="7" t="n"/>
      <c r="AA897" s="7">
        <f>IF($E897="","",Z897*AF897/100)</f>
        <v/>
      </c>
      <c r="AB897" s="7">
        <f>IF($E897="","",Z897-AA897)</f>
        <v/>
      </c>
      <c r="AC897" s="7">
        <f>IF($E897="","",AB897-R897)</f>
        <v/>
      </c>
      <c r="AF897">
        <f>IF($E897="","",IF($AR897=1,0,IF($AQ897=1,Settings!$C$6,Settings!$C$7))*100)</f>
        <v/>
      </c>
      <c r="AJ897" s="7" t="n"/>
      <c r="AM897" s="11" t="n"/>
      <c r="AO897">
        <f>IF($E897="","",IF(COUNTIF($E$2:$E897,$E897)=1,1,0))</f>
        <v/>
      </c>
      <c r="AP897">
        <f>IF($AO897=1,SUMPRODUCT(--($AS$2:$AS$1001&lt;$AS897))+1,"")</f>
        <v/>
      </c>
      <c r="AQ897">
        <f>IF($E897="","",IF(OR($V897=TRUE(),$V897="TRUE"),1,0))</f>
        <v/>
      </c>
      <c r="AR897">
        <f>IF($E897="","",IF($AE897="Yes",1,0))</f>
        <v/>
      </c>
      <c r="AS897">
        <f>IF($AO897=1,IFERROR(IF(VALUE($E897)&lt;100000000,VALUE($E897),1000000000),IFERROR(IF(VALUE(MID($E897,2,20))&lt;100000000,VALUE(MID($E897,2,20)),1000000000),1000000000))+ROW()/100000,"")</f>
        <v/>
      </c>
    </row>
    <row r="898">
      <c r="D898">
        <f>IF($E898="","",IFERROR(IF(INDEX('Per Invoice'!$A$2:$A$301,MATCH($E898,'Per Invoice'!$B$2:$B$301,0))=0,"",INDEX('Per Invoice'!$A$2:$A$301,MATCH($E898,'Per Invoice'!$B$2:$B$301,0))),""))</f>
        <v/>
      </c>
      <c r="H898" s="11" t="n"/>
      <c r="R898" s="7">
        <f>IF($E898="","",Q898*Z898/100)</f>
        <v/>
      </c>
      <c r="S898" s="7" t="n"/>
      <c r="Y898" s="7" t="n"/>
      <c r="Z898" s="7" t="n"/>
      <c r="AA898" s="7">
        <f>IF($E898="","",Z898*AF898/100)</f>
        <v/>
      </c>
      <c r="AB898" s="7">
        <f>IF($E898="","",Z898-AA898)</f>
        <v/>
      </c>
      <c r="AC898" s="7">
        <f>IF($E898="","",AB898-R898)</f>
        <v/>
      </c>
      <c r="AF898">
        <f>IF($E898="","",IF($AR898=1,0,IF($AQ898=1,Settings!$C$6,Settings!$C$7))*100)</f>
        <v/>
      </c>
      <c r="AJ898" s="7" t="n"/>
      <c r="AM898" s="11" t="n"/>
      <c r="AO898">
        <f>IF($E898="","",IF(COUNTIF($E$2:$E898,$E898)=1,1,0))</f>
        <v/>
      </c>
      <c r="AP898">
        <f>IF($AO898=1,SUMPRODUCT(--($AS$2:$AS$1001&lt;$AS898))+1,"")</f>
        <v/>
      </c>
      <c r="AQ898">
        <f>IF($E898="","",IF(OR($V898=TRUE(),$V898="TRUE"),1,0))</f>
        <v/>
      </c>
      <c r="AR898">
        <f>IF($E898="","",IF($AE898="Yes",1,0))</f>
        <v/>
      </c>
      <c r="AS898">
        <f>IF($AO898=1,IFERROR(IF(VALUE($E898)&lt;100000000,VALUE($E898),1000000000),IFERROR(IF(VALUE(MID($E898,2,20))&lt;100000000,VALUE(MID($E898,2,20)),1000000000),1000000000))+ROW()/100000,"")</f>
        <v/>
      </c>
    </row>
    <row r="899">
      <c r="D899">
        <f>IF($E899="","",IFERROR(IF(INDEX('Per Invoice'!$A$2:$A$301,MATCH($E899,'Per Invoice'!$B$2:$B$301,0))=0,"",INDEX('Per Invoice'!$A$2:$A$301,MATCH($E899,'Per Invoice'!$B$2:$B$301,0))),""))</f>
        <v/>
      </c>
      <c r="H899" s="11" t="n"/>
      <c r="R899" s="7">
        <f>IF($E899="","",Q899*Z899/100)</f>
        <v/>
      </c>
      <c r="S899" s="7" t="n"/>
      <c r="Y899" s="7" t="n"/>
      <c r="Z899" s="7" t="n"/>
      <c r="AA899" s="7">
        <f>IF($E899="","",Z899*AF899/100)</f>
        <v/>
      </c>
      <c r="AB899" s="7">
        <f>IF($E899="","",Z899-AA899)</f>
        <v/>
      </c>
      <c r="AC899" s="7">
        <f>IF($E899="","",AB899-R899)</f>
        <v/>
      </c>
      <c r="AF899">
        <f>IF($E899="","",IF($AR899=1,0,IF($AQ899=1,Settings!$C$6,Settings!$C$7))*100)</f>
        <v/>
      </c>
      <c r="AJ899" s="7" t="n"/>
      <c r="AM899" s="11" t="n"/>
      <c r="AO899">
        <f>IF($E899="","",IF(COUNTIF($E$2:$E899,$E899)=1,1,0))</f>
        <v/>
      </c>
      <c r="AP899">
        <f>IF($AO899=1,SUMPRODUCT(--($AS$2:$AS$1001&lt;$AS899))+1,"")</f>
        <v/>
      </c>
      <c r="AQ899">
        <f>IF($E899="","",IF(OR($V899=TRUE(),$V899="TRUE"),1,0))</f>
        <v/>
      </c>
      <c r="AR899">
        <f>IF($E899="","",IF($AE899="Yes",1,0))</f>
        <v/>
      </c>
      <c r="AS899">
        <f>IF($AO899=1,IFERROR(IF(VALUE($E899)&lt;100000000,VALUE($E899),1000000000),IFERROR(IF(VALUE(MID($E899,2,20))&lt;100000000,VALUE(MID($E899,2,20)),1000000000),1000000000))+ROW()/100000,"")</f>
        <v/>
      </c>
    </row>
    <row r="900">
      <c r="D900">
        <f>IF($E900="","",IFERROR(IF(INDEX('Per Invoice'!$A$2:$A$301,MATCH($E900,'Per Invoice'!$B$2:$B$301,0))=0,"",INDEX('Per Invoice'!$A$2:$A$301,MATCH($E900,'Per Invoice'!$B$2:$B$301,0))),""))</f>
        <v/>
      </c>
      <c r="H900" s="11" t="n"/>
      <c r="R900" s="7">
        <f>IF($E900="","",Q900*Z900/100)</f>
        <v/>
      </c>
      <c r="S900" s="7" t="n"/>
      <c r="Y900" s="7" t="n"/>
      <c r="Z900" s="7" t="n"/>
      <c r="AA900" s="7">
        <f>IF($E900="","",Z900*AF900/100)</f>
        <v/>
      </c>
      <c r="AB900" s="7">
        <f>IF($E900="","",Z900-AA900)</f>
        <v/>
      </c>
      <c r="AC900" s="7">
        <f>IF($E900="","",AB900-R900)</f>
        <v/>
      </c>
      <c r="AF900">
        <f>IF($E900="","",IF($AR900=1,0,IF($AQ900=1,Settings!$C$6,Settings!$C$7))*100)</f>
        <v/>
      </c>
      <c r="AJ900" s="7" t="n"/>
      <c r="AM900" s="11" t="n"/>
      <c r="AO900">
        <f>IF($E900="","",IF(COUNTIF($E$2:$E900,$E900)=1,1,0))</f>
        <v/>
      </c>
      <c r="AP900">
        <f>IF($AO900=1,SUMPRODUCT(--($AS$2:$AS$1001&lt;$AS900))+1,"")</f>
        <v/>
      </c>
      <c r="AQ900">
        <f>IF($E900="","",IF(OR($V900=TRUE(),$V900="TRUE"),1,0))</f>
        <v/>
      </c>
      <c r="AR900">
        <f>IF($E900="","",IF($AE900="Yes",1,0))</f>
        <v/>
      </c>
      <c r="AS900">
        <f>IF($AO900=1,IFERROR(IF(VALUE($E900)&lt;100000000,VALUE($E900),1000000000),IFERROR(IF(VALUE(MID($E900,2,20))&lt;100000000,VALUE(MID($E900,2,20)),1000000000),1000000000))+ROW()/100000,"")</f>
        <v/>
      </c>
    </row>
    <row r="901">
      <c r="D901">
        <f>IF($E901="","",IFERROR(IF(INDEX('Per Invoice'!$A$2:$A$301,MATCH($E901,'Per Invoice'!$B$2:$B$301,0))=0,"",INDEX('Per Invoice'!$A$2:$A$301,MATCH($E901,'Per Invoice'!$B$2:$B$301,0))),""))</f>
        <v/>
      </c>
      <c r="H901" s="11" t="n"/>
      <c r="R901" s="7">
        <f>IF($E901="","",Q901*Z901/100)</f>
        <v/>
      </c>
      <c r="S901" s="7" t="n"/>
      <c r="Y901" s="7" t="n"/>
      <c r="Z901" s="7" t="n"/>
      <c r="AA901" s="7">
        <f>IF($E901="","",Z901*AF901/100)</f>
        <v/>
      </c>
      <c r="AB901" s="7">
        <f>IF($E901="","",Z901-AA901)</f>
        <v/>
      </c>
      <c r="AC901" s="7">
        <f>IF($E901="","",AB901-R901)</f>
        <v/>
      </c>
      <c r="AF901">
        <f>IF($E901="","",IF($AR901=1,0,IF($AQ901=1,Settings!$C$6,Settings!$C$7))*100)</f>
        <v/>
      </c>
      <c r="AJ901" s="7" t="n"/>
      <c r="AM901" s="11" t="n"/>
      <c r="AO901">
        <f>IF($E901="","",IF(COUNTIF($E$2:$E901,$E901)=1,1,0))</f>
        <v/>
      </c>
      <c r="AP901">
        <f>IF($AO901=1,SUMPRODUCT(--($AS$2:$AS$1001&lt;$AS901))+1,"")</f>
        <v/>
      </c>
      <c r="AQ901">
        <f>IF($E901="","",IF(OR($V901=TRUE(),$V901="TRUE"),1,0))</f>
        <v/>
      </c>
      <c r="AR901">
        <f>IF($E901="","",IF($AE901="Yes",1,0))</f>
        <v/>
      </c>
      <c r="AS901">
        <f>IF($AO901=1,IFERROR(IF(VALUE($E901)&lt;100000000,VALUE($E901),1000000000),IFERROR(IF(VALUE(MID($E901,2,20))&lt;100000000,VALUE(MID($E901,2,20)),1000000000),1000000000))+ROW()/100000,"")</f>
        <v/>
      </c>
    </row>
    <row r="902">
      <c r="D902">
        <f>IF($E902="","",IFERROR(IF(INDEX('Per Invoice'!$A$2:$A$301,MATCH($E902,'Per Invoice'!$B$2:$B$301,0))=0,"",INDEX('Per Invoice'!$A$2:$A$301,MATCH($E902,'Per Invoice'!$B$2:$B$301,0))),""))</f>
        <v/>
      </c>
      <c r="H902" s="11" t="n"/>
      <c r="R902" s="7">
        <f>IF($E902="","",Q902*Z902/100)</f>
        <v/>
      </c>
      <c r="S902" s="7" t="n"/>
      <c r="Y902" s="7" t="n"/>
      <c r="Z902" s="7" t="n"/>
      <c r="AA902" s="7">
        <f>IF($E902="","",Z902*AF902/100)</f>
        <v/>
      </c>
      <c r="AB902" s="7">
        <f>IF($E902="","",Z902-AA902)</f>
        <v/>
      </c>
      <c r="AC902" s="7">
        <f>IF($E902="","",AB902-R902)</f>
        <v/>
      </c>
      <c r="AF902">
        <f>IF($E902="","",IF($AR902=1,0,IF($AQ902=1,Settings!$C$6,Settings!$C$7))*100)</f>
        <v/>
      </c>
      <c r="AJ902" s="7" t="n"/>
      <c r="AM902" s="11" t="n"/>
      <c r="AO902">
        <f>IF($E902="","",IF(COUNTIF($E$2:$E902,$E902)=1,1,0))</f>
        <v/>
      </c>
      <c r="AP902">
        <f>IF($AO902=1,SUMPRODUCT(--($AS$2:$AS$1001&lt;$AS902))+1,"")</f>
        <v/>
      </c>
      <c r="AQ902">
        <f>IF($E902="","",IF(OR($V902=TRUE(),$V902="TRUE"),1,0))</f>
        <v/>
      </c>
      <c r="AR902">
        <f>IF($E902="","",IF($AE902="Yes",1,0))</f>
        <v/>
      </c>
      <c r="AS902">
        <f>IF($AO902=1,IFERROR(IF(VALUE($E902)&lt;100000000,VALUE($E902),1000000000),IFERROR(IF(VALUE(MID($E902,2,20))&lt;100000000,VALUE(MID($E902,2,20)),1000000000),1000000000))+ROW()/100000,"")</f>
        <v/>
      </c>
    </row>
    <row r="903">
      <c r="D903">
        <f>IF($E903="","",IFERROR(IF(INDEX('Per Invoice'!$A$2:$A$301,MATCH($E903,'Per Invoice'!$B$2:$B$301,0))=0,"",INDEX('Per Invoice'!$A$2:$A$301,MATCH($E903,'Per Invoice'!$B$2:$B$301,0))),""))</f>
        <v/>
      </c>
      <c r="H903" s="11" t="n"/>
      <c r="R903" s="7">
        <f>IF($E903="","",Q903*Z903/100)</f>
        <v/>
      </c>
      <c r="S903" s="7" t="n"/>
      <c r="Y903" s="7" t="n"/>
      <c r="Z903" s="7" t="n"/>
      <c r="AA903" s="7">
        <f>IF($E903="","",Z903*AF903/100)</f>
        <v/>
      </c>
      <c r="AB903" s="7">
        <f>IF($E903="","",Z903-AA903)</f>
        <v/>
      </c>
      <c r="AC903" s="7">
        <f>IF($E903="","",AB903-R903)</f>
        <v/>
      </c>
      <c r="AF903">
        <f>IF($E903="","",IF($AR903=1,0,IF($AQ903=1,Settings!$C$6,Settings!$C$7))*100)</f>
        <v/>
      </c>
      <c r="AJ903" s="7" t="n"/>
      <c r="AM903" s="11" t="n"/>
      <c r="AO903">
        <f>IF($E903="","",IF(COUNTIF($E$2:$E903,$E903)=1,1,0))</f>
        <v/>
      </c>
      <c r="AP903">
        <f>IF($AO903=1,SUMPRODUCT(--($AS$2:$AS$1001&lt;$AS903))+1,"")</f>
        <v/>
      </c>
      <c r="AQ903">
        <f>IF($E903="","",IF(OR($V903=TRUE(),$V903="TRUE"),1,0))</f>
        <v/>
      </c>
      <c r="AR903">
        <f>IF($E903="","",IF($AE903="Yes",1,0))</f>
        <v/>
      </c>
      <c r="AS903">
        <f>IF($AO903=1,IFERROR(IF(VALUE($E903)&lt;100000000,VALUE($E903),1000000000),IFERROR(IF(VALUE(MID($E903,2,20))&lt;100000000,VALUE(MID($E903,2,20)),1000000000),1000000000))+ROW()/100000,"")</f>
        <v/>
      </c>
    </row>
    <row r="904">
      <c r="D904">
        <f>IF($E904="","",IFERROR(IF(INDEX('Per Invoice'!$A$2:$A$301,MATCH($E904,'Per Invoice'!$B$2:$B$301,0))=0,"",INDEX('Per Invoice'!$A$2:$A$301,MATCH($E904,'Per Invoice'!$B$2:$B$301,0))),""))</f>
        <v/>
      </c>
      <c r="H904" s="11" t="n"/>
      <c r="R904" s="7">
        <f>IF($E904="","",Q904*Z904/100)</f>
        <v/>
      </c>
      <c r="S904" s="7" t="n"/>
      <c r="Y904" s="7" t="n"/>
      <c r="Z904" s="7" t="n"/>
      <c r="AA904" s="7">
        <f>IF($E904="","",Z904*AF904/100)</f>
        <v/>
      </c>
      <c r="AB904" s="7">
        <f>IF($E904="","",Z904-AA904)</f>
        <v/>
      </c>
      <c r="AC904" s="7">
        <f>IF($E904="","",AB904-R904)</f>
        <v/>
      </c>
      <c r="AF904">
        <f>IF($E904="","",IF($AR904=1,0,IF($AQ904=1,Settings!$C$6,Settings!$C$7))*100)</f>
        <v/>
      </c>
      <c r="AJ904" s="7" t="n"/>
      <c r="AM904" s="11" t="n"/>
      <c r="AO904">
        <f>IF($E904="","",IF(COUNTIF($E$2:$E904,$E904)=1,1,0))</f>
        <v/>
      </c>
      <c r="AP904">
        <f>IF($AO904=1,SUMPRODUCT(--($AS$2:$AS$1001&lt;$AS904))+1,"")</f>
        <v/>
      </c>
      <c r="AQ904">
        <f>IF($E904="","",IF(OR($V904=TRUE(),$V904="TRUE"),1,0))</f>
        <v/>
      </c>
      <c r="AR904">
        <f>IF($E904="","",IF($AE904="Yes",1,0))</f>
        <v/>
      </c>
      <c r="AS904">
        <f>IF($AO904=1,IFERROR(IF(VALUE($E904)&lt;100000000,VALUE($E904),1000000000),IFERROR(IF(VALUE(MID($E904,2,20))&lt;100000000,VALUE(MID($E904,2,20)),1000000000),1000000000))+ROW()/100000,"")</f>
        <v/>
      </c>
    </row>
    <row r="905">
      <c r="D905">
        <f>IF($E905="","",IFERROR(IF(INDEX('Per Invoice'!$A$2:$A$301,MATCH($E905,'Per Invoice'!$B$2:$B$301,0))=0,"",INDEX('Per Invoice'!$A$2:$A$301,MATCH($E905,'Per Invoice'!$B$2:$B$301,0))),""))</f>
        <v/>
      </c>
      <c r="H905" s="11" t="n"/>
      <c r="R905" s="7">
        <f>IF($E905="","",Q905*Z905/100)</f>
        <v/>
      </c>
      <c r="S905" s="7" t="n"/>
      <c r="Y905" s="7" t="n"/>
      <c r="Z905" s="7" t="n"/>
      <c r="AA905" s="7">
        <f>IF($E905="","",Z905*AF905/100)</f>
        <v/>
      </c>
      <c r="AB905" s="7">
        <f>IF($E905="","",Z905-AA905)</f>
        <v/>
      </c>
      <c r="AC905" s="7">
        <f>IF($E905="","",AB905-R905)</f>
        <v/>
      </c>
      <c r="AF905">
        <f>IF($E905="","",IF($AR905=1,0,IF($AQ905=1,Settings!$C$6,Settings!$C$7))*100)</f>
        <v/>
      </c>
      <c r="AJ905" s="7" t="n"/>
      <c r="AM905" s="11" t="n"/>
      <c r="AO905">
        <f>IF($E905="","",IF(COUNTIF($E$2:$E905,$E905)=1,1,0))</f>
        <v/>
      </c>
      <c r="AP905">
        <f>IF($AO905=1,SUMPRODUCT(--($AS$2:$AS$1001&lt;$AS905))+1,"")</f>
        <v/>
      </c>
      <c r="AQ905">
        <f>IF($E905="","",IF(OR($V905=TRUE(),$V905="TRUE"),1,0))</f>
        <v/>
      </c>
      <c r="AR905">
        <f>IF($E905="","",IF($AE905="Yes",1,0))</f>
        <v/>
      </c>
      <c r="AS905">
        <f>IF($AO905=1,IFERROR(IF(VALUE($E905)&lt;100000000,VALUE($E905),1000000000),IFERROR(IF(VALUE(MID($E905,2,20))&lt;100000000,VALUE(MID($E905,2,20)),1000000000),1000000000))+ROW()/100000,"")</f>
        <v/>
      </c>
    </row>
    <row r="906">
      <c r="D906">
        <f>IF($E906="","",IFERROR(IF(INDEX('Per Invoice'!$A$2:$A$301,MATCH($E906,'Per Invoice'!$B$2:$B$301,0))=0,"",INDEX('Per Invoice'!$A$2:$A$301,MATCH($E906,'Per Invoice'!$B$2:$B$301,0))),""))</f>
        <v/>
      </c>
      <c r="H906" s="11" t="n"/>
      <c r="R906" s="7">
        <f>IF($E906="","",Q906*Z906/100)</f>
        <v/>
      </c>
      <c r="S906" s="7" t="n"/>
      <c r="Y906" s="7" t="n"/>
      <c r="Z906" s="7" t="n"/>
      <c r="AA906" s="7">
        <f>IF($E906="","",Z906*AF906/100)</f>
        <v/>
      </c>
      <c r="AB906" s="7">
        <f>IF($E906="","",Z906-AA906)</f>
        <v/>
      </c>
      <c r="AC906" s="7">
        <f>IF($E906="","",AB906-R906)</f>
        <v/>
      </c>
      <c r="AF906">
        <f>IF($E906="","",IF($AR906=1,0,IF($AQ906=1,Settings!$C$6,Settings!$C$7))*100)</f>
        <v/>
      </c>
      <c r="AJ906" s="7" t="n"/>
      <c r="AM906" s="11" t="n"/>
      <c r="AO906">
        <f>IF($E906="","",IF(COUNTIF($E$2:$E906,$E906)=1,1,0))</f>
        <v/>
      </c>
      <c r="AP906">
        <f>IF($AO906=1,SUMPRODUCT(--($AS$2:$AS$1001&lt;$AS906))+1,"")</f>
        <v/>
      </c>
      <c r="AQ906">
        <f>IF($E906="","",IF(OR($V906=TRUE(),$V906="TRUE"),1,0))</f>
        <v/>
      </c>
      <c r="AR906">
        <f>IF($E906="","",IF($AE906="Yes",1,0))</f>
        <v/>
      </c>
      <c r="AS906">
        <f>IF($AO906=1,IFERROR(IF(VALUE($E906)&lt;100000000,VALUE($E906),1000000000),IFERROR(IF(VALUE(MID($E906,2,20))&lt;100000000,VALUE(MID($E906,2,20)),1000000000),1000000000))+ROW()/100000,"")</f>
        <v/>
      </c>
    </row>
    <row r="907">
      <c r="D907">
        <f>IF($E907="","",IFERROR(IF(INDEX('Per Invoice'!$A$2:$A$301,MATCH($E907,'Per Invoice'!$B$2:$B$301,0))=0,"",INDEX('Per Invoice'!$A$2:$A$301,MATCH($E907,'Per Invoice'!$B$2:$B$301,0))),""))</f>
        <v/>
      </c>
      <c r="H907" s="11" t="n"/>
      <c r="R907" s="7">
        <f>IF($E907="","",Q907*Z907/100)</f>
        <v/>
      </c>
      <c r="S907" s="7" t="n"/>
      <c r="Y907" s="7" t="n"/>
      <c r="Z907" s="7" t="n"/>
      <c r="AA907" s="7">
        <f>IF($E907="","",Z907*AF907/100)</f>
        <v/>
      </c>
      <c r="AB907" s="7">
        <f>IF($E907="","",Z907-AA907)</f>
        <v/>
      </c>
      <c r="AC907" s="7">
        <f>IF($E907="","",AB907-R907)</f>
        <v/>
      </c>
      <c r="AF907">
        <f>IF($E907="","",IF($AR907=1,0,IF($AQ907=1,Settings!$C$6,Settings!$C$7))*100)</f>
        <v/>
      </c>
      <c r="AJ907" s="7" t="n"/>
      <c r="AM907" s="11" t="n"/>
      <c r="AO907">
        <f>IF($E907="","",IF(COUNTIF($E$2:$E907,$E907)=1,1,0))</f>
        <v/>
      </c>
      <c r="AP907">
        <f>IF($AO907=1,SUMPRODUCT(--($AS$2:$AS$1001&lt;$AS907))+1,"")</f>
        <v/>
      </c>
      <c r="AQ907">
        <f>IF($E907="","",IF(OR($V907=TRUE(),$V907="TRUE"),1,0))</f>
        <v/>
      </c>
      <c r="AR907">
        <f>IF($E907="","",IF($AE907="Yes",1,0))</f>
        <v/>
      </c>
      <c r="AS907">
        <f>IF($AO907=1,IFERROR(IF(VALUE($E907)&lt;100000000,VALUE($E907),1000000000),IFERROR(IF(VALUE(MID($E907,2,20))&lt;100000000,VALUE(MID($E907,2,20)),1000000000),1000000000))+ROW()/100000,"")</f>
        <v/>
      </c>
    </row>
    <row r="908">
      <c r="D908">
        <f>IF($E908="","",IFERROR(IF(INDEX('Per Invoice'!$A$2:$A$301,MATCH($E908,'Per Invoice'!$B$2:$B$301,0))=0,"",INDEX('Per Invoice'!$A$2:$A$301,MATCH($E908,'Per Invoice'!$B$2:$B$301,0))),""))</f>
        <v/>
      </c>
      <c r="H908" s="11" t="n"/>
      <c r="R908" s="7">
        <f>IF($E908="","",Q908*Z908/100)</f>
        <v/>
      </c>
      <c r="S908" s="7" t="n"/>
      <c r="Y908" s="7" t="n"/>
      <c r="Z908" s="7" t="n"/>
      <c r="AA908" s="7">
        <f>IF($E908="","",Z908*AF908/100)</f>
        <v/>
      </c>
      <c r="AB908" s="7">
        <f>IF($E908="","",Z908-AA908)</f>
        <v/>
      </c>
      <c r="AC908" s="7">
        <f>IF($E908="","",AB908-R908)</f>
        <v/>
      </c>
      <c r="AF908">
        <f>IF($E908="","",IF($AR908=1,0,IF($AQ908=1,Settings!$C$6,Settings!$C$7))*100)</f>
        <v/>
      </c>
      <c r="AJ908" s="7" t="n"/>
      <c r="AM908" s="11" t="n"/>
      <c r="AO908">
        <f>IF($E908="","",IF(COUNTIF($E$2:$E908,$E908)=1,1,0))</f>
        <v/>
      </c>
      <c r="AP908">
        <f>IF($AO908=1,SUMPRODUCT(--($AS$2:$AS$1001&lt;$AS908))+1,"")</f>
        <v/>
      </c>
      <c r="AQ908">
        <f>IF($E908="","",IF(OR($V908=TRUE(),$V908="TRUE"),1,0))</f>
        <v/>
      </c>
      <c r="AR908">
        <f>IF($E908="","",IF($AE908="Yes",1,0))</f>
        <v/>
      </c>
      <c r="AS908">
        <f>IF($AO908=1,IFERROR(IF(VALUE($E908)&lt;100000000,VALUE($E908),1000000000),IFERROR(IF(VALUE(MID($E908,2,20))&lt;100000000,VALUE(MID($E908,2,20)),1000000000),1000000000))+ROW()/100000,"")</f>
        <v/>
      </c>
    </row>
    <row r="909">
      <c r="D909">
        <f>IF($E909="","",IFERROR(IF(INDEX('Per Invoice'!$A$2:$A$301,MATCH($E909,'Per Invoice'!$B$2:$B$301,0))=0,"",INDEX('Per Invoice'!$A$2:$A$301,MATCH($E909,'Per Invoice'!$B$2:$B$301,0))),""))</f>
        <v/>
      </c>
      <c r="H909" s="11" t="n"/>
      <c r="R909" s="7">
        <f>IF($E909="","",Q909*Z909/100)</f>
        <v/>
      </c>
      <c r="S909" s="7" t="n"/>
      <c r="Y909" s="7" t="n"/>
      <c r="Z909" s="7" t="n"/>
      <c r="AA909" s="7">
        <f>IF($E909="","",Z909*AF909/100)</f>
        <v/>
      </c>
      <c r="AB909" s="7">
        <f>IF($E909="","",Z909-AA909)</f>
        <v/>
      </c>
      <c r="AC909" s="7">
        <f>IF($E909="","",AB909-R909)</f>
        <v/>
      </c>
      <c r="AF909">
        <f>IF($E909="","",IF($AR909=1,0,IF($AQ909=1,Settings!$C$6,Settings!$C$7))*100)</f>
        <v/>
      </c>
      <c r="AJ909" s="7" t="n"/>
      <c r="AM909" s="11" t="n"/>
      <c r="AO909">
        <f>IF($E909="","",IF(COUNTIF($E$2:$E909,$E909)=1,1,0))</f>
        <v/>
      </c>
      <c r="AP909">
        <f>IF($AO909=1,SUMPRODUCT(--($AS$2:$AS$1001&lt;$AS909))+1,"")</f>
        <v/>
      </c>
      <c r="AQ909">
        <f>IF($E909="","",IF(OR($V909=TRUE(),$V909="TRUE"),1,0))</f>
        <v/>
      </c>
      <c r="AR909">
        <f>IF($E909="","",IF($AE909="Yes",1,0))</f>
        <v/>
      </c>
      <c r="AS909">
        <f>IF($AO909=1,IFERROR(IF(VALUE($E909)&lt;100000000,VALUE($E909),1000000000),IFERROR(IF(VALUE(MID($E909,2,20))&lt;100000000,VALUE(MID($E909,2,20)),1000000000),1000000000))+ROW()/100000,"")</f>
        <v/>
      </c>
    </row>
    <row r="910">
      <c r="D910">
        <f>IF($E910="","",IFERROR(IF(INDEX('Per Invoice'!$A$2:$A$301,MATCH($E910,'Per Invoice'!$B$2:$B$301,0))=0,"",INDEX('Per Invoice'!$A$2:$A$301,MATCH($E910,'Per Invoice'!$B$2:$B$301,0))),""))</f>
        <v/>
      </c>
      <c r="H910" s="11" t="n"/>
      <c r="R910" s="7">
        <f>IF($E910="","",Q910*Z910/100)</f>
        <v/>
      </c>
      <c r="S910" s="7" t="n"/>
      <c r="Y910" s="7" t="n"/>
      <c r="Z910" s="7" t="n"/>
      <c r="AA910" s="7">
        <f>IF($E910="","",Z910*AF910/100)</f>
        <v/>
      </c>
      <c r="AB910" s="7">
        <f>IF($E910="","",Z910-AA910)</f>
        <v/>
      </c>
      <c r="AC910" s="7">
        <f>IF($E910="","",AB910-R910)</f>
        <v/>
      </c>
      <c r="AF910">
        <f>IF($E910="","",IF($AR910=1,0,IF($AQ910=1,Settings!$C$6,Settings!$C$7))*100)</f>
        <v/>
      </c>
      <c r="AJ910" s="7" t="n"/>
      <c r="AM910" s="11" t="n"/>
      <c r="AO910">
        <f>IF($E910="","",IF(COUNTIF($E$2:$E910,$E910)=1,1,0))</f>
        <v/>
      </c>
      <c r="AP910">
        <f>IF($AO910=1,SUMPRODUCT(--($AS$2:$AS$1001&lt;$AS910))+1,"")</f>
        <v/>
      </c>
      <c r="AQ910">
        <f>IF($E910="","",IF(OR($V910=TRUE(),$V910="TRUE"),1,0))</f>
        <v/>
      </c>
      <c r="AR910">
        <f>IF($E910="","",IF($AE910="Yes",1,0))</f>
        <v/>
      </c>
      <c r="AS910">
        <f>IF($AO910=1,IFERROR(IF(VALUE($E910)&lt;100000000,VALUE($E910),1000000000),IFERROR(IF(VALUE(MID($E910,2,20))&lt;100000000,VALUE(MID($E910,2,20)),1000000000),1000000000))+ROW()/100000,"")</f>
        <v/>
      </c>
    </row>
    <row r="911">
      <c r="D911">
        <f>IF($E911="","",IFERROR(IF(INDEX('Per Invoice'!$A$2:$A$301,MATCH($E911,'Per Invoice'!$B$2:$B$301,0))=0,"",INDEX('Per Invoice'!$A$2:$A$301,MATCH($E911,'Per Invoice'!$B$2:$B$301,0))),""))</f>
        <v/>
      </c>
      <c r="H911" s="11" t="n"/>
      <c r="R911" s="7">
        <f>IF($E911="","",Q911*Z911/100)</f>
        <v/>
      </c>
      <c r="S911" s="7" t="n"/>
      <c r="Y911" s="7" t="n"/>
      <c r="Z911" s="7" t="n"/>
      <c r="AA911" s="7">
        <f>IF($E911="","",Z911*AF911/100)</f>
        <v/>
      </c>
      <c r="AB911" s="7">
        <f>IF($E911="","",Z911-AA911)</f>
        <v/>
      </c>
      <c r="AC911" s="7">
        <f>IF($E911="","",AB911-R911)</f>
        <v/>
      </c>
      <c r="AF911">
        <f>IF($E911="","",IF($AR911=1,0,IF($AQ911=1,Settings!$C$6,Settings!$C$7))*100)</f>
        <v/>
      </c>
      <c r="AJ911" s="7" t="n"/>
      <c r="AM911" s="11" t="n"/>
      <c r="AO911">
        <f>IF($E911="","",IF(COUNTIF($E$2:$E911,$E911)=1,1,0))</f>
        <v/>
      </c>
      <c r="AP911">
        <f>IF($AO911=1,SUMPRODUCT(--($AS$2:$AS$1001&lt;$AS911))+1,"")</f>
        <v/>
      </c>
      <c r="AQ911">
        <f>IF($E911="","",IF(OR($V911=TRUE(),$V911="TRUE"),1,0))</f>
        <v/>
      </c>
      <c r="AR911">
        <f>IF($E911="","",IF($AE911="Yes",1,0))</f>
        <v/>
      </c>
      <c r="AS911">
        <f>IF($AO911=1,IFERROR(IF(VALUE($E911)&lt;100000000,VALUE($E911),1000000000),IFERROR(IF(VALUE(MID($E911,2,20))&lt;100000000,VALUE(MID($E911,2,20)),1000000000),1000000000))+ROW()/100000,"")</f>
        <v/>
      </c>
    </row>
    <row r="912">
      <c r="D912">
        <f>IF($E912="","",IFERROR(IF(INDEX('Per Invoice'!$A$2:$A$301,MATCH($E912,'Per Invoice'!$B$2:$B$301,0))=0,"",INDEX('Per Invoice'!$A$2:$A$301,MATCH($E912,'Per Invoice'!$B$2:$B$301,0))),""))</f>
        <v/>
      </c>
      <c r="H912" s="11" t="n"/>
      <c r="R912" s="7">
        <f>IF($E912="","",Q912*Z912/100)</f>
        <v/>
      </c>
      <c r="S912" s="7" t="n"/>
      <c r="Y912" s="7" t="n"/>
      <c r="Z912" s="7" t="n"/>
      <c r="AA912" s="7">
        <f>IF($E912="","",Z912*AF912/100)</f>
        <v/>
      </c>
      <c r="AB912" s="7">
        <f>IF($E912="","",Z912-AA912)</f>
        <v/>
      </c>
      <c r="AC912" s="7">
        <f>IF($E912="","",AB912-R912)</f>
        <v/>
      </c>
      <c r="AF912">
        <f>IF($E912="","",IF($AR912=1,0,IF($AQ912=1,Settings!$C$6,Settings!$C$7))*100)</f>
        <v/>
      </c>
      <c r="AJ912" s="7" t="n"/>
      <c r="AM912" s="11" t="n"/>
      <c r="AO912">
        <f>IF($E912="","",IF(COUNTIF($E$2:$E912,$E912)=1,1,0))</f>
        <v/>
      </c>
      <c r="AP912">
        <f>IF($AO912=1,SUMPRODUCT(--($AS$2:$AS$1001&lt;$AS912))+1,"")</f>
        <v/>
      </c>
      <c r="AQ912">
        <f>IF($E912="","",IF(OR($V912=TRUE(),$V912="TRUE"),1,0))</f>
        <v/>
      </c>
      <c r="AR912">
        <f>IF($E912="","",IF($AE912="Yes",1,0))</f>
        <v/>
      </c>
      <c r="AS912">
        <f>IF($AO912=1,IFERROR(IF(VALUE($E912)&lt;100000000,VALUE($E912),1000000000),IFERROR(IF(VALUE(MID($E912,2,20))&lt;100000000,VALUE(MID($E912,2,20)),1000000000),1000000000))+ROW()/100000,"")</f>
        <v/>
      </c>
    </row>
    <row r="913">
      <c r="D913">
        <f>IF($E913="","",IFERROR(IF(INDEX('Per Invoice'!$A$2:$A$301,MATCH($E913,'Per Invoice'!$B$2:$B$301,0))=0,"",INDEX('Per Invoice'!$A$2:$A$301,MATCH($E913,'Per Invoice'!$B$2:$B$301,0))),""))</f>
        <v/>
      </c>
      <c r="H913" s="11" t="n"/>
      <c r="R913" s="7">
        <f>IF($E913="","",Q913*Z913/100)</f>
        <v/>
      </c>
      <c r="S913" s="7" t="n"/>
      <c r="Y913" s="7" t="n"/>
      <c r="Z913" s="7" t="n"/>
      <c r="AA913" s="7">
        <f>IF($E913="","",Z913*AF913/100)</f>
        <v/>
      </c>
      <c r="AB913" s="7">
        <f>IF($E913="","",Z913-AA913)</f>
        <v/>
      </c>
      <c r="AC913" s="7">
        <f>IF($E913="","",AB913-R913)</f>
        <v/>
      </c>
      <c r="AF913">
        <f>IF($E913="","",IF($AR913=1,0,IF($AQ913=1,Settings!$C$6,Settings!$C$7))*100)</f>
        <v/>
      </c>
      <c r="AJ913" s="7" t="n"/>
      <c r="AM913" s="11" t="n"/>
      <c r="AO913">
        <f>IF($E913="","",IF(COUNTIF($E$2:$E913,$E913)=1,1,0))</f>
        <v/>
      </c>
      <c r="AP913">
        <f>IF($AO913=1,SUMPRODUCT(--($AS$2:$AS$1001&lt;$AS913))+1,"")</f>
        <v/>
      </c>
      <c r="AQ913">
        <f>IF($E913="","",IF(OR($V913=TRUE(),$V913="TRUE"),1,0))</f>
        <v/>
      </c>
      <c r="AR913">
        <f>IF($E913="","",IF($AE913="Yes",1,0))</f>
        <v/>
      </c>
      <c r="AS913">
        <f>IF($AO913=1,IFERROR(IF(VALUE($E913)&lt;100000000,VALUE($E913),1000000000),IFERROR(IF(VALUE(MID($E913,2,20))&lt;100000000,VALUE(MID($E913,2,20)),1000000000),1000000000))+ROW()/100000,"")</f>
        <v/>
      </c>
    </row>
    <row r="914">
      <c r="D914">
        <f>IF($E914="","",IFERROR(IF(INDEX('Per Invoice'!$A$2:$A$301,MATCH($E914,'Per Invoice'!$B$2:$B$301,0))=0,"",INDEX('Per Invoice'!$A$2:$A$301,MATCH($E914,'Per Invoice'!$B$2:$B$301,0))),""))</f>
        <v/>
      </c>
      <c r="H914" s="11" t="n"/>
      <c r="R914" s="7">
        <f>IF($E914="","",Q914*Z914/100)</f>
        <v/>
      </c>
      <c r="S914" s="7" t="n"/>
      <c r="Y914" s="7" t="n"/>
      <c r="Z914" s="7" t="n"/>
      <c r="AA914" s="7">
        <f>IF($E914="","",Z914*AF914/100)</f>
        <v/>
      </c>
      <c r="AB914" s="7">
        <f>IF($E914="","",Z914-AA914)</f>
        <v/>
      </c>
      <c r="AC914" s="7">
        <f>IF($E914="","",AB914-R914)</f>
        <v/>
      </c>
      <c r="AF914">
        <f>IF($E914="","",IF($AR914=1,0,IF($AQ914=1,Settings!$C$6,Settings!$C$7))*100)</f>
        <v/>
      </c>
      <c r="AJ914" s="7" t="n"/>
      <c r="AM914" s="11" t="n"/>
      <c r="AO914">
        <f>IF($E914="","",IF(COUNTIF($E$2:$E914,$E914)=1,1,0))</f>
        <v/>
      </c>
      <c r="AP914">
        <f>IF($AO914=1,SUMPRODUCT(--($AS$2:$AS$1001&lt;$AS914))+1,"")</f>
        <v/>
      </c>
      <c r="AQ914">
        <f>IF($E914="","",IF(OR($V914=TRUE(),$V914="TRUE"),1,0))</f>
        <v/>
      </c>
      <c r="AR914">
        <f>IF($E914="","",IF($AE914="Yes",1,0))</f>
        <v/>
      </c>
      <c r="AS914">
        <f>IF($AO914=1,IFERROR(IF(VALUE($E914)&lt;100000000,VALUE($E914),1000000000),IFERROR(IF(VALUE(MID($E914,2,20))&lt;100000000,VALUE(MID($E914,2,20)),1000000000),1000000000))+ROW()/100000,"")</f>
        <v/>
      </c>
    </row>
    <row r="915">
      <c r="D915">
        <f>IF($E915="","",IFERROR(IF(INDEX('Per Invoice'!$A$2:$A$301,MATCH($E915,'Per Invoice'!$B$2:$B$301,0))=0,"",INDEX('Per Invoice'!$A$2:$A$301,MATCH($E915,'Per Invoice'!$B$2:$B$301,0))),""))</f>
        <v/>
      </c>
      <c r="H915" s="11" t="n"/>
      <c r="R915" s="7">
        <f>IF($E915="","",Q915*Z915/100)</f>
        <v/>
      </c>
      <c r="S915" s="7" t="n"/>
      <c r="Y915" s="7" t="n"/>
      <c r="Z915" s="7" t="n"/>
      <c r="AA915" s="7">
        <f>IF($E915="","",Z915*AF915/100)</f>
        <v/>
      </c>
      <c r="AB915" s="7">
        <f>IF($E915="","",Z915-AA915)</f>
        <v/>
      </c>
      <c r="AC915" s="7">
        <f>IF($E915="","",AB915-R915)</f>
        <v/>
      </c>
      <c r="AF915">
        <f>IF($E915="","",IF($AR915=1,0,IF($AQ915=1,Settings!$C$6,Settings!$C$7))*100)</f>
        <v/>
      </c>
      <c r="AJ915" s="7" t="n"/>
      <c r="AM915" s="11" t="n"/>
      <c r="AO915">
        <f>IF($E915="","",IF(COUNTIF($E$2:$E915,$E915)=1,1,0))</f>
        <v/>
      </c>
      <c r="AP915">
        <f>IF($AO915=1,SUMPRODUCT(--($AS$2:$AS$1001&lt;$AS915))+1,"")</f>
        <v/>
      </c>
      <c r="AQ915">
        <f>IF($E915="","",IF(OR($V915=TRUE(),$V915="TRUE"),1,0))</f>
        <v/>
      </c>
      <c r="AR915">
        <f>IF($E915="","",IF($AE915="Yes",1,0))</f>
        <v/>
      </c>
      <c r="AS915">
        <f>IF($AO915=1,IFERROR(IF(VALUE($E915)&lt;100000000,VALUE($E915),1000000000),IFERROR(IF(VALUE(MID($E915,2,20))&lt;100000000,VALUE(MID($E915,2,20)),1000000000),1000000000))+ROW()/100000,"")</f>
        <v/>
      </c>
    </row>
    <row r="916">
      <c r="D916">
        <f>IF($E916="","",IFERROR(IF(INDEX('Per Invoice'!$A$2:$A$301,MATCH($E916,'Per Invoice'!$B$2:$B$301,0))=0,"",INDEX('Per Invoice'!$A$2:$A$301,MATCH($E916,'Per Invoice'!$B$2:$B$301,0))),""))</f>
        <v/>
      </c>
      <c r="H916" s="11" t="n"/>
      <c r="R916" s="7">
        <f>IF($E916="","",Q916*Z916/100)</f>
        <v/>
      </c>
      <c r="S916" s="7" t="n"/>
      <c r="Y916" s="7" t="n"/>
      <c r="Z916" s="7" t="n"/>
      <c r="AA916" s="7">
        <f>IF($E916="","",Z916*AF916/100)</f>
        <v/>
      </c>
      <c r="AB916" s="7">
        <f>IF($E916="","",Z916-AA916)</f>
        <v/>
      </c>
      <c r="AC916" s="7">
        <f>IF($E916="","",AB916-R916)</f>
        <v/>
      </c>
      <c r="AF916">
        <f>IF($E916="","",IF($AR916=1,0,IF($AQ916=1,Settings!$C$6,Settings!$C$7))*100)</f>
        <v/>
      </c>
      <c r="AJ916" s="7" t="n"/>
      <c r="AM916" s="11" t="n"/>
      <c r="AO916">
        <f>IF($E916="","",IF(COUNTIF($E$2:$E916,$E916)=1,1,0))</f>
        <v/>
      </c>
      <c r="AP916">
        <f>IF($AO916=1,SUMPRODUCT(--($AS$2:$AS$1001&lt;$AS916))+1,"")</f>
        <v/>
      </c>
      <c r="AQ916">
        <f>IF($E916="","",IF(OR($V916=TRUE(),$V916="TRUE"),1,0))</f>
        <v/>
      </c>
      <c r="AR916">
        <f>IF($E916="","",IF($AE916="Yes",1,0))</f>
        <v/>
      </c>
      <c r="AS916">
        <f>IF($AO916=1,IFERROR(IF(VALUE($E916)&lt;100000000,VALUE($E916),1000000000),IFERROR(IF(VALUE(MID($E916,2,20))&lt;100000000,VALUE(MID($E916,2,20)),1000000000),1000000000))+ROW()/100000,"")</f>
        <v/>
      </c>
    </row>
    <row r="917">
      <c r="D917">
        <f>IF($E917="","",IFERROR(IF(INDEX('Per Invoice'!$A$2:$A$301,MATCH($E917,'Per Invoice'!$B$2:$B$301,0))=0,"",INDEX('Per Invoice'!$A$2:$A$301,MATCH($E917,'Per Invoice'!$B$2:$B$301,0))),""))</f>
        <v/>
      </c>
      <c r="H917" s="11" t="n"/>
      <c r="R917" s="7">
        <f>IF($E917="","",Q917*Z917/100)</f>
        <v/>
      </c>
      <c r="S917" s="7" t="n"/>
      <c r="Y917" s="7" t="n"/>
      <c r="Z917" s="7" t="n"/>
      <c r="AA917" s="7">
        <f>IF($E917="","",Z917*AF917/100)</f>
        <v/>
      </c>
      <c r="AB917" s="7">
        <f>IF($E917="","",Z917-AA917)</f>
        <v/>
      </c>
      <c r="AC917" s="7">
        <f>IF($E917="","",AB917-R917)</f>
        <v/>
      </c>
      <c r="AF917">
        <f>IF($E917="","",IF($AR917=1,0,IF($AQ917=1,Settings!$C$6,Settings!$C$7))*100)</f>
        <v/>
      </c>
      <c r="AJ917" s="7" t="n"/>
      <c r="AM917" s="11" t="n"/>
      <c r="AO917">
        <f>IF($E917="","",IF(COUNTIF($E$2:$E917,$E917)=1,1,0))</f>
        <v/>
      </c>
      <c r="AP917">
        <f>IF($AO917=1,SUMPRODUCT(--($AS$2:$AS$1001&lt;$AS917))+1,"")</f>
        <v/>
      </c>
      <c r="AQ917">
        <f>IF($E917="","",IF(OR($V917=TRUE(),$V917="TRUE"),1,0))</f>
        <v/>
      </c>
      <c r="AR917">
        <f>IF($E917="","",IF($AE917="Yes",1,0))</f>
        <v/>
      </c>
      <c r="AS917">
        <f>IF($AO917=1,IFERROR(IF(VALUE($E917)&lt;100000000,VALUE($E917),1000000000),IFERROR(IF(VALUE(MID($E917,2,20))&lt;100000000,VALUE(MID($E917,2,20)),1000000000),1000000000))+ROW()/100000,"")</f>
        <v/>
      </c>
    </row>
    <row r="918">
      <c r="D918">
        <f>IF($E918="","",IFERROR(IF(INDEX('Per Invoice'!$A$2:$A$301,MATCH($E918,'Per Invoice'!$B$2:$B$301,0))=0,"",INDEX('Per Invoice'!$A$2:$A$301,MATCH($E918,'Per Invoice'!$B$2:$B$301,0))),""))</f>
        <v/>
      </c>
      <c r="H918" s="11" t="n"/>
      <c r="R918" s="7">
        <f>IF($E918="","",Q918*Z918/100)</f>
        <v/>
      </c>
      <c r="S918" s="7" t="n"/>
      <c r="Y918" s="7" t="n"/>
      <c r="Z918" s="7" t="n"/>
      <c r="AA918" s="7">
        <f>IF($E918="","",Z918*AF918/100)</f>
        <v/>
      </c>
      <c r="AB918" s="7">
        <f>IF($E918="","",Z918-AA918)</f>
        <v/>
      </c>
      <c r="AC918" s="7">
        <f>IF($E918="","",AB918-R918)</f>
        <v/>
      </c>
      <c r="AF918">
        <f>IF($E918="","",IF($AR918=1,0,IF($AQ918=1,Settings!$C$6,Settings!$C$7))*100)</f>
        <v/>
      </c>
      <c r="AJ918" s="7" t="n"/>
      <c r="AM918" s="11" t="n"/>
      <c r="AO918">
        <f>IF($E918="","",IF(COUNTIF($E$2:$E918,$E918)=1,1,0))</f>
        <v/>
      </c>
      <c r="AP918">
        <f>IF($AO918=1,SUMPRODUCT(--($AS$2:$AS$1001&lt;$AS918))+1,"")</f>
        <v/>
      </c>
      <c r="AQ918">
        <f>IF($E918="","",IF(OR($V918=TRUE(),$V918="TRUE"),1,0))</f>
        <v/>
      </c>
      <c r="AR918">
        <f>IF($E918="","",IF($AE918="Yes",1,0))</f>
        <v/>
      </c>
      <c r="AS918">
        <f>IF($AO918=1,IFERROR(IF(VALUE($E918)&lt;100000000,VALUE($E918),1000000000),IFERROR(IF(VALUE(MID($E918,2,20))&lt;100000000,VALUE(MID($E918,2,20)),1000000000),1000000000))+ROW()/100000,"")</f>
        <v/>
      </c>
    </row>
    <row r="919">
      <c r="D919">
        <f>IF($E919="","",IFERROR(IF(INDEX('Per Invoice'!$A$2:$A$301,MATCH($E919,'Per Invoice'!$B$2:$B$301,0))=0,"",INDEX('Per Invoice'!$A$2:$A$301,MATCH($E919,'Per Invoice'!$B$2:$B$301,0))),""))</f>
        <v/>
      </c>
      <c r="H919" s="11" t="n"/>
      <c r="R919" s="7">
        <f>IF($E919="","",Q919*Z919/100)</f>
        <v/>
      </c>
      <c r="S919" s="7" t="n"/>
      <c r="Y919" s="7" t="n"/>
      <c r="Z919" s="7" t="n"/>
      <c r="AA919" s="7">
        <f>IF($E919="","",Z919*AF919/100)</f>
        <v/>
      </c>
      <c r="AB919" s="7">
        <f>IF($E919="","",Z919-AA919)</f>
        <v/>
      </c>
      <c r="AC919" s="7">
        <f>IF($E919="","",AB919-R919)</f>
        <v/>
      </c>
      <c r="AF919">
        <f>IF($E919="","",IF($AR919=1,0,IF($AQ919=1,Settings!$C$6,Settings!$C$7))*100)</f>
        <v/>
      </c>
      <c r="AJ919" s="7" t="n"/>
      <c r="AM919" s="11" t="n"/>
      <c r="AO919">
        <f>IF($E919="","",IF(COUNTIF($E$2:$E919,$E919)=1,1,0))</f>
        <v/>
      </c>
      <c r="AP919">
        <f>IF($AO919=1,SUMPRODUCT(--($AS$2:$AS$1001&lt;$AS919))+1,"")</f>
        <v/>
      </c>
      <c r="AQ919">
        <f>IF($E919="","",IF(OR($V919=TRUE(),$V919="TRUE"),1,0))</f>
        <v/>
      </c>
      <c r="AR919">
        <f>IF($E919="","",IF($AE919="Yes",1,0))</f>
        <v/>
      </c>
      <c r="AS919">
        <f>IF($AO919=1,IFERROR(IF(VALUE($E919)&lt;100000000,VALUE($E919),1000000000),IFERROR(IF(VALUE(MID($E919,2,20))&lt;100000000,VALUE(MID($E919,2,20)),1000000000),1000000000))+ROW()/100000,"")</f>
        <v/>
      </c>
    </row>
    <row r="920">
      <c r="D920">
        <f>IF($E920="","",IFERROR(IF(INDEX('Per Invoice'!$A$2:$A$301,MATCH($E920,'Per Invoice'!$B$2:$B$301,0))=0,"",INDEX('Per Invoice'!$A$2:$A$301,MATCH($E920,'Per Invoice'!$B$2:$B$301,0))),""))</f>
        <v/>
      </c>
      <c r="H920" s="11" t="n"/>
      <c r="R920" s="7">
        <f>IF($E920="","",Q920*Z920/100)</f>
        <v/>
      </c>
      <c r="S920" s="7" t="n"/>
      <c r="Y920" s="7" t="n"/>
      <c r="Z920" s="7" t="n"/>
      <c r="AA920" s="7">
        <f>IF($E920="","",Z920*AF920/100)</f>
        <v/>
      </c>
      <c r="AB920" s="7">
        <f>IF($E920="","",Z920-AA920)</f>
        <v/>
      </c>
      <c r="AC920" s="7">
        <f>IF($E920="","",AB920-R920)</f>
        <v/>
      </c>
      <c r="AF920">
        <f>IF($E920="","",IF($AR920=1,0,IF($AQ920=1,Settings!$C$6,Settings!$C$7))*100)</f>
        <v/>
      </c>
      <c r="AJ920" s="7" t="n"/>
      <c r="AM920" s="11" t="n"/>
      <c r="AO920">
        <f>IF($E920="","",IF(COUNTIF($E$2:$E920,$E920)=1,1,0))</f>
        <v/>
      </c>
      <c r="AP920">
        <f>IF($AO920=1,SUMPRODUCT(--($AS$2:$AS$1001&lt;$AS920))+1,"")</f>
        <v/>
      </c>
      <c r="AQ920">
        <f>IF($E920="","",IF(OR($V920=TRUE(),$V920="TRUE"),1,0))</f>
        <v/>
      </c>
      <c r="AR920">
        <f>IF($E920="","",IF($AE920="Yes",1,0))</f>
        <v/>
      </c>
      <c r="AS920">
        <f>IF($AO920=1,IFERROR(IF(VALUE($E920)&lt;100000000,VALUE($E920),1000000000),IFERROR(IF(VALUE(MID($E920,2,20))&lt;100000000,VALUE(MID($E920,2,20)),1000000000),1000000000))+ROW()/100000,"")</f>
        <v/>
      </c>
    </row>
    <row r="921">
      <c r="D921">
        <f>IF($E921="","",IFERROR(IF(INDEX('Per Invoice'!$A$2:$A$301,MATCH($E921,'Per Invoice'!$B$2:$B$301,0))=0,"",INDEX('Per Invoice'!$A$2:$A$301,MATCH($E921,'Per Invoice'!$B$2:$B$301,0))),""))</f>
        <v/>
      </c>
      <c r="H921" s="11" t="n"/>
      <c r="R921" s="7">
        <f>IF($E921="","",Q921*Z921/100)</f>
        <v/>
      </c>
      <c r="S921" s="7" t="n"/>
      <c r="Y921" s="7" t="n"/>
      <c r="Z921" s="7" t="n"/>
      <c r="AA921" s="7">
        <f>IF($E921="","",Z921*AF921/100)</f>
        <v/>
      </c>
      <c r="AB921" s="7">
        <f>IF($E921="","",Z921-AA921)</f>
        <v/>
      </c>
      <c r="AC921" s="7">
        <f>IF($E921="","",AB921-R921)</f>
        <v/>
      </c>
      <c r="AF921">
        <f>IF($E921="","",IF($AR921=1,0,IF($AQ921=1,Settings!$C$6,Settings!$C$7))*100)</f>
        <v/>
      </c>
      <c r="AJ921" s="7" t="n"/>
      <c r="AM921" s="11" t="n"/>
      <c r="AO921">
        <f>IF($E921="","",IF(COUNTIF($E$2:$E921,$E921)=1,1,0))</f>
        <v/>
      </c>
      <c r="AP921">
        <f>IF($AO921=1,SUMPRODUCT(--($AS$2:$AS$1001&lt;$AS921))+1,"")</f>
        <v/>
      </c>
      <c r="AQ921">
        <f>IF($E921="","",IF(OR($V921=TRUE(),$V921="TRUE"),1,0))</f>
        <v/>
      </c>
      <c r="AR921">
        <f>IF($E921="","",IF($AE921="Yes",1,0))</f>
        <v/>
      </c>
      <c r="AS921">
        <f>IF($AO921=1,IFERROR(IF(VALUE($E921)&lt;100000000,VALUE($E921),1000000000),IFERROR(IF(VALUE(MID($E921,2,20))&lt;100000000,VALUE(MID($E921,2,20)),1000000000),1000000000))+ROW()/100000,"")</f>
        <v/>
      </c>
    </row>
    <row r="922">
      <c r="D922">
        <f>IF($E922="","",IFERROR(IF(INDEX('Per Invoice'!$A$2:$A$301,MATCH($E922,'Per Invoice'!$B$2:$B$301,0))=0,"",INDEX('Per Invoice'!$A$2:$A$301,MATCH($E922,'Per Invoice'!$B$2:$B$301,0))),""))</f>
        <v/>
      </c>
      <c r="H922" s="11" t="n"/>
      <c r="R922" s="7">
        <f>IF($E922="","",Q922*Z922/100)</f>
        <v/>
      </c>
      <c r="S922" s="7" t="n"/>
      <c r="Y922" s="7" t="n"/>
      <c r="Z922" s="7" t="n"/>
      <c r="AA922" s="7">
        <f>IF($E922="","",Z922*AF922/100)</f>
        <v/>
      </c>
      <c r="AB922" s="7">
        <f>IF($E922="","",Z922-AA922)</f>
        <v/>
      </c>
      <c r="AC922" s="7">
        <f>IF($E922="","",AB922-R922)</f>
        <v/>
      </c>
      <c r="AF922">
        <f>IF($E922="","",IF($AR922=1,0,IF($AQ922=1,Settings!$C$6,Settings!$C$7))*100)</f>
        <v/>
      </c>
      <c r="AJ922" s="7" t="n"/>
      <c r="AM922" s="11" t="n"/>
      <c r="AO922">
        <f>IF($E922="","",IF(COUNTIF($E$2:$E922,$E922)=1,1,0))</f>
        <v/>
      </c>
      <c r="AP922">
        <f>IF($AO922=1,SUMPRODUCT(--($AS$2:$AS$1001&lt;$AS922))+1,"")</f>
        <v/>
      </c>
      <c r="AQ922">
        <f>IF($E922="","",IF(OR($V922=TRUE(),$V922="TRUE"),1,0))</f>
        <v/>
      </c>
      <c r="AR922">
        <f>IF($E922="","",IF($AE922="Yes",1,0))</f>
        <v/>
      </c>
      <c r="AS922">
        <f>IF($AO922=1,IFERROR(IF(VALUE($E922)&lt;100000000,VALUE($E922),1000000000),IFERROR(IF(VALUE(MID($E922,2,20))&lt;100000000,VALUE(MID($E922,2,20)),1000000000),1000000000))+ROW()/100000,"")</f>
        <v/>
      </c>
    </row>
    <row r="923">
      <c r="D923">
        <f>IF($E923="","",IFERROR(IF(INDEX('Per Invoice'!$A$2:$A$301,MATCH($E923,'Per Invoice'!$B$2:$B$301,0))=0,"",INDEX('Per Invoice'!$A$2:$A$301,MATCH($E923,'Per Invoice'!$B$2:$B$301,0))),""))</f>
        <v/>
      </c>
      <c r="H923" s="11" t="n"/>
      <c r="R923" s="7">
        <f>IF($E923="","",Q923*Z923/100)</f>
        <v/>
      </c>
      <c r="S923" s="7" t="n"/>
      <c r="Y923" s="7" t="n"/>
      <c r="Z923" s="7" t="n"/>
      <c r="AA923" s="7">
        <f>IF($E923="","",Z923*AF923/100)</f>
        <v/>
      </c>
      <c r="AB923" s="7">
        <f>IF($E923="","",Z923-AA923)</f>
        <v/>
      </c>
      <c r="AC923" s="7">
        <f>IF($E923="","",AB923-R923)</f>
        <v/>
      </c>
      <c r="AF923">
        <f>IF($E923="","",IF($AR923=1,0,IF($AQ923=1,Settings!$C$6,Settings!$C$7))*100)</f>
        <v/>
      </c>
      <c r="AJ923" s="7" t="n"/>
      <c r="AM923" s="11" t="n"/>
      <c r="AO923">
        <f>IF($E923="","",IF(COUNTIF($E$2:$E923,$E923)=1,1,0))</f>
        <v/>
      </c>
      <c r="AP923">
        <f>IF($AO923=1,SUMPRODUCT(--($AS$2:$AS$1001&lt;$AS923))+1,"")</f>
        <v/>
      </c>
      <c r="AQ923">
        <f>IF($E923="","",IF(OR($V923=TRUE(),$V923="TRUE"),1,0))</f>
        <v/>
      </c>
      <c r="AR923">
        <f>IF($E923="","",IF($AE923="Yes",1,0))</f>
        <v/>
      </c>
      <c r="AS923">
        <f>IF($AO923=1,IFERROR(IF(VALUE($E923)&lt;100000000,VALUE($E923),1000000000),IFERROR(IF(VALUE(MID($E923,2,20))&lt;100000000,VALUE(MID($E923,2,20)),1000000000),1000000000))+ROW()/100000,"")</f>
        <v/>
      </c>
    </row>
    <row r="924">
      <c r="D924">
        <f>IF($E924="","",IFERROR(IF(INDEX('Per Invoice'!$A$2:$A$301,MATCH($E924,'Per Invoice'!$B$2:$B$301,0))=0,"",INDEX('Per Invoice'!$A$2:$A$301,MATCH($E924,'Per Invoice'!$B$2:$B$301,0))),""))</f>
        <v/>
      </c>
      <c r="H924" s="11" t="n"/>
      <c r="R924" s="7">
        <f>IF($E924="","",Q924*Z924/100)</f>
        <v/>
      </c>
      <c r="S924" s="7" t="n"/>
      <c r="Y924" s="7" t="n"/>
      <c r="Z924" s="7" t="n"/>
      <c r="AA924" s="7">
        <f>IF($E924="","",Z924*AF924/100)</f>
        <v/>
      </c>
      <c r="AB924" s="7">
        <f>IF($E924="","",Z924-AA924)</f>
        <v/>
      </c>
      <c r="AC924" s="7">
        <f>IF($E924="","",AB924-R924)</f>
        <v/>
      </c>
      <c r="AF924">
        <f>IF($E924="","",IF($AR924=1,0,IF($AQ924=1,Settings!$C$6,Settings!$C$7))*100)</f>
        <v/>
      </c>
      <c r="AJ924" s="7" t="n"/>
      <c r="AM924" s="11" t="n"/>
      <c r="AO924">
        <f>IF($E924="","",IF(COUNTIF($E$2:$E924,$E924)=1,1,0))</f>
        <v/>
      </c>
      <c r="AP924">
        <f>IF($AO924=1,SUMPRODUCT(--($AS$2:$AS$1001&lt;$AS924))+1,"")</f>
        <v/>
      </c>
      <c r="AQ924">
        <f>IF($E924="","",IF(OR($V924=TRUE(),$V924="TRUE"),1,0))</f>
        <v/>
      </c>
      <c r="AR924">
        <f>IF($E924="","",IF($AE924="Yes",1,0))</f>
        <v/>
      </c>
      <c r="AS924">
        <f>IF($AO924=1,IFERROR(IF(VALUE($E924)&lt;100000000,VALUE($E924),1000000000),IFERROR(IF(VALUE(MID($E924,2,20))&lt;100000000,VALUE(MID($E924,2,20)),1000000000),1000000000))+ROW()/100000,"")</f>
        <v/>
      </c>
    </row>
    <row r="925">
      <c r="D925">
        <f>IF($E925="","",IFERROR(IF(INDEX('Per Invoice'!$A$2:$A$301,MATCH($E925,'Per Invoice'!$B$2:$B$301,0))=0,"",INDEX('Per Invoice'!$A$2:$A$301,MATCH($E925,'Per Invoice'!$B$2:$B$301,0))),""))</f>
        <v/>
      </c>
      <c r="H925" s="11" t="n"/>
      <c r="R925" s="7">
        <f>IF($E925="","",Q925*Z925/100)</f>
        <v/>
      </c>
      <c r="S925" s="7" t="n"/>
      <c r="Y925" s="7" t="n"/>
      <c r="Z925" s="7" t="n"/>
      <c r="AA925" s="7">
        <f>IF($E925="","",Z925*AF925/100)</f>
        <v/>
      </c>
      <c r="AB925" s="7">
        <f>IF($E925="","",Z925-AA925)</f>
        <v/>
      </c>
      <c r="AC925" s="7">
        <f>IF($E925="","",AB925-R925)</f>
        <v/>
      </c>
      <c r="AF925">
        <f>IF($E925="","",IF($AR925=1,0,IF($AQ925=1,Settings!$C$6,Settings!$C$7))*100)</f>
        <v/>
      </c>
      <c r="AJ925" s="7" t="n"/>
      <c r="AM925" s="11" t="n"/>
      <c r="AO925">
        <f>IF($E925="","",IF(COUNTIF($E$2:$E925,$E925)=1,1,0))</f>
        <v/>
      </c>
      <c r="AP925">
        <f>IF($AO925=1,SUMPRODUCT(--($AS$2:$AS$1001&lt;$AS925))+1,"")</f>
        <v/>
      </c>
      <c r="AQ925">
        <f>IF($E925="","",IF(OR($V925=TRUE(),$V925="TRUE"),1,0))</f>
        <v/>
      </c>
      <c r="AR925">
        <f>IF($E925="","",IF($AE925="Yes",1,0))</f>
        <v/>
      </c>
      <c r="AS925">
        <f>IF($AO925=1,IFERROR(IF(VALUE($E925)&lt;100000000,VALUE($E925),1000000000),IFERROR(IF(VALUE(MID($E925,2,20))&lt;100000000,VALUE(MID($E925,2,20)),1000000000),1000000000))+ROW()/100000,"")</f>
        <v/>
      </c>
    </row>
    <row r="926">
      <c r="D926">
        <f>IF($E926="","",IFERROR(IF(INDEX('Per Invoice'!$A$2:$A$301,MATCH($E926,'Per Invoice'!$B$2:$B$301,0))=0,"",INDEX('Per Invoice'!$A$2:$A$301,MATCH($E926,'Per Invoice'!$B$2:$B$301,0))),""))</f>
        <v/>
      </c>
      <c r="H926" s="11" t="n"/>
      <c r="R926" s="7">
        <f>IF($E926="","",Q926*Z926/100)</f>
        <v/>
      </c>
      <c r="S926" s="7" t="n"/>
      <c r="Y926" s="7" t="n"/>
      <c r="Z926" s="7" t="n"/>
      <c r="AA926" s="7">
        <f>IF($E926="","",Z926*AF926/100)</f>
        <v/>
      </c>
      <c r="AB926" s="7">
        <f>IF($E926="","",Z926-AA926)</f>
        <v/>
      </c>
      <c r="AC926" s="7">
        <f>IF($E926="","",AB926-R926)</f>
        <v/>
      </c>
      <c r="AF926">
        <f>IF($E926="","",IF($AR926=1,0,IF($AQ926=1,Settings!$C$6,Settings!$C$7))*100)</f>
        <v/>
      </c>
      <c r="AJ926" s="7" t="n"/>
      <c r="AM926" s="11" t="n"/>
      <c r="AO926">
        <f>IF($E926="","",IF(COUNTIF($E$2:$E926,$E926)=1,1,0))</f>
        <v/>
      </c>
      <c r="AP926">
        <f>IF($AO926=1,SUMPRODUCT(--($AS$2:$AS$1001&lt;$AS926))+1,"")</f>
        <v/>
      </c>
      <c r="AQ926">
        <f>IF($E926="","",IF(OR($V926=TRUE(),$V926="TRUE"),1,0))</f>
        <v/>
      </c>
      <c r="AR926">
        <f>IF($E926="","",IF($AE926="Yes",1,0))</f>
        <v/>
      </c>
      <c r="AS926">
        <f>IF($AO926=1,IFERROR(IF(VALUE($E926)&lt;100000000,VALUE($E926),1000000000),IFERROR(IF(VALUE(MID($E926,2,20))&lt;100000000,VALUE(MID($E926,2,20)),1000000000),1000000000))+ROW()/100000,"")</f>
        <v/>
      </c>
    </row>
    <row r="927">
      <c r="D927">
        <f>IF($E927="","",IFERROR(IF(INDEX('Per Invoice'!$A$2:$A$301,MATCH($E927,'Per Invoice'!$B$2:$B$301,0))=0,"",INDEX('Per Invoice'!$A$2:$A$301,MATCH($E927,'Per Invoice'!$B$2:$B$301,0))),""))</f>
        <v/>
      </c>
      <c r="H927" s="11" t="n"/>
      <c r="R927" s="7">
        <f>IF($E927="","",Q927*Z927/100)</f>
        <v/>
      </c>
      <c r="S927" s="7" t="n"/>
      <c r="Y927" s="7" t="n"/>
      <c r="Z927" s="7" t="n"/>
      <c r="AA927" s="7">
        <f>IF($E927="","",Z927*AF927/100)</f>
        <v/>
      </c>
      <c r="AB927" s="7">
        <f>IF($E927="","",Z927-AA927)</f>
        <v/>
      </c>
      <c r="AC927" s="7">
        <f>IF($E927="","",AB927-R927)</f>
        <v/>
      </c>
      <c r="AF927">
        <f>IF($E927="","",IF($AR927=1,0,IF($AQ927=1,Settings!$C$6,Settings!$C$7))*100)</f>
        <v/>
      </c>
      <c r="AJ927" s="7" t="n"/>
      <c r="AM927" s="11" t="n"/>
      <c r="AO927">
        <f>IF($E927="","",IF(COUNTIF($E$2:$E927,$E927)=1,1,0))</f>
        <v/>
      </c>
      <c r="AP927">
        <f>IF($AO927=1,SUMPRODUCT(--($AS$2:$AS$1001&lt;$AS927))+1,"")</f>
        <v/>
      </c>
      <c r="AQ927">
        <f>IF($E927="","",IF(OR($V927=TRUE(),$V927="TRUE"),1,0))</f>
        <v/>
      </c>
      <c r="AR927">
        <f>IF($E927="","",IF($AE927="Yes",1,0))</f>
        <v/>
      </c>
      <c r="AS927">
        <f>IF($AO927=1,IFERROR(IF(VALUE($E927)&lt;100000000,VALUE($E927),1000000000),IFERROR(IF(VALUE(MID($E927,2,20))&lt;100000000,VALUE(MID($E927,2,20)),1000000000),1000000000))+ROW()/100000,"")</f>
        <v/>
      </c>
    </row>
    <row r="928">
      <c r="D928">
        <f>IF($E928="","",IFERROR(IF(INDEX('Per Invoice'!$A$2:$A$301,MATCH($E928,'Per Invoice'!$B$2:$B$301,0))=0,"",INDEX('Per Invoice'!$A$2:$A$301,MATCH($E928,'Per Invoice'!$B$2:$B$301,0))),""))</f>
        <v/>
      </c>
      <c r="H928" s="11" t="n"/>
      <c r="R928" s="7">
        <f>IF($E928="","",Q928*Z928/100)</f>
        <v/>
      </c>
      <c r="S928" s="7" t="n"/>
      <c r="Y928" s="7" t="n"/>
      <c r="Z928" s="7" t="n"/>
      <c r="AA928" s="7">
        <f>IF($E928="","",Z928*AF928/100)</f>
        <v/>
      </c>
      <c r="AB928" s="7">
        <f>IF($E928="","",Z928-AA928)</f>
        <v/>
      </c>
      <c r="AC928" s="7">
        <f>IF($E928="","",AB928-R928)</f>
        <v/>
      </c>
      <c r="AF928">
        <f>IF($E928="","",IF($AR928=1,0,IF($AQ928=1,Settings!$C$6,Settings!$C$7))*100)</f>
        <v/>
      </c>
      <c r="AJ928" s="7" t="n"/>
      <c r="AM928" s="11" t="n"/>
      <c r="AO928">
        <f>IF($E928="","",IF(COUNTIF($E$2:$E928,$E928)=1,1,0))</f>
        <v/>
      </c>
      <c r="AP928">
        <f>IF($AO928=1,SUMPRODUCT(--($AS$2:$AS$1001&lt;$AS928))+1,"")</f>
        <v/>
      </c>
      <c r="AQ928">
        <f>IF($E928="","",IF(OR($V928=TRUE(),$V928="TRUE"),1,0))</f>
        <v/>
      </c>
      <c r="AR928">
        <f>IF($E928="","",IF($AE928="Yes",1,0))</f>
        <v/>
      </c>
      <c r="AS928">
        <f>IF($AO928=1,IFERROR(IF(VALUE($E928)&lt;100000000,VALUE($E928),1000000000),IFERROR(IF(VALUE(MID($E928,2,20))&lt;100000000,VALUE(MID($E928,2,20)),1000000000),1000000000))+ROW()/100000,"")</f>
        <v/>
      </c>
    </row>
    <row r="929">
      <c r="D929">
        <f>IF($E929="","",IFERROR(IF(INDEX('Per Invoice'!$A$2:$A$301,MATCH($E929,'Per Invoice'!$B$2:$B$301,0))=0,"",INDEX('Per Invoice'!$A$2:$A$301,MATCH($E929,'Per Invoice'!$B$2:$B$301,0))),""))</f>
        <v/>
      </c>
      <c r="H929" s="11" t="n"/>
      <c r="R929" s="7">
        <f>IF($E929="","",Q929*Z929/100)</f>
        <v/>
      </c>
      <c r="S929" s="7" t="n"/>
      <c r="Y929" s="7" t="n"/>
      <c r="Z929" s="7" t="n"/>
      <c r="AA929" s="7">
        <f>IF($E929="","",Z929*AF929/100)</f>
        <v/>
      </c>
      <c r="AB929" s="7">
        <f>IF($E929="","",Z929-AA929)</f>
        <v/>
      </c>
      <c r="AC929" s="7">
        <f>IF($E929="","",AB929-R929)</f>
        <v/>
      </c>
      <c r="AF929">
        <f>IF($E929="","",IF($AR929=1,0,IF($AQ929=1,Settings!$C$6,Settings!$C$7))*100)</f>
        <v/>
      </c>
      <c r="AJ929" s="7" t="n"/>
      <c r="AM929" s="11" t="n"/>
      <c r="AO929">
        <f>IF($E929="","",IF(COUNTIF($E$2:$E929,$E929)=1,1,0))</f>
        <v/>
      </c>
      <c r="AP929">
        <f>IF($AO929=1,SUMPRODUCT(--($AS$2:$AS$1001&lt;$AS929))+1,"")</f>
        <v/>
      </c>
      <c r="AQ929">
        <f>IF($E929="","",IF(OR($V929=TRUE(),$V929="TRUE"),1,0))</f>
        <v/>
      </c>
      <c r="AR929">
        <f>IF($E929="","",IF($AE929="Yes",1,0))</f>
        <v/>
      </c>
      <c r="AS929">
        <f>IF($AO929=1,IFERROR(IF(VALUE($E929)&lt;100000000,VALUE($E929),1000000000),IFERROR(IF(VALUE(MID($E929,2,20))&lt;100000000,VALUE(MID($E929,2,20)),1000000000),1000000000))+ROW()/100000,"")</f>
        <v/>
      </c>
    </row>
    <row r="930">
      <c r="D930">
        <f>IF($E930="","",IFERROR(IF(INDEX('Per Invoice'!$A$2:$A$301,MATCH($E930,'Per Invoice'!$B$2:$B$301,0))=0,"",INDEX('Per Invoice'!$A$2:$A$301,MATCH($E930,'Per Invoice'!$B$2:$B$301,0))),""))</f>
        <v/>
      </c>
      <c r="H930" s="11" t="n"/>
      <c r="R930" s="7">
        <f>IF($E930="","",Q930*Z930/100)</f>
        <v/>
      </c>
      <c r="S930" s="7" t="n"/>
      <c r="Y930" s="7" t="n"/>
      <c r="Z930" s="7" t="n"/>
      <c r="AA930" s="7">
        <f>IF($E930="","",Z930*AF930/100)</f>
        <v/>
      </c>
      <c r="AB930" s="7">
        <f>IF($E930="","",Z930-AA930)</f>
        <v/>
      </c>
      <c r="AC930" s="7">
        <f>IF($E930="","",AB930-R930)</f>
        <v/>
      </c>
      <c r="AF930">
        <f>IF($E930="","",IF($AR930=1,0,IF($AQ930=1,Settings!$C$6,Settings!$C$7))*100)</f>
        <v/>
      </c>
      <c r="AJ930" s="7" t="n"/>
      <c r="AM930" s="11" t="n"/>
      <c r="AO930">
        <f>IF($E930="","",IF(COUNTIF($E$2:$E930,$E930)=1,1,0))</f>
        <v/>
      </c>
      <c r="AP930">
        <f>IF($AO930=1,SUMPRODUCT(--($AS$2:$AS$1001&lt;$AS930))+1,"")</f>
        <v/>
      </c>
      <c r="AQ930">
        <f>IF($E930="","",IF(OR($V930=TRUE(),$V930="TRUE"),1,0))</f>
        <v/>
      </c>
      <c r="AR930">
        <f>IF($E930="","",IF($AE930="Yes",1,0))</f>
        <v/>
      </c>
      <c r="AS930">
        <f>IF($AO930=1,IFERROR(IF(VALUE($E930)&lt;100000000,VALUE($E930),1000000000),IFERROR(IF(VALUE(MID($E930,2,20))&lt;100000000,VALUE(MID($E930,2,20)),1000000000),1000000000))+ROW()/100000,"")</f>
        <v/>
      </c>
    </row>
    <row r="931">
      <c r="D931">
        <f>IF($E931="","",IFERROR(IF(INDEX('Per Invoice'!$A$2:$A$301,MATCH($E931,'Per Invoice'!$B$2:$B$301,0))=0,"",INDEX('Per Invoice'!$A$2:$A$301,MATCH($E931,'Per Invoice'!$B$2:$B$301,0))),""))</f>
        <v/>
      </c>
      <c r="H931" s="11" t="n"/>
      <c r="R931" s="7">
        <f>IF($E931="","",Q931*Z931/100)</f>
        <v/>
      </c>
      <c r="S931" s="7" t="n"/>
      <c r="Y931" s="7" t="n"/>
      <c r="Z931" s="7" t="n"/>
      <c r="AA931" s="7">
        <f>IF($E931="","",Z931*AF931/100)</f>
        <v/>
      </c>
      <c r="AB931" s="7">
        <f>IF($E931="","",Z931-AA931)</f>
        <v/>
      </c>
      <c r="AC931" s="7">
        <f>IF($E931="","",AB931-R931)</f>
        <v/>
      </c>
      <c r="AF931">
        <f>IF($E931="","",IF($AR931=1,0,IF($AQ931=1,Settings!$C$6,Settings!$C$7))*100)</f>
        <v/>
      </c>
      <c r="AJ931" s="7" t="n"/>
      <c r="AM931" s="11" t="n"/>
      <c r="AO931">
        <f>IF($E931="","",IF(COUNTIF($E$2:$E931,$E931)=1,1,0))</f>
        <v/>
      </c>
      <c r="AP931">
        <f>IF($AO931=1,SUMPRODUCT(--($AS$2:$AS$1001&lt;$AS931))+1,"")</f>
        <v/>
      </c>
      <c r="AQ931">
        <f>IF($E931="","",IF(OR($V931=TRUE(),$V931="TRUE"),1,0))</f>
        <v/>
      </c>
      <c r="AR931">
        <f>IF($E931="","",IF($AE931="Yes",1,0))</f>
        <v/>
      </c>
      <c r="AS931">
        <f>IF($AO931=1,IFERROR(IF(VALUE($E931)&lt;100000000,VALUE($E931),1000000000),IFERROR(IF(VALUE(MID($E931,2,20))&lt;100000000,VALUE(MID($E931,2,20)),1000000000),1000000000))+ROW()/100000,"")</f>
        <v/>
      </c>
    </row>
    <row r="932">
      <c r="D932">
        <f>IF($E932="","",IFERROR(IF(INDEX('Per Invoice'!$A$2:$A$301,MATCH($E932,'Per Invoice'!$B$2:$B$301,0))=0,"",INDEX('Per Invoice'!$A$2:$A$301,MATCH($E932,'Per Invoice'!$B$2:$B$301,0))),""))</f>
        <v/>
      </c>
      <c r="H932" s="11" t="n"/>
      <c r="R932" s="7">
        <f>IF($E932="","",Q932*Z932/100)</f>
        <v/>
      </c>
      <c r="S932" s="7" t="n"/>
      <c r="Y932" s="7" t="n"/>
      <c r="Z932" s="7" t="n"/>
      <c r="AA932" s="7">
        <f>IF($E932="","",Z932*AF932/100)</f>
        <v/>
      </c>
      <c r="AB932" s="7">
        <f>IF($E932="","",Z932-AA932)</f>
        <v/>
      </c>
      <c r="AC932" s="7">
        <f>IF($E932="","",AB932-R932)</f>
        <v/>
      </c>
      <c r="AF932">
        <f>IF($E932="","",IF($AR932=1,0,IF($AQ932=1,Settings!$C$6,Settings!$C$7))*100)</f>
        <v/>
      </c>
      <c r="AJ932" s="7" t="n"/>
      <c r="AM932" s="11" t="n"/>
      <c r="AO932">
        <f>IF($E932="","",IF(COUNTIF($E$2:$E932,$E932)=1,1,0))</f>
        <v/>
      </c>
      <c r="AP932">
        <f>IF($AO932=1,SUMPRODUCT(--($AS$2:$AS$1001&lt;$AS932))+1,"")</f>
        <v/>
      </c>
      <c r="AQ932">
        <f>IF($E932="","",IF(OR($V932=TRUE(),$V932="TRUE"),1,0))</f>
        <v/>
      </c>
      <c r="AR932">
        <f>IF($E932="","",IF($AE932="Yes",1,0))</f>
        <v/>
      </c>
      <c r="AS932">
        <f>IF($AO932=1,IFERROR(IF(VALUE($E932)&lt;100000000,VALUE($E932),1000000000),IFERROR(IF(VALUE(MID($E932,2,20))&lt;100000000,VALUE(MID($E932,2,20)),1000000000),1000000000))+ROW()/100000,"")</f>
        <v/>
      </c>
    </row>
    <row r="933">
      <c r="D933">
        <f>IF($E933="","",IFERROR(IF(INDEX('Per Invoice'!$A$2:$A$301,MATCH($E933,'Per Invoice'!$B$2:$B$301,0))=0,"",INDEX('Per Invoice'!$A$2:$A$301,MATCH($E933,'Per Invoice'!$B$2:$B$301,0))),""))</f>
        <v/>
      </c>
      <c r="H933" s="11" t="n"/>
      <c r="R933" s="7">
        <f>IF($E933="","",Q933*Z933/100)</f>
        <v/>
      </c>
      <c r="S933" s="7" t="n"/>
      <c r="Y933" s="7" t="n"/>
      <c r="Z933" s="7" t="n"/>
      <c r="AA933" s="7">
        <f>IF($E933="","",Z933*AF933/100)</f>
        <v/>
      </c>
      <c r="AB933" s="7">
        <f>IF($E933="","",Z933-AA933)</f>
        <v/>
      </c>
      <c r="AC933" s="7">
        <f>IF($E933="","",AB933-R933)</f>
        <v/>
      </c>
      <c r="AF933">
        <f>IF($E933="","",IF($AR933=1,0,IF($AQ933=1,Settings!$C$6,Settings!$C$7))*100)</f>
        <v/>
      </c>
      <c r="AJ933" s="7" t="n"/>
      <c r="AM933" s="11" t="n"/>
      <c r="AO933">
        <f>IF($E933="","",IF(COUNTIF($E$2:$E933,$E933)=1,1,0))</f>
        <v/>
      </c>
      <c r="AP933">
        <f>IF($AO933=1,SUMPRODUCT(--($AS$2:$AS$1001&lt;$AS933))+1,"")</f>
        <v/>
      </c>
      <c r="AQ933">
        <f>IF($E933="","",IF(OR($V933=TRUE(),$V933="TRUE"),1,0))</f>
        <v/>
      </c>
      <c r="AR933">
        <f>IF($E933="","",IF($AE933="Yes",1,0))</f>
        <v/>
      </c>
      <c r="AS933">
        <f>IF($AO933=1,IFERROR(IF(VALUE($E933)&lt;100000000,VALUE($E933),1000000000),IFERROR(IF(VALUE(MID($E933,2,20))&lt;100000000,VALUE(MID($E933,2,20)),1000000000),1000000000))+ROW()/100000,"")</f>
        <v/>
      </c>
    </row>
    <row r="934">
      <c r="D934">
        <f>IF($E934="","",IFERROR(IF(INDEX('Per Invoice'!$A$2:$A$301,MATCH($E934,'Per Invoice'!$B$2:$B$301,0))=0,"",INDEX('Per Invoice'!$A$2:$A$301,MATCH($E934,'Per Invoice'!$B$2:$B$301,0))),""))</f>
        <v/>
      </c>
      <c r="H934" s="11" t="n"/>
      <c r="R934" s="7">
        <f>IF($E934="","",Q934*Z934/100)</f>
        <v/>
      </c>
      <c r="S934" s="7" t="n"/>
      <c r="Y934" s="7" t="n"/>
      <c r="Z934" s="7" t="n"/>
      <c r="AA934" s="7">
        <f>IF($E934="","",Z934*AF934/100)</f>
        <v/>
      </c>
      <c r="AB934" s="7">
        <f>IF($E934="","",Z934-AA934)</f>
        <v/>
      </c>
      <c r="AC934" s="7">
        <f>IF($E934="","",AB934-R934)</f>
        <v/>
      </c>
      <c r="AF934">
        <f>IF($E934="","",IF($AR934=1,0,IF($AQ934=1,Settings!$C$6,Settings!$C$7))*100)</f>
        <v/>
      </c>
      <c r="AJ934" s="7" t="n"/>
      <c r="AM934" s="11" t="n"/>
      <c r="AO934">
        <f>IF($E934="","",IF(COUNTIF($E$2:$E934,$E934)=1,1,0))</f>
        <v/>
      </c>
      <c r="AP934">
        <f>IF($AO934=1,SUMPRODUCT(--($AS$2:$AS$1001&lt;$AS934))+1,"")</f>
        <v/>
      </c>
      <c r="AQ934">
        <f>IF($E934="","",IF(OR($V934=TRUE(),$V934="TRUE"),1,0))</f>
        <v/>
      </c>
      <c r="AR934">
        <f>IF($E934="","",IF($AE934="Yes",1,0))</f>
        <v/>
      </c>
      <c r="AS934">
        <f>IF($AO934=1,IFERROR(IF(VALUE($E934)&lt;100000000,VALUE($E934),1000000000),IFERROR(IF(VALUE(MID($E934,2,20))&lt;100000000,VALUE(MID($E934,2,20)),1000000000),1000000000))+ROW()/100000,"")</f>
        <v/>
      </c>
    </row>
    <row r="935">
      <c r="D935">
        <f>IF($E935="","",IFERROR(IF(INDEX('Per Invoice'!$A$2:$A$301,MATCH($E935,'Per Invoice'!$B$2:$B$301,0))=0,"",INDEX('Per Invoice'!$A$2:$A$301,MATCH($E935,'Per Invoice'!$B$2:$B$301,0))),""))</f>
        <v/>
      </c>
      <c r="H935" s="11" t="n"/>
      <c r="R935" s="7">
        <f>IF($E935="","",Q935*Z935/100)</f>
        <v/>
      </c>
      <c r="S935" s="7" t="n"/>
      <c r="Y935" s="7" t="n"/>
      <c r="Z935" s="7" t="n"/>
      <c r="AA935" s="7">
        <f>IF($E935="","",Z935*AF935/100)</f>
        <v/>
      </c>
      <c r="AB935" s="7">
        <f>IF($E935="","",Z935-AA935)</f>
        <v/>
      </c>
      <c r="AC935" s="7">
        <f>IF($E935="","",AB935-R935)</f>
        <v/>
      </c>
      <c r="AF935">
        <f>IF($E935="","",IF($AR935=1,0,IF($AQ935=1,Settings!$C$6,Settings!$C$7))*100)</f>
        <v/>
      </c>
      <c r="AJ935" s="7" t="n"/>
      <c r="AM935" s="11" t="n"/>
      <c r="AO935">
        <f>IF($E935="","",IF(COUNTIF($E$2:$E935,$E935)=1,1,0))</f>
        <v/>
      </c>
      <c r="AP935">
        <f>IF($AO935=1,SUMPRODUCT(--($AS$2:$AS$1001&lt;$AS935))+1,"")</f>
        <v/>
      </c>
      <c r="AQ935">
        <f>IF($E935="","",IF(OR($V935=TRUE(),$V935="TRUE"),1,0))</f>
        <v/>
      </c>
      <c r="AR935">
        <f>IF($E935="","",IF($AE935="Yes",1,0))</f>
        <v/>
      </c>
      <c r="AS935">
        <f>IF($AO935=1,IFERROR(IF(VALUE($E935)&lt;100000000,VALUE($E935),1000000000),IFERROR(IF(VALUE(MID($E935,2,20))&lt;100000000,VALUE(MID($E935,2,20)),1000000000),1000000000))+ROW()/100000,"")</f>
        <v/>
      </c>
    </row>
    <row r="936">
      <c r="D936">
        <f>IF($E936="","",IFERROR(IF(INDEX('Per Invoice'!$A$2:$A$301,MATCH($E936,'Per Invoice'!$B$2:$B$301,0))=0,"",INDEX('Per Invoice'!$A$2:$A$301,MATCH($E936,'Per Invoice'!$B$2:$B$301,0))),""))</f>
        <v/>
      </c>
      <c r="H936" s="11" t="n"/>
      <c r="R936" s="7">
        <f>IF($E936="","",Q936*Z936/100)</f>
        <v/>
      </c>
      <c r="S936" s="7" t="n"/>
      <c r="Y936" s="7" t="n"/>
      <c r="Z936" s="7" t="n"/>
      <c r="AA936" s="7">
        <f>IF($E936="","",Z936*AF936/100)</f>
        <v/>
      </c>
      <c r="AB936" s="7">
        <f>IF($E936="","",Z936-AA936)</f>
        <v/>
      </c>
      <c r="AC936" s="7">
        <f>IF($E936="","",AB936-R936)</f>
        <v/>
      </c>
      <c r="AF936">
        <f>IF($E936="","",IF($AR936=1,0,IF($AQ936=1,Settings!$C$6,Settings!$C$7))*100)</f>
        <v/>
      </c>
      <c r="AJ936" s="7" t="n"/>
      <c r="AM936" s="11" t="n"/>
      <c r="AO936">
        <f>IF($E936="","",IF(COUNTIF($E$2:$E936,$E936)=1,1,0))</f>
        <v/>
      </c>
      <c r="AP936">
        <f>IF($AO936=1,SUMPRODUCT(--($AS$2:$AS$1001&lt;$AS936))+1,"")</f>
        <v/>
      </c>
      <c r="AQ936">
        <f>IF($E936="","",IF(OR($V936=TRUE(),$V936="TRUE"),1,0))</f>
        <v/>
      </c>
      <c r="AR936">
        <f>IF($E936="","",IF($AE936="Yes",1,0))</f>
        <v/>
      </c>
      <c r="AS936">
        <f>IF($AO936=1,IFERROR(IF(VALUE($E936)&lt;100000000,VALUE($E936),1000000000),IFERROR(IF(VALUE(MID($E936,2,20))&lt;100000000,VALUE(MID($E936,2,20)),1000000000),1000000000))+ROW()/100000,"")</f>
        <v/>
      </c>
    </row>
    <row r="937">
      <c r="D937">
        <f>IF($E937="","",IFERROR(IF(INDEX('Per Invoice'!$A$2:$A$301,MATCH($E937,'Per Invoice'!$B$2:$B$301,0))=0,"",INDEX('Per Invoice'!$A$2:$A$301,MATCH($E937,'Per Invoice'!$B$2:$B$301,0))),""))</f>
        <v/>
      </c>
      <c r="H937" s="11" t="n"/>
      <c r="R937" s="7">
        <f>IF($E937="","",Q937*Z937/100)</f>
        <v/>
      </c>
      <c r="S937" s="7" t="n"/>
      <c r="Y937" s="7" t="n"/>
      <c r="Z937" s="7" t="n"/>
      <c r="AA937" s="7">
        <f>IF($E937="","",Z937*AF937/100)</f>
        <v/>
      </c>
      <c r="AB937" s="7">
        <f>IF($E937="","",Z937-AA937)</f>
        <v/>
      </c>
      <c r="AC937" s="7">
        <f>IF($E937="","",AB937-R937)</f>
        <v/>
      </c>
      <c r="AF937">
        <f>IF($E937="","",IF($AR937=1,0,IF($AQ937=1,Settings!$C$6,Settings!$C$7))*100)</f>
        <v/>
      </c>
      <c r="AJ937" s="7" t="n"/>
      <c r="AM937" s="11" t="n"/>
      <c r="AO937">
        <f>IF($E937="","",IF(COUNTIF($E$2:$E937,$E937)=1,1,0))</f>
        <v/>
      </c>
      <c r="AP937">
        <f>IF($AO937=1,SUMPRODUCT(--($AS$2:$AS$1001&lt;$AS937))+1,"")</f>
        <v/>
      </c>
      <c r="AQ937">
        <f>IF($E937="","",IF(OR($V937=TRUE(),$V937="TRUE"),1,0))</f>
        <v/>
      </c>
      <c r="AR937">
        <f>IF($E937="","",IF($AE937="Yes",1,0))</f>
        <v/>
      </c>
      <c r="AS937">
        <f>IF($AO937=1,IFERROR(IF(VALUE($E937)&lt;100000000,VALUE($E937),1000000000),IFERROR(IF(VALUE(MID($E937,2,20))&lt;100000000,VALUE(MID($E937,2,20)),1000000000),1000000000))+ROW()/100000,"")</f>
        <v/>
      </c>
    </row>
    <row r="938">
      <c r="D938">
        <f>IF($E938="","",IFERROR(IF(INDEX('Per Invoice'!$A$2:$A$301,MATCH($E938,'Per Invoice'!$B$2:$B$301,0))=0,"",INDEX('Per Invoice'!$A$2:$A$301,MATCH($E938,'Per Invoice'!$B$2:$B$301,0))),""))</f>
        <v/>
      </c>
      <c r="H938" s="11" t="n"/>
      <c r="R938" s="7">
        <f>IF($E938="","",Q938*Z938/100)</f>
        <v/>
      </c>
      <c r="S938" s="7" t="n"/>
      <c r="Y938" s="7" t="n"/>
      <c r="Z938" s="7" t="n"/>
      <c r="AA938" s="7">
        <f>IF($E938="","",Z938*AF938/100)</f>
        <v/>
      </c>
      <c r="AB938" s="7">
        <f>IF($E938="","",Z938-AA938)</f>
        <v/>
      </c>
      <c r="AC938" s="7">
        <f>IF($E938="","",AB938-R938)</f>
        <v/>
      </c>
      <c r="AF938">
        <f>IF($E938="","",IF($AR938=1,0,IF($AQ938=1,Settings!$C$6,Settings!$C$7))*100)</f>
        <v/>
      </c>
      <c r="AJ938" s="7" t="n"/>
      <c r="AM938" s="11" t="n"/>
      <c r="AO938">
        <f>IF($E938="","",IF(COUNTIF($E$2:$E938,$E938)=1,1,0))</f>
        <v/>
      </c>
      <c r="AP938">
        <f>IF($AO938=1,SUMPRODUCT(--($AS$2:$AS$1001&lt;$AS938))+1,"")</f>
        <v/>
      </c>
      <c r="AQ938">
        <f>IF($E938="","",IF(OR($V938=TRUE(),$V938="TRUE"),1,0))</f>
        <v/>
      </c>
      <c r="AR938">
        <f>IF($E938="","",IF($AE938="Yes",1,0))</f>
        <v/>
      </c>
      <c r="AS938">
        <f>IF($AO938=1,IFERROR(IF(VALUE($E938)&lt;100000000,VALUE($E938),1000000000),IFERROR(IF(VALUE(MID($E938,2,20))&lt;100000000,VALUE(MID($E938,2,20)),1000000000),1000000000))+ROW()/100000,"")</f>
        <v/>
      </c>
    </row>
    <row r="939">
      <c r="D939">
        <f>IF($E939="","",IFERROR(IF(INDEX('Per Invoice'!$A$2:$A$301,MATCH($E939,'Per Invoice'!$B$2:$B$301,0))=0,"",INDEX('Per Invoice'!$A$2:$A$301,MATCH($E939,'Per Invoice'!$B$2:$B$301,0))),""))</f>
        <v/>
      </c>
      <c r="H939" s="11" t="n"/>
      <c r="R939" s="7">
        <f>IF($E939="","",Q939*Z939/100)</f>
        <v/>
      </c>
      <c r="S939" s="7" t="n"/>
      <c r="Y939" s="7" t="n"/>
      <c r="Z939" s="7" t="n"/>
      <c r="AA939" s="7">
        <f>IF($E939="","",Z939*AF939/100)</f>
        <v/>
      </c>
      <c r="AB939" s="7">
        <f>IF($E939="","",Z939-AA939)</f>
        <v/>
      </c>
      <c r="AC939" s="7">
        <f>IF($E939="","",AB939-R939)</f>
        <v/>
      </c>
      <c r="AF939">
        <f>IF($E939="","",IF($AR939=1,0,IF($AQ939=1,Settings!$C$6,Settings!$C$7))*100)</f>
        <v/>
      </c>
      <c r="AJ939" s="7" t="n"/>
      <c r="AM939" s="11" t="n"/>
      <c r="AO939">
        <f>IF($E939="","",IF(COUNTIF($E$2:$E939,$E939)=1,1,0))</f>
        <v/>
      </c>
      <c r="AP939">
        <f>IF($AO939=1,SUMPRODUCT(--($AS$2:$AS$1001&lt;$AS939))+1,"")</f>
        <v/>
      </c>
      <c r="AQ939">
        <f>IF($E939="","",IF(OR($V939=TRUE(),$V939="TRUE"),1,0))</f>
        <v/>
      </c>
      <c r="AR939">
        <f>IF($E939="","",IF($AE939="Yes",1,0))</f>
        <v/>
      </c>
      <c r="AS939">
        <f>IF($AO939=1,IFERROR(IF(VALUE($E939)&lt;100000000,VALUE($E939),1000000000),IFERROR(IF(VALUE(MID($E939,2,20))&lt;100000000,VALUE(MID($E939,2,20)),1000000000),1000000000))+ROW()/100000,"")</f>
        <v/>
      </c>
    </row>
    <row r="940">
      <c r="D940">
        <f>IF($E940="","",IFERROR(IF(INDEX('Per Invoice'!$A$2:$A$301,MATCH($E940,'Per Invoice'!$B$2:$B$301,0))=0,"",INDEX('Per Invoice'!$A$2:$A$301,MATCH($E940,'Per Invoice'!$B$2:$B$301,0))),""))</f>
        <v/>
      </c>
      <c r="H940" s="11" t="n"/>
      <c r="R940" s="7">
        <f>IF($E940="","",Q940*Z940/100)</f>
        <v/>
      </c>
      <c r="S940" s="7" t="n"/>
      <c r="Y940" s="7" t="n"/>
      <c r="Z940" s="7" t="n"/>
      <c r="AA940" s="7">
        <f>IF($E940="","",Z940*AF940/100)</f>
        <v/>
      </c>
      <c r="AB940" s="7">
        <f>IF($E940="","",Z940-AA940)</f>
        <v/>
      </c>
      <c r="AC940" s="7">
        <f>IF($E940="","",AB940-R940)</f>
        <v/>
      </c>
      <c r="AF940">
        <f>IF($E940="","",IF($AR940=1,0,IF($AQ940=1,Settings!$C$6,Settings!$C$7))*100)</f>
        <v/>
      </c>
      <c r="AJ940" s="7" t="n"/>
      <c r="AM940" s="11" t="n"/>
      <c r="AO940">
        <f>IF($E940="","",IF(COUNTIF($E$2:$E940,$E940)=1,1,0))</f>
        <v/>
      </c>
      <c r="AP940">
        <f>IF($AO940=1,SUMPRODUCT(--($AS$2:$AS$1001&lt;$AS940))+1,"")</f>
        <v/>
      </c>
      <c r="AQ940">
        <f>IF($E940="","",IF(OR($V940=TRUE(),$V940="TRUE"),1,0))</f>
        <v/>
      </c>
      <c r="AR940">
        <f>IF($E940="","",IF($AE940="Yes",1,0))</f>
        <v/>
      </c>
      <c r="AS940">
        <f>IF($AO940=1,IFERROR(IF(VALUE($E940)&lt;100000000,VALUE($E940),1000000000),IFERROR(IF(VALUE(MID($E940,2,20))&lt;100000000,VALUE(MID($E940,2,20)),1000000000),1000000000))+ROW()/100000,"")</f>
        <v/>
      </c>
    </row>
    <row r="941">
      <c r="D941">
        <f>IF($E941="","",IFERROR(IF(INDEX('Per Invoice'!$A$2:$A$301,MATCH($E941,'Per Invoice'!$B$2:$B$301,0))=0,"",INDEX('Per Invoice'!$A$2:$A$301,MATCH($E941,'Per Invoice'!$B$2:$B$301,0))),""))</f>
        <v/>
      </c>
      <c r="H941" s="11" t="n"/>
      <c r="R941" s="7">
        <f>IF($E941="","",Q941*Z941/100)</f>
        <v/>
      </c>
      <c r="S941" s="7" t="n"/>
      <c r="Y941" s="7" t="n"/>
      <c r="Z941" s="7" t="n"/>
      <c r="AA941" s="7">
        <f>IF($E941="","",Z941*AF941/100)</f>
        <v/>
      </c>
      <c r="AB941" s="7">
        <f>IF($E941="","",Z941-AA941)</f>
        <v/>
      </c>
      <c r="AC941" s="7">
        <f>IF($E941="","",AB941-R941)</f>
        <v/>
      </c>
      <c r="AF941">
        <f>IF($E941="","",IF($AR941=1,0,IF($AQ941=1,Settings!$C$6,Settings!$C$7))*100)</f>
        <v/>
      </c>
      <c r="AJ941" s="7" t="n"/>
      <c r="AM941" s="11" t="n"/>
      <c r="AO941">
        <f>IF($E941="","",IF(COUNTIF($E$2:$E941,$E941)=1,1,0))</f>
        <v/>
      </c>
      <c r="AP941">
        <f>IF($AO941=1,SUMPRODUCT(--($AS$2:$AS$1001&lt;$AS941))+1,"")</f>
        <v/>
      </c>
      <c r="AQ941">
        <f>IF($E941="","",IF(OR($V941=TRUE(),$V941="TRUE"),1,0))</f>
        <v/>
      </c>
      <c r="AR941">
        <f>IF($E941="","",IF($AE941="Yes",1,0))</f>
        <v/>
      </c>
      <c r="AS941">
        <f>IF($AO941=1,IFERROR(IF(VALUE($E941)&lt;100000000,VALUE($E941),1000000000),IFERROR(IF(VALUE(MID($E941,2,20))&lt;100000000,VALUE(MID($E941,2,20)),1000000000),1000000000))+ROW()/100000,"")</f>
        <v/>
      </c>
    </row>
    <row r="942">
      <c r="D942">
        <f>IF($E942="","",IFERROR(IF(INDEX('Per Invoice'!$A$2:$A$301,MATCH($E942,'Per Invoice'!$B$2:$B$301,0))=0,"",INDEX('Per Invoice'!$A$2:$A$301,MATCH($E942,'Per Invoice'!$B$2:$B$301,0))),""))</f>
        <v/>
      </c>
      <c r="H942" s="11" t="n"/>
      <c r="R942" s="7">
        <f>IF($E942="","",Q942*Z942/100)</f>
        <v/>
      </c>
      <c r="S942" s="7" t="n"/>
      <c r="Y942" s="7" t="n"/>
      <c r="Z942" s="7" t="n"/>
      <c r="AA942" s="7">
        <f>IF($E942="","",Z942*AF942/100)</f>
        <v/>
      </c>
      <c r="AB942" s="7">
        <f>IF($E942="","",Z942-AA942)</f>
        <v/>
      </c>
      <c r="AC942" s="7">
        <f>IF($E942="","",AB942-R942)</f>
        <v/>
      </c>
      <c r="AF942">
        <f>IF($E942="","",IF($AR942=1,0,IF($AQ942=1,Settings!$C$6,Settings!$C$7))*100)</f>
        <v/>
      </c>
      <c r="AJ942" s="7" t="n"/>
      <c r="AM942" s="11" t="n"/>
      <c r="AO942">
        <f>IF($E942="","",IF(COUNTIF($E$2:$E942,$E942)=1,1,0))</f>
        <v/>
      </c>
      <c r="AP942">
        <f>IF($AO942=1,SUMPRODUCT(--($AS$2:$AS$1001&lt;$AS942))+1,"")</f>
        <v/>
      </c>
      <c r="AQ942">
        <f>IF($E942="","",IF(OR($V942=TRUE(),$V942="TRUE"),1,0))</f>
        <v/>
      </c>
      <c r="AR942">
        <f>IF($E942="","",IF($AE942="Yes",1,0))</f>
        <v/>
      </c>
      <c r="AS942">
        <f>IF($AO942=1,IFERROR(IF(VALUE($E942)&lt;100000000,VALUE($E942),1000000000),IFERROR(IF(VALUE(MID($E942,2,20))&lt;100000000,VALUE(MID($E942,2,20)),1000000000),1000000000))+ROW()/100000,"")</f>
        <v/>
      </c>
    </row>
    <row r="943">
      <c r="D943">
        <f>IF($E943="","",IFERROR(IF(INDEX('Per Invoice'!$A$2:$A$301,MATCH($E943,'Per Invoice'!$B$2:$B$301,0))=0,"",INDEX('Per Invoice'!$A$2:$A$301,MATCH($E943,'Per Invoice'!$B$2:$B$301,0))),""))</f>
        <v/>
      </c>
      <c r="H943" s="11" t="n"/>
      <c r="R943" s="7">
        <f>IF($E943="","",Q943*Z943/100)</f>
        <v/>
      </c>
      <c r="S943" s="7" t="n"/>
      <c r="Y943" s="7" t="n"/>
      <c r="Z943" s="7" t="n"/>
      <c r="AA943" s="7">
        <f>IF($E943="","",Z943*AF943/100)</f>
        <v/>
      </c>
      <c r="AB943" s="7">
        <f>IF($E943="","",Z943-AA943)</f>
        <v/>
      </c>
      <c r="AC943" s="7">
        <f>IF($E943="","",AB943-R943)</f>
        <v/>
      </c>
      <c r="AF943">
        <f>IF($E943="","",IF($AR943=1,0,IF($AQ943=1,Settings!$C$6,Settings!$C$7))*100)</f>
        <v/>
      </c>
      <c r="AJ943" s="7" t="n"/>
      <c r="AM943" s="11" t="n"/>
      <c r="AO943">
        <f>IF($E943="","",IF(COUNTIF($E$2:$E943,$E943)=1,1,0))</f>
        <v/>
      </c>
      <c r="AP943">
        <f>IF($AO943=1,SUMPRODUCT(--($AS$2:$AS$1001&lt;$AS943))+1,"")</f>
        <v/>
      </c>
      <c r="AQ943">
        <f>IF($E943="","",IF(OR($V943=TRUE(),$V943="TRUE"),1,0))</f>
        <v/>
      </c>
      <c r="AR943">
        <f>IF($E943="","",IF($AE943="Yes",1,0))</f>
        <v/>
      </c>
      <c r="AS943">
        <f>IF($AO943=1,IFERROR(IF(VALUE($E943)&lt;100000000,VALUE($E943),1000000000),IFERROR(IF(VALUE(MID($E943,2,20))&lt;100000000,VALUE(MID($E943,2,20)),1000000000),1000000000))+ROW()/100000,"")</f>
        <v/>
      </c>
    </row>
    <row r="944">
      <c r="D944">
        <f>IF($E944="","",IFERROR(IF(INDEX('Per Invoice'!$A$2:$A$301,MATCH($E944,'Per Invoice'!$B$2:$B$301,0))=0,"",INDEX('Per Invoice'!$A$2:$A$301,MATCH($E944,'Per Invoice'!$B$2:$B$301,0))),""))</f>
        <v/>
      </c>
      <c r="H944" s="11" t="n"/>
      <c r="R944" s="7">
        <f>IF($E944="","",Q944*Z944/100)</f>
        <v/>
      </c>
      <c r="S944" s="7" t="n"/>
      <c r="Y944" s="7" t="n"/>
      <c r="Z944" s="7" t="n"/>
      <c r="AA944" s="7">
        <f>IF($E944="","",Z944*AF944/100)</f>
        <v/>
      </c>
      <c r="AB944" s="7">
        <f>IF($E944="","",Z944-AA944)</f>
        <v/>
      </c>
      <c r="AC944" s="7">
        <f>IF($E944="","",AB944-R944)</f>
        <v/>
      </c>
      <c r="AF944">
        <f>IF($E944="","",IF($AR944=1,0,IF($AQ944=1,Settings!$C$6,Settings!$C$7))*100)</f>
        <v/>
      </c>
      <c r="AJ944" s="7" t="n"/>
      <c r="AM944" s="11" t="n"/>
      <c r="AO944">
        <f>IF($E944="","",IF(COUNTIF($E$2:$E944,$E944)=1,1,0))</f>
        <v/>
      </c>
      <c r="AP944">
        <f>IF($AO944=1,SUMPRODUCT(--($AS$2:$AS$1001&lt;$AS944))+1,"")</f>
        <v/>
      </c>
      <c r="AQ944">
        <f>IF($E944="","",IF(OR($V944=TRUE(),$V944="TRUE"),1,0))</f>
        <v/>
      </c>
      <c r="AR944">
        <f>IF($E944="","",IF($AE944="Yes",1,0))</f>
        <v/>
      </c>
      <c r="AS944">
        <f>IF($AO944=1,IFERROR(IF(VALUE($E944)&lt;100000000,VALUE($E944),1000000000),IFERROR(IF(VALUE(MID($E944,2,20))&lt;100000000,VALUE(MID($E944,2,20)),1000000000),1000000000))+ROW()/100000,"")</f>
        <v/>
      </c>
    </row>
    <row r="945">
      <c r="D945">
        <f>IF($E945="","",IFERROR(IF(INDEX('Per Invoice'!$A$2:$A$301,MATCH($E945,'Per Invoice'!$B$2:$B$301,0))=0,"",INDEX('Per Invoice'!$A$2:$A$301,MATCH($E945,'Per Invoice'!$B$2:$B$301,0))),""))</f>
        <v/>
      </c>
      <c r="H945" s="11" t="n"/>
      <c r="R945" s="7">
        <f>IF($E945="","",Q945*Z945/100)</f>
        <v/>
      </c>
      <c r="S945" s="7" t="n"/>
      <c r="Y945" s="7" t="n"/>
      <c r="Z945" s="7" t="n"/>
      <c r="AA945" s="7">
        <f>IF($E945="","",Z945*AF945/100)</f>
        <v/>
      </c>
      <c r="AB945" s="7">
        <f>IF($E945="","",Z945-AA945)</f>
        <v/>
      </c>
      <c r="AC945" s="7">
        <f>IF($E945="","",AB945-R945)</f>
        <v/>
      </c>
      <c r="AF945">
        <f>IF($E945="","",IF($AR945=1,0,IF($AQ945=1,Settings!$C$6,Settings!$C$7))*100)</f>
        <v/>
      </c>
      <c r="AJ945" s="7" t="n"/>
      <c r="AM945" s="11" t="n"/>
      <c r="AO945">
        <f>IF($E945="","",IF(COUNTIF($E$2:$E945,$E945)=1,1,0))</f>
        <v/>
      </c>
      <c r="AP945">
        <f>IF($AO945=1,SUMPRODUCT(--($AS$2:$AS$1001&lt;$AS945))+1,"")</f>
        <v/>
      </c>
      <c r="AQ945">
        <f>IF($E945="","",IF(OR($V945=TRUE(),$V945="TRUE"),1,0))</f>
        <v/>
      </c>
      <c r="AR945">
        <f>IF($E945="","",IF($AE945="Yes",1,0))</f>
        <v/>
      </c>
      <c r="AS945">
        <f>IF($AO945=1,IFERROR(IF(VALUE($E945)&lt;100000000,VALUE($E945),1000000000),IFERROR(IF(VALUE(MID($E945,2,20))&lt;100000000,VALUE(MID($E945,2,20)),1000000000),1000000000))+ROW()/100000,"")</f>
        <v/>
      </c>
    </row>
    <row r="946">
      <c r="D946">
        <f>IF($E946="","",IFERROR(IF(INDEX('Per Invoice'!$A$2:$A$301,MATCH($E946,'Per Invoice'!$B$2:$B$301,0))=0,"",INDEX('Per Invoice'!$A$2:$A$301,MATCH($E946,'Per Invoice'!$B$2:$B$301,0))),""))</f>
        <v/>
      </c>
      <c r="H946" s="11" t="n"/>
      <c r="R946" s="7">
        <f>IF($E946="","",Q946*Z946/100)</f>
        <v/>
      </c>
      <c r="S946" s="7" t="n"/>
      <c r="Y946" s="7" t="n"/>
      <c r="Z946" s="7" t="n"/>
      <c r="AA946" s="7">
        <f>IF($E946="","",Z946*AF946/100)</f>
        <v/>
      </c>
      <c r="AB946" s="7">
        <f>IF($E946="","",Z946-AA946)</f>
        <v/>
      </c>
      <c r="AC946" s="7">
        <f>IF($E946="","",AB946-R946)</f>
        <v/>
      </c>
      <c r="AF946">
        <f>IF($E946="","",IF($AR946=1,0,IF($AQ946=1,Settings!$C$6,Settings!$C$7))*100)</f>
        <v/>
      </c>
      <c r="AJ946" s="7" t="n"/>
      <c r="AM946" s="11" t="n"/>
      <c r="AO946">
        <f>IF($E946="","",IF(COUNTIF($E$2:$E946,$E946)=1,1,0))</f>
        <v/>
      </c>
      <c r="AP946">
        <f>IF($AO946=1,SUMPRODUCT(--($AS$2:$AS$1001&lt;$AS946))+1,"")</f>
        <v/>
      </c>
      <c r="AQ946">
        <f>IF($E946="","",IF(OR($V946=TRUE(),$V946="TRUE"),1,0))</f>
        <v/>
      </c>
      <c r="AR946">
        <f>IF($E946="","",IF($AE946="Yes",1,0))</f>
        <v/>
      </c>
      <c r="AS946">
        <f>IF($AO946=1,IFERROR(IF(VALUE($E946)&lt;100000000,VALUE($E946),1000000000),IFERROR(IF(VALUE(MID($E946,2,20))&lt;100000000,VALUE(MID($E946,2,20)),1000000000),1000000000))+ROW()/100000,"")</f>
        <v/>
      </c>
    </row>
    <row r="947">
      <c r="D947">
        <f>IF($E947="","",IFERROR(IF(INDEX('Per Invoice'!$A$2:$A$301,MATCH($E947,'Per Invoice'!$B$2:$B$301,0))=0,"",INDEX('Per Invoice'!$A$2:$A$301,MATCH($E947,'Per Invoice'!$B$2:$B$301,0))),""))</f>
        <v/>
      </c>
      <c r="H947" s="11" t="n"/>
      <c r="R947" s="7">
        <f>IF($E947="","",Q947*Z947/100)</f>
        <v/>
      </c>
      <c r="S947" s="7" t="n"/>
      <c r="Y947" s="7" t="n"/>
      <c r="Z947" s="7" t="n"/>
      <c r="AA947" s="7">
        <f>IF($E947="","",Z947*AF947/100)</f>
        <v/>
      </c>
      <c r="AB947" s="7">
        <f>IF($E947="","",Z947-AA947)</f>
        <v/>
      </c>
      <c r="AC947" s="7">
        <f>IF($E947="","",AB947-R947)</f>
        <v/>
      </c>
      <c r="AF947">
        <f>IF($E947="","",IF($AR947=1,0,IF($AQ947=1,Settings!$C$6,Settings!$C$7))*100)</f>
        <v/>
      </c>
      <c r="AJ947" s="7" t="n"/>
      <c r="AM947" s="11" t="n"/>
      <c r="AO947">
        <f>IF($E947="","",IF(COUNTIF($E$2:$E947,$E947)=1,1,0))</f>
        <v/>
      </c>
      <c r="AP947">
        <f>IF($AO947=1,SUMPRODUCT(--($AS$2:$AS$1001&lt;$AS947))+1,"")</f>
        <v/>
      </c>
      <c r="AQ947">
        <f>IF($E947="","",IF(OR($V947=TRUE(),$V947="TRUE"),1,0))</f>
        <v/>
      </c>
      <c r="AR947">
        <f>IF($E947="","",IF($AE947="Yes",1,0))</f>
        <v/>
      </c>
      <c r="AS947">
        <f>IF($AO947=1,IFERROR(IF(VALUE($E947)&lt;100000000,VALUE($E947),1000000000),IFERROR(IF(VALUE(MID($E947,2,20))&lt;100000000,VALUE(MID($E947,2,20)),1000000000),1000000000))+ROW()/100000,"")</f>
        <v/>
      </c>
    </row>
    <row r="948">
      <c r="D948">
        <f>IF($E948="","",IFERROR(IF(INDEX('Per Invoice'!$A$2:$A$301,MATCH($E948,'Per Invoice'!$B$2:$B$301,0))=0,"",INDEX('Per Invoice'!$A$2:$A$301,MATCH($E948,'Per Invoice'!$B$2:$B$301,0))),""))</f>
        <v/>
      </c>
      <c r="H948" s="11" t="n"/>
      <c r="R948" s="7">
        <f>IF($E948="","",Q948*Z948/100)</f>
        <v/>
      </c>
      <c r="S948" s="7" t="n"/>
      <c r="Y948" s="7" t="n"/>
      <c r="Z948" s="7" t="n"/>
      <c r="AA948" s="7">
        <f>IF($E948="","",Z948*AF948/100)</f>
        <v/>
      </c>
      <c r="AB948" s="7">
        <f>IF($E948="","",Z948-AA948)</f>
        <v/>
      </c>
      <c r="AC948" s="7">
        <f>IF($E948="","",AB948-R948)</f>
        <v/>
      </c>
      <c r="AF948">
        <f>IF($E948="","",IF($AR948=1,0,IF($AQ948=1,Settings!$C$6,Settings!$C$7))*100)</f>
        <v/>
      </c>
      <c r="AJ948" s="7" t="n"/>
      <c r="AM948" s="11" t="n"/>
      <c r="AO948">
        <f>IF($E948="","",IF(COUNTIF($E$2:$E948,$E948)=1,1,0))</f>
        <v/>
      </c>
      <c r="AP948">
        <f>IF($AO948=1,SUMPRODUCT(--($AS$2:$AS$1001&lt;$AS948))+1,"")</f>
        <v/>
      </c>
      <c r="AQ948">
        <f>IF($E948="","",IF(OR($V948=TRUE(),$V948="TRUE"),1,0))</f>
        <v/>
      </c>
      <c r="AR948">
        <f>IF($E948="","",IF($AE948="Yes",1,0))</f>
        <v/>
      </c>
      <c r="AS948">
        <f>IF($AO948=1,IFERROR(IF(VALUE($E948)&lt;100000000,VALUE($E948),1000000000),IFERROR(IF(VALUE(MID($E948,2,20))&lt;100000000,VALUE(MID($E948,2,20)),1000000000),1000000000))+ROW()/100000,"")</f>
        <v/>
      </c>
    </row>
    <row r="949">
      <c r="D949">
        <f>IF($E949="","",IFERROR(IF(INDEX('Per Invoice'!$A$2:$A$301,MATCH($E949,'Per Invoice'!$B$2:$B$301,0))=0,"",INDEX('Per Invoice'!$A$2:$A$301,MATCH($E949,'Per Invoice'!$B$2:$B$301,0))),""))</f>
        <v/>
      </c>
      <c r="H949" s="11" t="n"/>
      <c r="R949" s="7">
        <f>IF($E949="","",Q949*Z949/100)</f>
        <v/>
      </c>
      <c r="S949" s="7" t="n"/>
      <c r="Y949" s="7" t="n"/>
      <c r="Z949" s="7" t="n"/>
      <c r="AA949" s="7">
        <f>IF($E949="","",Z949*AF949/100)</f>
        <v/>
      </c>
      <c r="AB949" s="7">
        <f>IF($E949="","",Z949-AA949)</f>
        <v/>
      </c>
      <c r="AC949" s="7">
        <f>IF($E949="","",AB949-R949)</f>
        <v/>
      </c>
      <c r="AF949">
        <f>IF($E949="","",IF($AR949=1,0,IF($AQ949=1,Settings!$C$6,Settings!$C$7))*100)</f>
        <v/>
      </c>
      <c r="AJ949" s="7" t="n"/>
      <c r="AM949" s="11" t="n"/>
      <c r="AO949">
        <f>IF($E949="","",IF(COUNTIF($E$2:$E949,$E949)=1,1,0))</f>
        <v/>
      </c>
      <c r="AP949">
        <f>IF($AO949=1,SUMPRODUCT(--($AS$2:$AS$1001&lt;$AS949))+1,"")</f>
        <v/>
      </c>
      <c r="AQ949">
        <f>IF($E949="","",IF(OR($V949=TRUE(),$V949="TRUE"),1,0))</f>
        <v/>
      </c>
      <c r="AR949">
        <f>IF($E949="","",IF($AE949="Yes",1,0))</f>
        <v/>
      </c>
      <c r="AS949">
        <f>IF($AO949=1,IFERROR(IF(VALUE($E949)&lt;100000000,VALUE($E949),1000000000),IFERROR(IF(VALUE(MID($E949,2,20))&lt;100000000,VALUE(MID($E949,2,20)),1000000000),1000000000))+ROW()/100000,"")</f>
        <v/>
      </c>
    </row>
    <row r="950">
      <c r="D950">
        <f>IF($E950="","",IFERROR(IF(INDEX('Per Invoice'!$A$2:$A$301,MATCH($E950,'Per Invoice'!$B$2:$B$301,0))=0,"",INDEX('Per Invoice'!$A$2:$A$301,MATCH($E950,'Per Invoice'!$B$2:$B$301,0))),""))</f>
        <v/>
      </c>
      <c r="H950" s="11" t="n"/>
      <c r="R950" s="7">
        <f>IF($E950="","",Q950*Z950/100)</f>
        <v/>
      </c>
      <c r="S950" s="7" t="n"/>
      <c r="Y950" s="7" t="n"/>
      <c r="Z950" s="7" t="n"/>
      <c r="AA950" s="7">
        <f>IF($E950="","",Z950*AF950/100)</f>
        <v/>
      </c>
      <c r="AB950" s="7">
        <f>IF($E950="","",Z950-AA950)</f>
        <v/>
      </c>
      <c r="AC950" s="7">
        <f>IF($E950="","",AB950-R950)</f>
        <v/>
      </c>
      <c r="AF950">
        <f>IF($E950="","",IF($AR950=1,0,IF($AQ950=1,Settings!$C$6,Settings!$C$7))*100)</f>
        <v/>
      </c>
      <c r="AJ950" s="7" t="n"/>
      <c r="AM950" s="11" t="n"/>
      <c r="AO950">
        <f>IF($E950="","",IF(COUNTIF($E$2:$E950,$E950)=1,1,0))</f>
        <v/>
      </c>
      <c r="AP950">
        <f>IF($AO950=1,SUMPRODUCT(--($AS$2:$AS$1001&lt;$AS950))+1,"")</f>
        <v/>
      </c>
      <c r="AQ950">
        <f>IF($E950="","",IF(OR($V950=TRUE(),$V950="TRUE"),1,0))</f>
        <v/>
      </c>
      <c r="AR950">
        <f>IF($E950="","",IF($AE950="Yes",1,0))</f>
        <v/>
      </c>
      <c r="AS950">
        <f>IF($AO950=1,IFERROR(IF(VALUE($E950)&lt;100000000,VALUE($E950),1000000000),IFERROR(IF(VALUE(MID($E950,2,20))&lt;100000000,VALUE(MID($E950,2,20)),1000000000),1000000000))+ROW()/100000,"")</f>
        <v/>
      </c>
    </row>
    <row r="951">
      <c r="D951">
        <f>IF($E951="","",IFERROR(IF(INDEX('Per Invoice'!$A$2:$A$301,MATCH($E951,'Per Invoice'!$B$2:$B$301,0))=0,"",INDEX('Per Invoice'!$A$2:$A$301,MATCH($E951,'Per Invoice'!$B$2:$B$301,0))),""))</f>
        <v/>
      </c>
      <c r="H951" s="11" t="n"/>
      <c r="R951" s="7">
        <f>IF($E951="","",Q951*Z951/100)</f>
        <v/>
      </c>
      <c r="S951" s="7" t="n"/>
      <c r="Y951" s="7" t="n"/>
      <c r="Z951" s="7" t="n"/>
      <c r="AA951" s="7">
        <f>IF($E951="","",Z951*AF951/100)</f>
        <v/>
      </c>
      <c r="AB951" s="7">
        <f>IF($E951="","",Z951-AA951)</f>
        <v/>
      </c>
      <c r="AC951" s="7">
        <f>IF($E951="","",AB951-R951)</f>
        <v/>
      </c>
      <c r="AF951">
        <f>IF($E951="","",IF($AR951=1,0,IF($AQ951=1,Settings!$C$6,Settings!$C$7))*100)</f>
        <v/>
      </c>
      <c r="AJ951" s="7" t="n"/>
      <c r="AM951" s="11" t="n"/>
      <c r="AO951">
        <f>IF($E951="","",IF(COUNTIF($E$2:$E951,$E951)=1,1,0))</f>
        <v/>
      </c>
      <c r="AP951">
        <f>IF($AO951=1,SUMPRODUCT(--($AS$2:$AS$1001&lt;$AS951))+1,"")</f>
        <v/>
      </c>
      <c r="AQ951">
        <f>IF($E951="","",IF(OR($V951=TRUE(),$V951="TRUE"),1,0))</f>
        <v/>
      </c>
      <c r="AR951">
        <f>IF($E951="","",IF($AE951="Yes",1,0))</f>
        <v/>
      </c>
      <c r="AS951">
        <f>IF($AO951=1,IFERROR(IF(VALUE($E951)&lt;100000000,VALUE($E951),1000000000),IFERROR(IF(VALUE(MID($E951,2,20))&lt;100000000,VALUE(MID($E951,2,20)),1000000000),1000000000))+ROW()/100000,"")</f>
        <v/>
      </c>
    </row>
    <row r="952">
      <c r="D952">
        <f>IF($E952="","",IFERROR(IF(INDEX('Per Invoice'!$A$2:$A$301,MATCH($E952,'Per Invoice'!$B$2:$B$301,0))=0,"",INDEX('Per Invoice'!$A$2:$A$301,MATCH($E952,'Per Invoice'!$B$2:$B$301,0))),""))</f>
        <v/>
      </c>
      <c r="H952" s="11" t="n"/>
      <c r="R952" s="7">
        <f>IF($E952="","",Q952*Z952/100)</f>
        <v/>
      </c>
      <c r="S952" s="7" t="n"/>
      <c r="Y952" s="7" t="n"/>
      <c r="Z952" s="7" t="n"/>
      <c r="AA952" s="7">
        <f>IF($E952="","",Z952*AF952/100)</f>
        <v/>
      </c>
      <c r="AB952" s="7">
        <f>IF($E952="","",Z952-AA952)</f>
        <v/>
      </c>
      <c r="AC952" s="7">
        <f>IF($E952="","",AB952-R952)</f>
        <v/>
      </c>
      <c r="AF952">
        <f>IF($E952="","",IF($AR952=1,0,IF($AQ952=1,Settings!$C$6,Settings!$C$7))*100)</f>
        <v/>
      </c>
      <c r="AJ952" s="7" t="n"/>
      <c r="AM952" s="11" t="n"/>
      <c r="AO952">
        <f>IF($E952="","",IF(COUNTIF($E$2:$E952,$E952)=1,1,0))</f>
        <v/>
      </c>
      <c r="AP952">
        <f>IF($AO952=1,SUMPRODUCT(--($AS$2:$AS$1001&lt;$AS952))+1,"")</f>
        <v/>
      </c>
      <c r="AQ952">
        <f>IF($E952="","",IF(OR($V952=TRUE(),$V952="TRUE"),1,0))</f>
        <v/>
      </c>
      <c r="AR952">
        <f>IF($E952="","",IF($AE952="Yes",1,0))</f>
        <v/>
      </c>
      <c r="AS952">
        <f>IF($AO952=1,IFERROR(IF(VALUE($E952)&lt;100000000,VALUE($E952),1000000000),IFERROR(IF(VALUE(MID($E952,2,20))&lt;100000000,VALUE(MID($E952,2,20)),1000000000),1000000000))+ROW()/100000,"")</f>
        <v/>
      </c>
    </row>
    <row r="953">
      <c r="D953">
        <f>IF($E953="","",IFERROR(IF(INDEX('Per Invoice'!$A$2:$A$301,MATCH($E953,'Per Invoice'!$B$2:$B$301,0))=0,"",INDEX('Per Invoice'!$A$2:$A$301,MATCH($E953,'Per Invoice'!$B$2:$B$301,0))),""))</f>
        <v/>
      </c>
      <c r="H953" s="11" t="n"/>
      <c r="R953" s="7">
        <f>IF($E953="","",Q953*Z953/100)</f>
        <v/>
      </c>
      <c r="S953" s="7" t="n"/>
      <c r="Y953" s="7" t="n"/>
      <c r="Z953" s="7" t="n"/>
      <c r="AA953" s="7">
        <f>IF($E953="","",Z953*AF953/100)</f>
        <v/>
      </c>
      <c r="AB953" s="7">
        <f>IF($E953="","",Z953-AA953)</f>
        <v/>
      </c>
      <c r="AC953" s="7">
        <f>IF($E953="","",AB953-R953)</f>
        <v/>
      </c>
      <c r="AF953">
        <f>IF($E953="","",IF($AR953=1,0,IF($AQ953=1,Settings!$C$6,Settings!$C$7))*100)</f>
        <v/>
      </c>
      <c r="AJ953" s="7" t="n"/>
      <c r="AM953" s="11" t="n"/>
      <c r="AO953">
        <f>IF($E953="","",IF(COUNTIF($E$2:$E953,$E953)=1,1,0))</f>
        <v/>
      </c>
      <c r="AP953">
        <f>IF($AO953=1,SUMPRODUCT(--($AS$2:$AS$1001&lt;$AS953))+1,"")</f>
        <v/>
      </c>
      <c r="AQ953">
        <f>IF($E953="","",IF(OR($V953=TRUE(),$V953="TRUE"),1,0))</f>
        <v/>
      </c>
      <c r="AR953">
        <f>IF($E953="","",IF($AE953="Yes",1,0))</f>
        <v/>
      </c>
      <c r="AS953">
        <f>IF($AO953=1,IFERROR(IF(VALUE($E953)&lt;100000000,VALUE($E953),1000000000),IFERROR(IF(VALUE(MID($E953,2,20))&lt;100000000,VALUE(MID($E953,2,20)),1000000000),1000000000))+ROW()/100000,"")</f>
        <v/>
      </c>
    </row>
    <row r="954">
      <c r="D954">
        <f>IF($E954="","",IFERROR(IF(INDEX('Per Invoice'!$A$2:$A$301,MATCH($E954,'Per Invoice'!$B$2:$B$301,0))=0,"",INDEX('Per Invoice'!$A$2:$A$301,MATCH($E954,'Per Invoice'!$B$2:$B$301,0))),""))</f>
        <v/>
      </c>
      <c r="H954" s="11" t="n"/>
      <c r="R954" s="7">
        <f>IF($E954="","",Q954*Z954/100)</f>
        <v/>
      </c>
      <c r="S954" s="7" t="n"/>
      <c r="Y954" s="7" t="n"/>
      <c r="Z954" s="7" t="n"/>
      <c r="AA954" s="7">
        <f>IF($E954="","",Z954*AF954/100)</f>
        <v/>
      </c>
      <c r="AB954" s="7">
        <f>IF($E954="","",Z954-AA954)</f>
        <v/>
      </c>
      <c r="AC954" s="7">
        <f>IF($E954="","",AB954-R954)</f>
        <v/>
      </c>
      <c r="AF954">
        <f>IF($E954="","",IF($AR954=1,0,IF($AQ954=1,Settings!$C$6,Settings!$C$7))*100)</f>
        <v/>
      </c>
      <c r="AJ954" s="7" t="n"/>
      <c r="AM954" s="11" t="n"/>
      <c r="AO954">
        <f>IF($E954="","",IF(COUNTIF($E$2:$E954,$E954)=1,1,0))</f>
        <v/>
      </c>
      <c r="AP954">
        <f>IF($AO954=1,SUMPRODUCT(--($AS$2:$AS$1001&lt;$AS954))+1,"")</f>
        <v/>
      </c>
      <c r="AQ954">
        <f>IF($E954="","",IF(OR($V954=TRUE(),$V954="TRUE"),1,0))</f>
        <v/>
      </c>
      <c r="AR954">
        <f>IF($E954="","",IF($AE954="Yes",1,0))</f>
        <v/>
      </c>
      <c r="AS954">
        <f>IF($AO954=1,IFERROR(IF(VALUE($E954)&lt;100000000,VALUE($E954),1000000000),IFERROR(IF(VALUE(MID($E954,2,20))&lt;100000000,VALUE(MID($E954,2,20)),1000000000),1000000000))+ROW()/100000,"")</f>
        <v/>
      </c>
    </row>
    <row r="955">
      <c r="D955">
        <f>IF($E955="","",IFERROR(IF(INDEX('Per Invoice'!$A$2:$A$301,MATCH($E955,'Per Invoice'!$B$2:$B$301,0))=0,"",INDEX('Per Invoice'!$A$2:$A$301,MATCH($E955,'Per Invoice'!$B$2:$B$301,0))),""))</f>
        <v/>
      </c>
      <c r="H955" s="11" t="n"/>
      <c r="R955" s="7">
        <f>IF($E955="","",Q955*Z955/100)</f>
        <v/>
      </c>
      <c r="S955" s="7" t="n"/>
      <c r="Y955" s="7" t="n"/>
      <c r="Z955" s="7" t="n"/>
      <c r="AA955" s="7">
        <f>IF($E955="","",Z955*AF955/100)</f>
        <v/>
      </c>
      <c r="AB955" s="7">
        <f>IF($E955="","",Z955-AA955)</f>
        <v/>
      </c>
      <c r="AC955" s="7">
        <f>IF($E955="","",AB955-R955)</f>
        <v/>
      </c>
      <c r="AF955">
        <f>IF($E955="","",IF($AR955=1,0,IF($AQ955=1,Settings!$C$6,Settings!$C$7))*100)</f>
        <v/>
      </c>
      <c r="AJ955" s="7" t="n"/>
      <c r="AM955" s="11" t="n"/>
      <c r="AO955">
        <f>IF($E955="","",IF(COUNTIF($E$2:$E955,$E955)=1,1,0))</f>
        <v/>
      </c>
      <c r="AP955">
        <f>IF($AO955=1,SUMPRODUCT(--($AS$2:$AS$1001&lt;$AS955))+1,"")</f>
        <v/>
      </c>
      <c r="AQ955">
        <f>IF($E955="","",IF(OR($V955=TRUE(),$V955="TRUE"),1,0))</f>
        <v/>
      </c>
      <c r="AR955">
        <f>IF($E955="","",IF($AE955="Yes",1,0))</f>
        <v/>
      </c>
      <c r="AS955">
        <f>IF($AO955=1,IFERROR(IF(VALUE($E955)&lt;100000000,VALUE($E955),1000000000),IFERROR(IF(VALUE(MID($E955,2,20))&lt;100000000,VALUE(MID($E955,2,20)),1000000000),1000000000))+ROW()/100000,"")</f>
        <v/>
      </c>
    </row>
    <row r="956">
      <c r="D956">
        <f>IF($E956="","",IFERROR(IF(INDEX('Per Invoice'!$A$2:$A$301,MATCH($E956,'Per Invoice'!$B$2:$B$301,0))=0,"",INDEX('Per Invoice'!$A$2:$A$301,MATCH($E956,'Per Invoice'!$B$2:$B$301,0))),""))</f>
        <v/>
      </c>
      <c r="H956" s="11" t="n"/>
      <c r="R956" s="7">
        <f>IF($E956="","",Q956*Z956/100)</f>
        <v/>
      </c>
      <c r="S956" s="7" t="n"/>
      <c r="Y956" s="7" t="n"/>
      <c r="Z956" s="7" t="n"/>
      <c r="AA956" s="7">
        <f>IF($E956="","",Z956*AF956/100)</f>
        <v/>
      </c>
      <c r="AB956" s="7">
        <f>IF($E956="","",Z956-AA956)</f>
        <v/>
      </c>
      <c r="AC956" s="7">
        <f>IF($E956="","",AB956-R956)</f>
        <v/>
      </c>
      <c r="AF956">
        <f>IF($E956="","",IF($AR956=1,0,IF($AQ956=1,Settings!$C$6,Settings!$C$7))*100)</f>
        <v/>
      </c>
      <c r="AJ956" s="7" t="n"/>
      <c r="AM956" s="11" t="n"/>
      <c r="AO956">
        <f>IF($E956="","",IF(COUNTIF($E$2:$E956,$E956)=1,1,0))</f>
        <v/>
      </c>
      <c r="AP956">
        <f>IF($AO956=1,SUMPRODUCT(--($AS$2:$AS$1001&lt;$AS956))+1,"")</f>
        <v/>
      </c>
      <c r="AQ956">
        <f>IF($E956="","",IF(OR($V956=TRUE(),$V956="TRUE"),1,0))</f>
        <v/>
      </c>
      <c r="AR956">
        <f>IF($E956="","",IF($AE956="Yes",1,0))</f>
        <v/>
      </c>
      <c r="AS956">
        <f>IF($AO956=1,IFERROR(IF(VALUE($E956)&lt;100000000,VALUE($E956),1000000000),IFERROR(IF(VALUE(MID($E956,2,20))&lt;100000000,VALUE(MID($E956,2,20)),1000000000),1000000000))+ROW()/100000,"")</f>
        <v/>
      </c>
    </row>
    <row r="957">
      <c r="D957">
        <f>IF($E957="","",IFERROR(IF(INDEX('Per Invoice'!$A$2:$A$301,MATCH($E957,'Per Invoice'!$B$2:$B$301,0))=0,"",INDEX('Per Invoice'!$A$2:$A$301,MATCH($E957,'Per Invoice'!$B$2:$B$301,0))),""))</f>
        <v/>
      </c>
      <c r="H957" s="11" t="n"/>
      <c r="R957" s="7">
        <f>IF($E957="","",Q957*Z957/100)</f>
        <v/>
      </c>
      <c r="S957" s="7" t="n"/>
      <c r="Y957" s="7" t="n"/>
      <c r="Z957" s="7" t="n"/>
      <c r="AA957" s="7">
        <f>IF($E957="","",Z957*AF957/100)</f>
        <v/>
      </c>
      <c r="AB957" s="7">
        <f>IF($E957="","",Z957-AA957)</f>
        <v/>
      </c>
      <c r="AC957" s="7">
        <f>IF($E957="","",AB957-R957)</f>
        <v/>
      </c>
      <c r="AF957">
        <f>IF($E957="","",IF($AR957=1,0,IF($AQ957=1,Settings!$C$6,Settings!$C$7))*100)</f>
        <v/>
      </c>
      <c r="AJ957" s="7" t="n"/>
      <c r="AM957" s="11" t="n"/>
      <c r="AO957">
        <f>IF($E957="","",IF(COUNTIF($E$2:$E957,$E957)=1,1,0))</f>
        <v/>
      </c>
      <c r="AP957">
        <f>IF($AO957=1,SUMPRODUCT(--($AS$2:$AS$1001&lt;$AS957))+1,"")</f>
        <v/>
      </c>
      <c r="AQ957">
        <f>IF($E957="","",IF(OR($V957=TRUE(),$V957="TRUE"),1,0))</f>
        <v/>
      </c>
      <c r="AR957">
        <f>IF($E957="","",IF($AE957="Yes",1,0))</f>
        <v/>
      </c>
      <c r="AS957">
        <f>IF($AO957=1,IFERROR(IF(VALUE($E957)&lt;100000000,VALUE($E957),1000000000),IFERROR(IF(VALUE(MID($E957,2,20))&lt;100000000,VALUE(MID($E957,2,20)),1000000000),1000000000))+ROW()/100000,"")</f>
        <v/>
      </c>
    </row>
    <row r="958">
      <c r="D958">
        <f>IF($E958="","",IFERROR(IF(INDEX('Per Invoice'!$A$2:$A$301,MATCH($E958,'Per Invoice'!$B$2:$B$301,0))=0,"",INDEX('Per Invoice'!$A$2:$A$301,MATCH($E958,'Per Invoice'!$B$2:$B$301,0))),""))</f>
        <v/>
      </c>
      <c r="H958" s="11" t="n"/>
      <c r="R958" s="7">
        <f>IF($E958="","",Q958*Z958/100)</f>
        <v/>
      </c>
      <c r="S958" s="7" t="n"/>
      <c r="Y958" s="7" t="n"/>
      <c r="Z958" s="7" t="n"/>
      <c r="AA958" s="7">
        <f>IF($E958="","",Z958*AF958/100)</f>
        <v/>
      </c>
      <c r="AB958" s="7">
        <f>IF($E958="","",Z958-AA958)</f>
        <v/>
      </c>
      <c r="AC958" s="7">
        <f>IF($E958="","",AB958-R958)</f>
        <v/>
      </c>
      <c r="AF958">
        <f>IF($E958="","",IF($AR958=1,0,IF($AQ958=1,Settings!$C$6,Settings!$C$7))*100)</f>
        <v/>
      </c>
      <c r="AJ958" s="7" t="n"/>
      <c r="AM958" s="11" t="n"/>
      <c r="AO958">
        <f>IF($E958="","",IF(COUNTIF($E$2:$E958,$E958)=1,1,0))</f>
        <v/>
      </c>
      <c r="AP958">
        <f>IF($AO958=1,SUMPRODUCT(--($AS$2:$AS$1001&lt;$AS958))+1,"")</f>
        <v/>
      </c>
      <c r="AQ958">
        <f>IF($E958="","",IF(OR($V958=TRUE(),$V958="TRUE"),1,0))</f>
        <v/>
      </c>
      <c r="AR958">
        <f>IF($E958="","",IF($AE958="Yes",1,0))</f>
        <v/>
      </c>
      <c r="AS958">
        <f>IF($AO958=1,IFERROR(IF(VALUE($E958)&lt;100000000,VALUE($E958),1000000000),IFERROR(IF(VALUE(MID($E958,2,20))&lt;100000000,VALUE(MID($E958,2,20)),1000000000),1000000000))+ROW()/100000,"")</f>
        <v/>
      </c>
    </row>
    <row r="959">
      <c r="D959">
        <f>IF($E959="","",IFERROR(IF(INDEX('Per Invoice'!$A$2:$A$301,MATCH($E959,'Per Invoice'!$B$2:$B$301,0))=0,"",INDEX('Per Invoice'!$A$2:$A$301,MATCH($E959,'Per Invoice'!$B$2:$B$301,0))),""))</f>
        <v/>
      </c>
      <c r="H959" s="11" t="n"/>
      <c r="R959" s="7">
        <f>IF($E959="","",Q959*Z959/100)</f>
        <v/>
      </c>
      <c r="S959" s="7" t="n"/>
      <c r="Y959" s="7" t="n"/>
      <c r="Z959" s="7" t="n"/>
      <c r="AA959" s="7">
        <f>IF($E959="","",Z959*AF959/100)</f>
        <v/>
      </c>
      <c r="AB959" s="7">
        <f>IF($E959="","",Z959-AA959)</f>
        <v/>
      </c>
      <c r="AC959" s="7">
        <f>IF($E959="","",AB959-R959)</f>
        <v/>
      </c>
      <c r="AF959">
        <f>IF($E959="","",IF($AR959=1,0,IF($AQ959=1,Settings!$C$6,Settings!$C$7))*100)</f>
        <v/>
      </c>
      <c r="AJ959" s="7" t="n"/>
      <c r="AM959" s="11" t="n"/>
      <c r="AO959">
        <f>IF($E959="","",IF(COUNTIF($E$2:$E959,$E959)=1,1,0))</f>
        <v/>
      </c>
      <c r="AP959">
        <f>IF($AO959=1,SUMPRODUCT(--($AS$2:$AS$1001&lt;$AS959))+1,"")</f>
        <v/>
      </c>
      <c r="AQ959">
        <f>IF($E959="","",IF(OR($V959=TRUE(),$V959="TRUE"),1,0))</f>
        <v/>
      </c>
      <c r="AR959">
        <f>IF($E959="","",IF($AE959="Yes",1,0))</f>
        <v/>
      </c>
      <c r="AS959">
        <f>IF($AO959=1,IFERROR(IF(VALUE($E959)&lt;100000000,VALUE($E959),1000000000),IFERROR(IF(VALUE(MID($E959,2,20))&lt;100000000,VALUE(MID($E959,2,20)),1000000000),1000000000))+ROW()/100000,"")</f>
        <v/>
      </c>
    </row>
    <row r="960">
      <c r="D960">
        <f>IF($E960="","",IFERROR(IF(INDEX('Per Invoice'!$A$2:$A$301,MATCH($E960,'Per Invoice'!$B$2:$B$301,0))=0,"",INDEX('Per Invoice'!$A$2:$A$301,MATCH($E960,'Per Invoice'!$B$2:$B$301,0))),""))</f>
        <v/>
      </c>
      <c r="H960" s="11" t="n"/>
      <c r="R960" s="7">
        <f>IF($E960="","",Q960*Z960/100)</f>
        <v/>
      </c>
      <c r="S960" s="7" t="n"/>
      <c r="Y960" s="7" t="n"/>
      <c r="Z960" s="7" t="n"/>
      <c r="AA960" s="7">
        <f>IF($E960="","",Z960*AF960/100)</f>
        <v/>
      </c>
      <c r="AB960" s="7">
        <f>IF($E960="","",Z960-AA960)</f>
        <v/>
      </c>
      <c r="AC960" s="7">
        <f>IF($E960="","",AB960-R960)</f>
        <v/>
      </c>
      <c r="AF960">
        <f>IF($E960="","",IF($AR960=1,0,IF($AQ960=1,Settings!$C$6,Settings!$C$7))*100)</f>
        <v/>
      </c>
      <c r="AJ960" s="7" t="n"/>
      <c r="AM960" s="11" t="n"/>
      <c r="AO960">
        <f>IF($E960="","",IF(COUNTIF($E$2:$E960,$E960)=1,1,0))</f>
        <v/>
      </c>
      <c r="AP960">
        <f>IF($AO960=1,SUMPRODUCT(--($AS$2:$AS$1001&lt;$AS960))+1,"")</f>
        <v/>
      </c>
      <c r="AQ960">
        <f>IF($E960="","",IF(OR($V960=TRUE(),$V960="TRUE"),1,0))</f>
        <v/>
      </c>
      <c r="AR960">
        <f>IF($E960="","",IF($AE960="Yes",1,0))</f>
        <v/>
      </c>
      <c r="AS960">
        <f>IF($AO960=1,IFERROR(IF(VALUE($E960)&lt;100000000,VALUE($E960),1000000000),IFERROR(IF(VALUE(MID($E960,2,20))&lt;100000000,VALUE(MID($E960,2,20)),1000000000),1000000000))+ROW()/100000,"")</f>
        <v/>
      </c>
    </row>
    <row r="961">
      <c r="D961">
        <f>IF($E961="","",IFERROR(IF(INDEX('Per Invoice'!$A$2:$A$301,MATCH($E961,'Per Invoice'!$B$2:$B$301,0))=0,"",INDEX('Per Invoice'!$A$2:$A$301,MATCH($E961,'Per Invoice'!$B$2:$B$301,0))),""))</f>
        <v/>
      </c>
      <c r="H961" s="11" t="n"/>
      <c r="R961" s="7">
        <f>IF($E961="","",Q961*Z961/100)</f>
        <v/>
      </c>
      <c r="S961" s="7" t="n"/>
      <c r="Y961" s="7" t="n"/>
      <c r="Z961" s="7" t="n"/>
      <c r="AA961" s="7">
        <f>IF($E961="","",Z961*AF961/100)</f>
        <v/>
      </c>
      <c r="AB961" s="7">
        <f>IF($E961="","",Z961-AA961)</f>
        <v/>
      </c>
      <c r="AC961" s="7">
        <f>IF($E961="","",AB961-R961)</f>
        <v/>
      </c>
      <c r="AF961">
        <f>IF($E961="","",IF($AR961=1,0,IF($AQ961=1,Settings!$C$6,Settings!$C$7))*100)</f>
        <v/>
      </c>
      <c r="AJ961" s="7" t="n"/>
      <c r="AM961" s="11" t="n"/>
      <c r="AO961">
        <f>IF($E961="","",IF(COUNTIF($E$2:$E961,$E961)=1,1,0))</f>
        <v/>
      </c>
      <c r="AP961">
        <f>IF($AO961=1,SUMPRODUCT(--($AS$2:$AS$1001&lt;$AS961))+1,"")</f>
        <v/>
      </c>
      <c r="AQ961">
        <f>IF($E961="","",IF(OR($V961=TRUE(),$V961="TRUE"),1,0))</f>
        <v/>
      </c>
      <c r="AR961">
        <f>IF($E961="","",IF($AE961="Yes",1,0))</f>
        <v/>
      </c>
      <c r="AS961">
        <f>IF($AO961=1,IFERROR(IF(VALUE($E961)&lt;100000000,VALUE($E961),1000000000),IFERROR(IF(VALUE(MID($E961,2,20))&lt;100000000,VALUE(MID($E961,2,20)),1000000000),1000000000))+ROW()/100000,"")</f>
        <v/>
      </c>
    </row>
    <row r="962">
      <c r="D962">
        <f>IF($E962="","",IFERROR(IF(INDEX('Per Invoice'!$A$2:$A$301,MATCH($E962,'Per Invoice'!$B$2:$B$301,0))=0,"",INDEX('Per Invoice'!$A$2:$A$301,MATCH($E962,'Per Invoice'!$B$2:$B$301,0))),""))</f>
        <v/>
      </c>
      <c r="H962" s="11" t="n"/>
      <c r="R962" s="7">
        <f>IF($E962="","",Q962*Z962/100)</f>
        <v/>
      </c>
      <c r="S962" s="7" t="n"/>
      <c r="Y962" s="7" t="n"/>
      <c r="Z962" s="7" t="n"/>
      <c r="AA962" s="7">
        <f>IF($E962="","",Z962*AF962/100)</f>
        <v/>
      </c>
      <c r="AB962" s="7">
        <f>IF($E962="","",Z962-AA962)</f>
        <v/>
      </c>
      <c r="AC962" s="7">
        <f>IF($E962="","",AB962-R962)</f>
        <v/>
      </c>
      <c r="AF962">
        <f>IF($E962="","",IF($AR962=1,0,IF($AQ962=1,Settings!$C$6,Settings!$C$7))*100)</f>
        <v/>
      </c>
      <c r="AJ962" s="7" t="n"/>
      <c r="AM962" s="11" t="n"/>
      <c r="AO962">
        <f>IF($E962="","",IF(COUNTIF($E$2:$E962,$E962)=1,1,0))</f>
        <v/>
      </c>
      <c r="AP962">
        <f>IF($AO962=1,SUMPRODUCT(--($AS$2:$AS$1001&lt;$AS962))+1,"")</f>
        <v/>
      </c>
      <c r="AQ962">
        <f>IF($E962="","",IF(OR($V962=TRUE(),$V962="TRUE"),1,0))</f>
        <v/>
      </c>
      <c r="AR962">
        <f>IF($E962="","",IF($AE962="Yes",1,0))</f>
        <v/>
      </c>
      <c r="AS962">
        <f>IF($AO962=1,IFERROR(IF(VALUE($E962)&lt;100000000,VALUE($E962),1000000000),IFERROR(IF(VALUE(MID($E962,2,20))&lt;100000000,VALUE(MID($E962,2,20)),1000000000),1000000000))+ROW()/100000,"")</f>
        <v/>
      </c>
    </row>
    <row r="963">
      <c r="D963">
        <f>IF($E963="","",IFERROR(IF(INDEX('Per Invoice'!$A$2:$A$301,MATCH($E963,'Per Invoice'!$B$2:$B$301,0))=0,"",INDEX('Per Invoice'!$A$2:$A$301,MATCH($E963,'Per Invoice'!$B$2:$B$301,0))),""))</f>
        <v/>
      </c>
      <c r="H963" s="11" t="n"/>
      <c r="R963" s="7">
        <f>IF($E963="","",Q963*Z963/100)</f>
        <v/>
      </c>
      <c r="S963" s="7" t="n"/>
      <c r="Y963" s="7" t="n"/>
      <c r="Z963" s="7" t="n"/>
      <c r="AA963" s="7">
        <f>IF($E963="","",Z963*AF963/100)</f>
        <v/>
      </c>
      <c r="AB963" s="7">
        <f>IF($E963="","",Z963-AA963)</f>
        <v/>
      </c>
      <c r="AC963" s="7">
        <f>IF($E963="","",AB963-R963)</f>
        <v/>
      </c>
      <c r="AF963">
        <f>IF($E963="","",IF($AR963=1,0,IF($AQ963=1,Settings!$C$6,Settings!$C$7))*100)</f>
        <v/>
      </c>
      <c r="AJ963" s="7" t="n"/>
      <c r="AM963" s="11" t="n"/>
      <c r="AO963">
        <f>IF($E963="","",IF(COUNTIF($E$2:$E963,$E963)=1,1,0))</f>
        <v/>
      </c>
      <c r="AP963">
        <f>IF($AO963=1,SUMPRODUCT(--($AS$2:$AS$1001&lt;$AS963))+1,"")</f>
        <v/>
      </c>
      <c r="AQ963">
        <f>IF($E963="","",IF(OR($V963=TRUE(),$V963="TRUE"),1,0))</f>
        <v/>
      </c>
      <c r="AR963">
        <f>IF($E963="","",IF($AE963="Yes",1,0))</f>
        <v/>
      </c>
      <c r="AS963">
        <f>IF($AO963=1,IFERROR(IF(VALUE($E963)&lt;100000000,VALUE($E963),1000000000),IFERROR(IF(VALUE(MID($E963,2,20))&lt;100000000,VALUE(MID($E963,2,20)),1000000000),1000000000))+ROW()/100000,"")</f>
        <v/>
      </c>
    </row>
    <row r="964">
      <c r="D964">
        <f>IF($E964="","",IFERROR(IF(INDEX('Per Invoice'!$A$2:$A$301,MATCH($E964,'Per Invoice'!$B$2:$B$301,0))=0,"",INDEX('Per Invoice'!$A$2:$A$301,MATCH($E964,'Per Invoice'!$B$2:$B$301,0))),""))</f>
        <v/>
      </c>
      <c r="H964" s="11" t="n"/>
      <c r="R964" s="7">
        <f>IF($E964="","",Q964*Z964/100)</f>
        <v/>
      </c>
      <c r="S964" s="7" t="n"/>
      <c r="Y964" s="7" t="n"/>
      <c r="Z964" s="7" t="n"/>
      <c r="AA964" s="7">
        <f>IF($E964="","",Z964*AF964/100)</f>
        <v/>
      </c>
      <c r="AB964" s="7">
        <f>IF($E964="","",Z964-AA964)</f>
        <v/>
      </c>
      <c r="AC964" s="7">
        <f>IF($E964="","",AB964-R964)</f>
        <v/>
      </c>
      <c r="AF964">
        <f>IF($E964="","",IF($AR964=1,0,IF($AQ964=1,Settings!$C$6,Settings!$C$7))*100)</f>
        <v/>
      </c>
      <c r="AJ964" s="7" t="n"/>
      <c r="AM964" s="11" t="n"/>
      <c r="AO964">
        <f>IF($E964="","",IF(COUNTIF($E$2:$E964,$E964)=1,1,0))</f>
        <v/>
      </c>
      <c r="AP964">
        <f>IF($AO964=1,SUMPRODUCT(--($AS$2:$AS$1001&lt;$AS964))+1,"")</f>
        <v/>
      </c>
      <c r="AQ964">
        <f>IF($E964="","",IF(OR($V964=TRUE(),$V964="TRUE"),1,0))</f>
        <v/>
      </c>
      <c r="AR964">
        <f>IF($E964="","",IF($AE964="Yes",1,0))</f>
        <v/>
      </c>
      <c r="AS964">
        <f>IF($AO964=1,IFERROR(IF(VALUE($E964)&lt;100000000,VALUE($E964),1000000000),IFERROR(IF(VALUE(MID($E964,2,20))&lt;100000000,VALUE(MID($E964,2,20)),1000000000),1000000000))+ROW()/100000,"")</f>
        <v/>
      </c>
    </row>
    <row r="965">
      <c r="D965">
        <f>IF($E965="","",IFERROR(IF(INDEX('Per Invoice'!$A$2:$A$301,MATCH($E965,'Per Invoice'!$B$2:$B$301,0))=0,"",INDEX('Per Invoice'!$A$2:$A$301,MATCH($E965,'Per Invoice'!$B$2:$B$301,0))),""))</f>
        <v/>
      </c>
      <c r="H965" s="11" t="n"/>
      <c r="R965" s="7">
        <f>IF($E965="","",Q965*Z965/100)</f>
        <v/>
      </c>
      <c r="S965" s="7" t="n"/>
      <c r="Y965" s="7" t="n"/>
      <c r="Z965" s="7" t="n"/>
      <c r="AA965" s="7">
        <f>IF($E965="","",Z965*AF965/100)</f>
        <v/>
      </c>
      <c r="AB965" s="7">
        <f>IF($E965="","",Z965-AA965)</f>
        <v/>
      </c>
      <c r="AC965" s="7">
        <f>IF($E965="","",AB965-R965)</f>
        <v/>
      </c>
      <c r="AF965">
        <f>IF($E965="","",IF($AR965=1,0,IF($AQ965=1,Settings!$C$6,Settings!$C$7))*100)</f>
        <v/>
      </c>
      <c r="AJ965" s="7" t="n"/>
      <c r="AM965" s="11" t="n"/>
      <c r="AO965">
        <f>IF($E965="","",IF(COUNTIF($E$2:$E965,$E965)=1,1,0))</f>
        <v/>
      </c>
      <c r="AP965">
        <f>IF($AO965=1,SUMPRODUCT(--($AS$2:$AS$1001&lt;$AS965))+1,"")</f>
        <v/>
      </c>
      <c r="AQ965">
        <f>IF($E965="","",IF(OR($V965=TRUE(),$V965="TRUE"),1,0))</f>
        <v/>
      </c>
      <c r="AR965">
        <f>IF($E965="","",IF($AE965="Yes",1,0))</f>
        <v/>
      </c>
      <c r="AS965">
        <f>IF($AO965=1,IFERROR(IF(VALUE($E965)&lt;100000000,VALUE($E965),1000000000),IFERROR(IF(VALUE(MID($E965,2,20))&lt;100000000,VALUE(MID($E965,2,20)),1000000000),1000000000))+ROW()/100000,"")</f>
        <v/>
      </c>
    </row>
    <row r="966">
      <c r="D966">
        <f>IF($E966="","",IFERROR(IF(INDEX('Per Invoice'!$A$2:$A$301,MATCH($E966,'Per Invoice'!$B$2:$B$301,0))=0,"",INDEX('Per Invoice'!$A$2:$A$301,MATCH($E966,'Per Invoice'!$B$2:$B$301,0))),""))</f>
        <v/>
      </c>
      <c r="H966" s="11" t="n"/>
      <c r="R966" s="7">
        <f>IF($E966="","",Q966*Z966/100)</f>
        <v/>
      </c>
      <c r="S966" s="7" t="n"/>
      <c r="Y966" s="7" t="n"/>
      <c r="Z966" s="7" t="n"/>
      <c r="AA966" s="7">
        <f>IF($E966="","",Z966*AF966/100)</f>
        <v/>
      </c>
      <c r="AB966" s="7">
        <f>IF($E966="","",Z966-AA966)</f>
        <v/>
      </c>
      <c r="AC966" s="7">
        <f>IF($E966="","",AB966-R966)</f>
        <v/>
      </c>
      <c r="AF966">
        <f>IF($E966="","",IF($AR966=1,0,IF($AQ966=1,Settings!$C$6,Settings!$C$7))*100)</f>
        <v/>
      </c>
      <c r="AJ966" s="7" t="n"/>
      <c r="AM966" s="11" t="n"/>
      <c r="AO966">
        <f>IF($E966="","",IF(COUNTIF($E$2:$E966,$E966)=1,1,0))</f>
        <v/>
      </c>
      <c r="AP966">
        <f>IF($AO966=1,SUMPRODUCT(--($AS$2:$AS$1001&lt;$AS966))+1,"")</f>
        <v/>
      </c>
      <c r="AQ966">
        <f>IF($E966="","",IF(OR($V966=TRUE(),$V966="TRUE"),1,0))</f>
        <v/>
      </c>
      <c r="AR966">
        <f>IF($E966="","",IF($AE966="Yes",1,0))</f>
        <v/>
      </c>
      <c r="AS966">
        <f>IF($AO966=1,IFERROR(IF(VALUE($E966)&lt;100000000,VALUE($E966),1000000000),IFERROR(IF(VALUE(MID($E966,2,20))&lt;100000000,VALUE(MID($E966,2,20)),1000000000),1000000000))+ROW()/100000,"")</f>
        <v/>
      </c>
    </row>
    <row r="967">
      <c r="D967">
        <f>IF($E967="","",IFERROR(IF(INDEX('Per Invoice'!$A$2:$A$301,MATCH($E967,'Per Invoice'!$B$2:$B$301,0))=0,"",INDEX('Per Invoice'!$A$2:$A$301,MATCH($E967,'Per Invoice'!$B$2:$B$301,0))),""))</f>
        <v/>
      </c>
      <c r="H967" s="11" t="n"/>
      <c r="R967" s="7">
        <f>IF($E967="","",Q967*Z967/100)</f>
        <v/>
      </c>
      <c r="S967" s="7" t="n"/>
      <c r="Y967" s="7" t="n"/>
      <c r="Z967" s="7" t="n"/>
      <c r="AA967" s="7">
        <f>IF($E967="","",Z967*AF967/100)</f>
        <v/>
      </c>
      <c r="AB967" s="7">
        <f>IF($E967="","",Z967-AA967)</f>
        <v/>
      </c>
      <c r="AC967" s="7">
        <f>IF($E967="","",AB967-R967)</f>
        <v/>
      </c>
      <c r="AF967">
        <f>IF($E967="","",IF($AR967=1,0,IF($AQ967=1,Settings!$C$6,Settings!$C$7))*100)</f>
        <v/>
      </c>
      <c r="AJ967" s="7" t="n"/>
      <c r="AM967" s="11" t="n"/>
      <c r="AO967">
        <f>IF($E967="","",IF(COUNTIF($E$2:$E967,$E967)=1,1,0))</f>
        <v/>
      </c>
      <c r="AP967">
        <f>IF($AO967=1,SUMPRODUCT(--($AS$2:$AS$1001&lt;$AS967))+1,"")</f>
        <v/>
      </c>
      <c r="AQ967">
        <f>IF($E967="","",IF(OR($V967=TRUE(),$V967="TRUE"),1,0))</f>
        <v/>
      </c>
      <c r="AR967">
        <f>IF($E967="","",IF($AE967="Yes",1,0))</f>
        <v/>
      </c>
      <c r="AS967">
        <f>IF($AO967=1,IFERROR(IF(VALUE($E967)&lt;100000000,VALUE($E967),1000000000),IFERROR(IF(VALUE(MID($E967,2,20))&lt;100000000,VALUE(MID($E967,2,20)),1000000000),1000000000))+ROW()/100000,"")</f>
        <v/>
      </c>
    </row>
    <row r="968">
      <c r="D968">
        <f>IF($E968="","",IFERROR(IF(INDEX('Per Invoice'!$A$2:$A$301,MATCH($E968,'Per Invoice'!$B$2:$B$301,0))=0,"",INDEX('Per Invoice'!$A$2:$A$301,MATCH($E968,'Per Invoice'!$B$2:$B$301,0))),""))</f>
        <v/>
      </c>
      <c r="H968" s="11" t="n"/>
      <c r="R968" s="7">
        <f>IF($E968="","",Q968*Z968/100)</f>
        <v/>
      </c>
      <c r="S968" s="7" t="n"/>
      <c r="Y968" s="7" t="n"/>
      <c r="Z968" s="7" t="n"/>
      <c r="AA968" s="7">
        <f>IF($E968="","",Z968*AF968/100)</f>
        <v/>
      </c>
      <c r="AB968" s="7">
        <f>IF($E968="","",Z968-AA968)</f>
        <v/>
      </c>
      <c r="AC968" s="7">
        <f>IF($E968="","",AB968-R968)</f>
        <v/>
      </c>
      <c r="AF968">
        <f>IF($E968="","",IF($AR968=1,0,IF($AQ968=1,Settings!$C$6,Settings!$C$7))*100)</f>
        <v/>
      </c>
      <c r="AJ968" s="7" t="n"/>
      <c r="AM968" s="11" t="n"/>
      <c r="AO968">
        <f>IF($E968="","",IF(COUNTIF($E$2:$E968,$E968)=1,1,0))</f>
        <v/>
      </c>
      <c r="AP968">
        <f>IF($AO968=1,SUMPRODUCT(--($AS$2:$AS$1001&lt;$AS968))+1,"")</f>
        <v/>
      </c>
      <c r="AQ968">
        <f>IF($E968="","",IF(OR($V968=TRUE(),$V968="TRUE"),1,0))</f>
        <v/>
      </c>
      <c r="AR968">
        <f>IF($E968="","",IF($AE968="Yes",1,0))</f>
        <v/>
      </c>
      <c r="AS968">
        <f>IF($AO968=1,IFERROR(IF(VALUE($E968)&lt;100000000,VALUE($E968),1000000000),IFERROR(IF(VALUE(MID($E968,2,20))&lt;100000000,VALUE(MID($E968,2,20)),1000000000),1000000000))+ROW()/100000,"")</f>
        <v/>
      </c>
    </row>
    <row r="969">
      <c r="D969">
        <f>IF($E969="","",IFERROR(IF(INDEX('Per Invoice'!$A$2:$A$301,MATCH($E969,'Per Invoice'!$B$2:$B$301,0))=0,"",INDEX('Per Invoice'!$A$2:$A$301,MATCH($E969,'Per Invoice'!$B$2:$B$301,0))),""))</f>
        <v/>
      </c>
      <c r="H969" s="11" t="n"/>
      <c r="R969" s="7">
        <f>IF($E969="","",Q969*Z969/100)</f>
        <v/>
      </c>
      <c r="S969" s="7" t="n"/>
      <c r="Y969" s="7" t="n"/>
      <c r="Z969" s="7" t="n"/>
      <c r="AA969" s="7">
        <f>IF($E969="","",Z969*AF969/100)</f>
        <v/>
      </c>
      <c r="AB969" s="7">
        <f>IF($E969="","",Z969-AA969)</f>
        <v/>
      </c>
      <c r="AC969" s="7">
        <f>IF($E969="","",AB969-R969)</f>
        <v/>
      </c>
      <c r="AF969">
        <f>IF($E969="","",IF($AR969=1,0,IF($AQ969=1,Settings!$C$6,Settings!$C$7))*100)</f>
        <v/>
      </c>
      <c r="AJ969" s="7" t="n"/>
      <c r="AM969" s="11" t="n"/>
      <c r="AO969">
        <f>IF($E969="","",IF(COUNTIF($E$2:$E969,$E969)=1,1,0))</f>
        <v/>
      </c>
      <c r="AP969">
        <f>IF($AO969=1,SUMPRODUCT(--($AS$2:$AS$1001&lt;$AS969))+1,"")</f>
        <v/>
      </c>
      <c r="AQ969">
        <f>IF($E969="","",IF(OR($V969=TRUE(),$V969="TRUE"),1,0))</f>
        <v/>
      </c>
      <c r="AR969">
        <f>IF($E969="","",IF($AE969="Yes",1,0))</f>
        <v/>
      </c>
      <c r="AS969">
        <f>IF($AO969=1,IFERROR(IF(VALUE($E969)&lt;100000000,VALUE($E969),1000000000),IFERROR(IF(VALUE(MID($E969,2,20))&lt;100000000,VALUE(MID($E969,2,20)),1000000000),1000000000))+ROW()/100000,"")</f>
        <v/>
      </c>
    </row>
    <row r="970">
      <c r="D970">
        <f>IF($E970="","",IFERROR(IF(INDEX('Per Invoice'!$A$2:$A$301,MATCH($E970,'Per Invoice'!$B$2:$B$301,0))=0,"",INDEX('Per Invoice'!$A$2:$A$301,MATCH($E970,'Per Invoice'!$B$2:$B$301,0))),""))</f>
        <v/>
      </c>
      <c r="H970" s="11" t="n"/>
      <c r="R970" s="7">
        <f>IF($E970="","",Q970*Z970/100)</f>
        <v/>
      </c>
      <c r="S970" s="7" t="n"/>
      <c r="Y970" s="7" t="n"/>
      <c r="Z970" s="7" t="n"/>
      <c r="AA970" s="7">
        <f>IF($E970="","",Z970*AF970/100)</f>
        <v/>
      </c>
      <c r="AB970" s="7">
        <f>IF($E970="","",Z970-AA970)</f>
        <v/>
      </c>
      <c r="AC970" s="7">
        <f>IF($E970="","",AB970-R970)</f>
        <v/>
      </c>
      <c r="AF970">
        <f>IF($E970="","",IF($AR970=1,0,IF($AQ970=1,Settings!$C$6,Settings!$C$7))*100)</f>
        <v/>
      </c>
      <c r="AJ970" s="7" t="n"/>
      <c r="AM970" s="11" t="n"/>
      <c r="AO970">
        <f>IF($E970="","",IF(COUNTIF($E$2:$E970,$E970)=1,1,0))</f>
        <v/>
      </c>
      <c r="AP970">
        <f>IF($AO970=1,SUMPRODUCT(--($AS$2:$AS$1001&lt;$AS970))+1,"")</f>
        <v/>
      </c>
      <c r="AQ970">
        <f>IF($E970="","",IF(OR($V970=TRUE(),$V970="TRUE"),1,0))</f>
        <v/>
      </c>
      <c r="AR970">
        <f>IF($E970="","",IF($AE970="Yes",1,0))</f>
        <v/>
      </c>
      <c r="AS970">
        <f>IF($AO970=1,IFERROR(IF(VALUE($E970)&lt;100000000,VALUE($E970),1000000000),IFERROR(IF(VALUE(MID($E970,2,20))&lt;100000000,VALUE(MID($E970,2,20)),1000000000),1000000000))+ROW()/100000,"")</f>
        <v/>
      </c>
    </row>
    <row r="971">
      <c r="D971">
        <f>IF($E971="","",IFERROR(IF(INDEX('Per Invoice'!$A$2:$A$301,MATCH($E971,'Per Invoice'!$B$2:$B$301,0))=0,"",INDEX('Per Invoice'!$A$2:$A$301,MATCH($E971,'Per Invoice'!$B$2:$B$301,0))),""))</f>
        <v/>
      </c>
      <c r="H971" s="11" t="n"/>
      <c r="R971" s="7">
        <f>IF($E971="","",Q971*Z971/100)</f>
        <v/>
      </c>
      <c r="S971" s="7" t="n"/>
      <c r="Y971" s="7" t="n"/>
      <c r="Z971" s="7" t="n"/>
      <c r="AA971" s="7">
        <f>IF($E971="","",Z971*AF971/100)</f>
        <v/>
      </c>
      <c r="AB971" s="7">
        <f>IF($E971="","",Z971-AA971)</f>
        <v/>
      </c>
      <c r="AC971" s="7">
        <f>IF($E971="","",AB971-R971)</f>
        <v/>
      </c>
      <c r="AF971">
        <f>IF($E971="","",IF($AR971=1,0,IF($AQ971=1,Settings!$C$6,Settings!$C$7))*100)</f>
        <v/>
      </c>
      <c r="AJ971" s="7" t="n"/>
      <c r="AM971" s="11" t="n"/>
      <c r="AO971">
        <f>IF($E971="","",IF(COUNTIF($E$2:$E971,$E971)=1,1,0))</f>
        <v/>
      </c>
      <c r="AP971">
        <f>IF($AO971=1,SUMPRODUCT(--($AS$2:$AS$1001&lt;$AS971))+1,"")</f>
        <v/>
      </c>
      <c r="AQ971">
        <f>IF($E971="","",IF(OR($V971=TRUE(),$V971="TRUE"),1,0))</f>
        <v/>
      </c>
      <c r="AR971">
        <f>IF($E971="","",IF($AE971="Yes",1,0))</f>
        <v/>
      </c>
      <c r="AS971">
        <f>IF($AO971=1,IFERROR(IF(VALUE($E971)&lt;100000000,VALUE($E971),1000000000),IFERROR(IF(VALUE(MID($E971,2,20))&lt;100000000,VALUE(MID($E971,2,20)),1000000000),1000000000))+ROW()/100000,"")</f>
        <v/>
      </c>
    </row>
    <row r="972">
      <c r="D972">
        <f>IF($E972="","",IFERROR(IF(INDEX('Per Invoice'!$A$2:$A$301,MATCH($E972,'Per Invoice'!$B$2:$B$301,0))=0,"",INDEX('Per Invoice'!$A$2:$A$301,MATCH($E972,'Per Invoice'!$B$2:$B$301,0))),""))</f>
        <v/>
      </c>
      <c r="H972" s="11" t="n"/>
      <c r="R972" s="7">
        <f>IF($E972="","",Q972*Z972/100)</f>
        <v/>
      </c>
      <c r="S972" s="7" t="n"/>
      <c r="Y972" s="7" t="n"/>
      <c r="Z972" s="7" t="n"/>
      <c r="AA972" s="7">
        <f>IF($E972="","",Z972*AF972/100)</f>
        <v/>
      </c>
      <c r="AB972" s="7">
        <f>IF($E972="","",Z972-AA972)</f>
        <v/>
      </c>
      <c r="AC972" s="7">
        <f>IF($E972="","",AB972-R972)</f>
        <v/>
      </c>
      <c r="AF972">
        <f>IF($E972="","",IF($AR972=1,0,IF($AQ972=1,Settings!$C$6,Settings!$C$7))*100)</f>
        <v/>
      </c>
      <c r="AJ972" s="7" t="n"/>
      <c r="AM972" s="11" t="n"/>
      <c r="AO972">
        <f>IF($E972="","",IF(COUNTIF($E$2:$E972,$E972)=1,1,0))</f>
        <v/>
      </c>
      <c r="AP972">
        <f>IF($AO972=1,SUMPRODUCT(--($AS$2:$AS$1001&lt;$AS972))+1,"")</f>
        <v/>
      </c>
      <c r="AQ972">
        <f>IF($E972="","",IF(OR($V972=TRUE(),$V972="TRUE"),1,0))</f>
        <v/>
      </c>
      <c r="AR972">
        <f>IF($E972="","",IF($AE972="Yes",1,0))</f>
        <v/>
      </c>
      <c r="AS972">
        <f>IF($AO972=1,IFERROR(IF(VALUE($E972)&lt;100000000,VALUE($E972),1000000000),IFERROR(IF(VALUE(MID($E972,2,20))&lt;100000000,VALUE(MID($E972,2,20)),1000000000),1000000000))+ROW()/100000,"")</f>
        <v/>
      </c>
    </row>
    <row r="973">
      <c r="D973">
        <f>IF($E973="","",IFERROR(IF(INDEX('Per Invoice'!$A$2:$A$301,MATCH($E973,'Per Invoice'!$B$2:$B$301,0))=0,"",INDEX('Per Invoice'!$A$2:$A$301,MATCH($E973,'Per Invoice'!$B$2:$B$301,0))),""))</f>
        <v/>
      </c>
      <c r="H973" s="11" t="n"/>
      <c r="R973" s="7">
        <f>IF($E973="","",Q973*Z973/100)</f>
        <v/>
      </c>
      <c r="S973" s="7" t="n"/>
      <c r="Y973" s="7" t="n"/>
      <c r="Z973" s="7" t="n"/>
      <c r="AA973" s="7">
        <f>IF($E973="","",Z973*AF973/100)</f>
        <v/>
      </c>
      <c r="AB973" s="7">
        <f>IF($E973="","",Z973-AA973)</f>
        <v/>
      </c>
      <c r="AC973" s="7">
        <f>IF($E973="","",AB973-R973)</f>
        <v/>
      </c>
      <c r="AF973">
        <f>IF($E973="","",IF($AR973=1,0,IF($AQ973=1,Settings!$C$6,Settings!$C$7))*100)</f>
        <v/>
      </c>
      <c r="AJ973" s="7" t="n"/>
      <c r="AM973" s="11" t="n"/>
      <c r="AO973">
        <f>IF($E973="","",IF(COUNTIF($E$2:$E973,$E973)=1,1,0))</f>
        <v/>
      </c>
      <c r="AP973">
        <f>IF($AO973=1,SUMPRODUCT(--($AS$2:$AS$1001&lt;$AS973))+1,"")</f>
        <v/>
      </c>
      <c r="AQ973">
        <f>IF($E973="","",IF(OR($V973=TRUE(),$V973="TRUE"),1,0))</f>
        <v/>
      </c>
      <c r="AR973">
        <f>IF($E973="","",IF($AE973="Yes",1,0))</f>
        <v/>
      </c>
      <c r="AS973">
        <f>IF($AO973=1,IFERROR(IF(VALUE($E973)&lt;100000000,VALUE($E973),1000000000),IFERROR(IF(VALUE(MID($E973,2,20))&lt;100000000,VALUE(MID($E973,2,20)),1000000000),1000000000))+ROW()/100000,"")</f>
        <v/>
      </c>
    </row>
    <row r="974">
      <c r="D974">
        <f>IF($E974="","",IFERROR(IF(INDEX('Per Invoice'!$A$2:$A$301,MATCH($E974,'Per Invoice'!$B$2:$B$301,0))=0,"",INDEX('Per Invoice'!$A$2:$A$301,MATCH($E974,'Per Invoice'!$B$2:$B$301,0))),""))</f>
        <v/>
      </c>
      <c r="H974" s="11" t="n"/>
      <c r="R974" s="7">
        <f>IF($E974="","",Q974*Z974/100)</f>
        <v/>
      </c>
      <c r="S974" s="7" t="n"/>
      <c r="Y974" s="7" t="n"/>
      <c r="Z974" s="7" t="n"/>
      <c r="AA974" s="7">
        <f>IF($E974="","",Z974*AF974/100)</f>
        <v/>
      </c>
      <c r="AB974" s="7">
        <f>IF($E974="","",Z974-AA974)</f>
        <v/>
      </c>
      <c r="AC974" s="7">
        <f>IF($E974="","",AB974-R974)</f>
        <v/>
      </c>
      <c r="AF974">
        <f>IF($E974="","",IF($AR974=1,0,IF($AQ974=1,Settings!$C$6,Settings!$C$7))*100)</f>
        <v/>
      </c>
      <c r="AJ974" s="7" t="n"/>
      <c r="AM974" s="11" t="n"/>
      <c r="AO974">
        <f>IF($E974="","",IF(COUNTIF($E$2:$E974,$E974)=1,1,0))</f>
        <v/>
      </c>
      <c r="AP974">
        <f>IF($AO974=1,SUMPRODUCT(--($AS$2:$AS$1001&lt;$AS974))+1,"")</f>
        <v/>
      </c>
      <c r="AQ974">
        <f>IF($E974="","",IF(OR($V974=TRUE(),$V974="TRUE"),1,0))</f>
        <v/>
      </c>
      <c r="AR974">
        <f>IF($E974="","",IF($AE974="Yes",1,0))</f>
        <v/>
      </c>
      <c r="AS974">
        <f>IF($AO974=1,IFERROR(IF(VALUE($E974)&lt;100000000,VALUE($E974),1000000000),IFERROR(IF(VALUE(MID($E974,2,20))&lt;100000000,VALUE(MID($E974,2,20)),1000000000),1000000000))+ROW()/100000,"")</f>
        <v/>
      </c>
    </row>
    <row r="975">
      <c r="D975">
        <f>IF($E975="","",IFERROR(IF(INDEX('Per Invoice'!$A$2:$A$301,MATCH($E975,'Per Invoice'!$B$2:$B$301,0))=0,"",INDEX('Per Invoice'!$A$2:$A$301,MATCH($E975,'Per Invoice'!$B$2:$B$301,0))),""))</f>
        <v/>
      </c>
      <c r="H975" s="11" t="n"/>
      <c r="R975" s="7">
        <f>IF($E975="","",Q975*Z975/100)</f>
        <v/>
      </c>
      <c r="S975" s="7" t="n"/>
      <c r="Y975" s="7" t="n"/>
      <c r="Z975" s="7" t="n"/>
      <c r="AA975" s="7">
        <f>IF($E975="","",Z975*AF975/100)</f>
        <v/>
      </c>
      <c r="AB975" s="7">
        <f>IF($E975="","",Z975-AA975)</f>
        <v/>
      </c>
      <c r="AC975" s="7">
        <f>IF($E975="","",AB975-R975)</f>
        <v/>
      </c>
      <c r="AF975">
        <f>IF($E975="","",IF($AR975=1,0,IF($AQ975=1,Settings!$C$6,Settings!$C$7))*100)</f>
        <v/>
      </c>
      <c r="AJ975" s="7" t="n"/>
      <c r="AM975" s="11" t="n"/>
      <c r="AO975">
        <f>IF($E975="","",IF(COUNTIF($E$2:$E975,$E975)=1,1,0))</f>
        <v/>
      </c>
      <c r="AP975">
        <f>IF($AO975=1,SUMPRODUCT(--($AS$2:$AS$1001&lt;$AS975))+1,"")</f>
        <v/>
      </c>
      <c r="AQ975">
        <f>IF($E975="","",IF(OR($V975=TRUE(),$V975="TRUE"),1,0))</f>
        <v/>
      </c>
      <c r="AR975">
        <f>IF($E975="","",IF($AE975="Yes",1,0))</f>
        <v/>
      </c>
      <c r="AS975">
        <f>IF($AO975=1,IFERROR(IF(VALUE($E975)&lt;100000000,VALUE($E975),1000000000),IFERROR(IF(VALUE(MID($E975,2,20))&lt;100000000,VALUE(MID($E975,2,20)),1000000000),1000000000))+ROW()/100000,"")</f>
        <v/>
      </c>
    </row>
    <row r="976">
      <c r="D976">
        <f>IF($E976="","",IFERROR(IF(INDEX('Per Invoice'!$A$2:$A$301,MATCH($E976,'Per Invoice'!$B$2:$B$301,0))=0,"",INDEX('Per Invoice'!$A$2:$A$301,MATCH($E976,'Per Invoice'!$B$2:$B$301,0))),""))</f>
        <v/>
      </c>
      <c r="H976" s="11" t="n"/>
      <c r="R976" s="7">
        <f>IF($E976="","",Q976*Z976/100)</f>
        <v/>
      </c>
      <c r="S976" s="7" t="n"/>
      <c r="Y976" s="7" t="n"/>
      <c r="Z976" s="7" t="n"/>
      <c r="AA976" s="7">
        <f>IF($E976="","",Z976*AF976/100)</f>
        <v/>
      </c>
      <c r="AB976" s="7">
        <f>IF($E976="","",Z976-AA976)</f>
        <v/>
      </c>
      <c r="AC976" s="7">
        <f>IF($E976="","",AB976-R976)</f>
        <v/>
      </c>
      <c r="AF976">
        <f>IF($E976="","",IF($AR976=1,0,IF($AQ976=1,Settings!$C$6,Settings!$C$7))*100)</f>
        <v/>
      </c>
      <c r="AJ976" s="7" t="n"/>
      <c r="AM976" s="11" t="n"/>
      <c r="AO976">
        <f>IF($E976="","",IF(COUNTIF($E$2:$E976,$E976)=1,1,0))</f>
        <v/>
      </c>
      <c r="AP976">
        <f>IF($AO976=1,SUMPRODUCT(--($AS$2:$AS$1001&lt;$AS976))+1,"")</f>
        <v/>
      </c>
      <c r="AQ976">
        <f>IF($E976="","",IF(OR($V976=TRUE(),$V976="TRUE"),1,0))</f>
        <v/>
      </c>
      <c r="AR976">
        <f>IF($E976="","",IF($AE976="Yes",1,0))</f>
        <v/>
      </c>
      <c r="AS976">
        <f>IF($AO976=1,IFERROR(IF(VALUE($E976)&lt;100000000,VALUE($E976),1000000000),IFERROR(IF(VALUE(MID($E976,2,20))&lt;100000000,VALUE(MID($E976,2,20)),1000000000),1000000000))+ROW()/100000,"")</f>
        <v/>
      </c>
    </row>
    <row r="977">
      <c r="D977">
        <f>IF($E977="","",IFERROR(IF(INDEX('Per Invoice'!$A$2:$A$301,MATCH($E977,'Per Invoice'!$B$2:$B$301,0))=0,"",INDEX('Per Invoice'!$A$2:$A$301,MATCH($E977,'Per Invoice'!$B$2:$B$301,0))),""))</f>
        <v/>
      </c>
      <c r="H977" s="11" t="n"/>
      <c r="R977" s="7">
        <f>IF($E977="","",Q977*Z977/100)</f>
        <v/>
      </c>
      <c r="S977" s="7" t="n"/>
      <c r="Y977" s="7" t="n"/>
      <c r="Z977" s="7" t="n"/>
      <c r="AA977" s="7">
        <f>IF($E977="","",Z977*AF977/100)</f>
        <v/>
      </c>
      <c r="AB977" s="7">
        <f>IF($E977="","",Z977-AA977)</f>
        <v/>
      </c>
      <c r="AC977" s="7">
        <f>IF($E977="","",AB977-R977)</f>
        <v/>
      </c>
      <c r="AF977">
        <f>IF($E977="","",IF($AR977=1,0,IF($AQ977=1,Settings!$C$6,Settings!$C$7))*100)</f>
        <v/>
      </c>
      <c r="AJ977" s="7" t="n"/>
      <c r="AM977" s="11" t="n"/>
      <c r="AO977">
        <f>IF($E977="","",IF(COUNTIF($E$2:$E977,$E977)=1,1,0))</f>
        <v/>
      </c>
      <c r="AP977">
        <f>IF($AO977=1,SUMPRODUCT(--($AS$2:$AS$1001&lt;$AS977))+1,"")</f>
        <v/>
      </c>
      <c r="AQ977">
        <f>IF($E977="","",IF(OR($V977=TRUE(),$V977="TRUE"),1,0))</f>
        <v/>
      </c>
      <c r="AR977">
        <f>IF($E977="","",IF($AE977="Yes",1,0))</f>
        <v/>
      </c>
      <c r="AS977">
        <f>IF($AO977=1,IFERROR(IF(VALUE($E977)&lt;100000000,VALUE($E977),1000000000),IFERROR(IF(VALUE(MID($E977,2,20))&lt;100000000,VALUE(MID($E977,2,20)),1000000000),1000000000))+ROW()/100000,"")</f>
        <v/>
      </c>
    </row>
    <row r="978">
      <c r="D978">
        <f>IF($E978="","",IFERROR(IF(INDEX('Per Invoice'!$A$2:$A$301,MATCH($E978,'Per Invoice'!$B$2:$B$301,0))=0,"",INDEX('Per Invoice'!$A$2:$A$301,MATCH($E978,'Per Invoice'!$B$2:$B$301,0))),""))</f>
        <v/>
      </c>
      <c r="H978" s="11" t="n"/>
      <c r="R978" s="7">
        <f>IF($E978="","",Q978*Z978/100)</f>
        <v/>
      </c>
      <c r="S978" s="7" t="n"/>
      <c r="Y978" s="7" t="n"/>
      <c r="Z978" s="7" t="n"/>
      <c r="AA978" s="7">
        <f>IF($E978="","",Z978*AF978/100)</f>
        <v/>
      </c>
      <c r="AB978" s="7">
        <f>IF($E978="","",Z978-AA978)</f>
        <v/>
      </c>
      <c r="AC978" s="7">
        <f>IF($E978="","",AB978-R978)</f>
        <v/>
      </c>
      <c r="AF978">
        <f>IF($E978="","",IF($AR978=1,0,IF($AQ978=1,Settings!$C$6,Settings!$C$7))*100)</f>
        <v/>
      </c>
      <c r="AJ978" s="7" t="n"/>
      <c r="AM978" s="11" t="n"/>
      <c r="AO978">
        <f>IF($E978="","",IF(COUNTIF($E$2:$E978,$E978)=1,1,0))</f>
        <v/>
      </c>
      <c r="AP978">
        <f>IF($AO978=1,SUMPRODUCT(--($AS$2:$AS$1001&lt;$AS978))+1,"")</f>
        <v/>
      </c>
      <c r="AQ978">
        <f>IF($E978="","",IF(OR($V978=TRUE(),$V978="TRUE"),1,0))</f>
        <v/>
      </c>
      <c r="AR978">
        <f>IF($E978="","",IF($AE978="Yes",1,0))</f>
        <v/>
      </c>
      <c r="AS978">
        <f>IF($AO978=1,IFERROR(IF(VALUE($E978)&lt;100000000,VALUE($E978),1000000000),IFERROR(IF(VALUE(MID($E978,2,20))&lt;100000000,VALUE(MID($E978,2,20)),1000000000),1000000000))+ROW()/100000,"")</f>
        <v/>
      </c>
    </row>
    <row r="979">
      <c r="D979">
        <f>IF($E979="","",IFERROR(IF(INDEX('Per Invoice'!$A$2:$A$301,MATCH($E979,'Per Invoice'!$B$2:$B$301,0))=0,"",INDEX('Per Invoice'!$A$2:$A$301,MATCH($E979,'Per Invoice'!$B$2:$B$301,0))),""))</f>
        <v/>
      </c>
      <c r="H979" s="11" t="n"/>
      <c r="R979" s="7">
        <f>IF($E979="","",Q979*Z979/100)</f>
        <v/>
      </c>
      <c r="S979" s="7" t="n"/>
      <c r="Y979" s="7" t="n"/>
      <c r="Z979" s="7" t="n"/>
      <c r="AA979" s="7">
        <f>IF($E979="","",Z979*AF979/100)</f>
        <v/>
      </c>
      <c r="AB979" s="7">
        <f>IF($E979="","",Z979-AA979)</f>
        <v/>
      </c>
      <c r="AC979" s="7">
        <f>IF($E979="","",AB979-R979)</f>
        <v/>
      </c>
      <c r="AF979">
        <f>IF($E979="","",IF($AR979=1,0,IF($AQ979=1,Settings!$C$6,Settings!$C$7))*100)</f>
        <v/>
      </c>
      <c r="AJ979" s="7" t="n"/>
      <c r="AM979" s="11" t="n"/>
      <c r="AO979">
        <f>IF($E979="","",IF(COUNTIF($E$2:$E979,$E979)=1,1,0))</f>
        <v/>
      </c>
      <c r="AP979">
        <f>IF($AO979=1,SUMPRODUCT(--($AS$2:$AS$1001&lt;$AS979))+1,"")</f>
        <v/>
      </c>
      <c r="AQ979">
        <f>IF($E979="","",IF(OR($V979=TRUE(),$V979="TRUE"),1,0))</f>
        <v/>
      </c>
      <c r="AR979">
        <f>IF($E979="","",IF($AE979="Yes",1,0))</f>
        <v/>
      </c>
      <c r="AS979">
        <f>IF($AO979=1,IFERROR(IF(VALUE($E979)&lt;100000000,VALUE($E979),1000000000),IFERROR(IF(VALUE(MID($E979,2,20))&lt;100000000,VALUE(MID($E979,2,20)),1000000000),1000000000))+ROW()/100000,"")</f>
        <v/>
      </c>
    </row>
    <row r="980">
      <c r="D980">
        <f>IF($E980="","",IFERROR(IF(INDEX('Per Invoice'!$A$2:$A$301,MATCH($E980,'Per Invoice'!$B$2:$B$301,0))=0,"",INDEX('Per Invoice'!$A$2:$A$301,MATCH($E980,'Per Invoice'!$B$2:$B$301,0))),""))</f>
        <v/>
      </c>
      <c r="H980" s="11" t="n"/>
      <c r="R980" s="7">
        <f>IF($E980="","",Q980*Z980/100)</f>
        <v/>
      </c>
      <c r="S980" s="7" t="n"/>
      <c r="Y980" s="7" t="n"/>
      <c r="Z980" s="7" t="n"/>
      <c r="AA980" s="7">
        <f>IF($E980="","",Z980*AF980/100)</f>
        <v/>
      </c>
      <c r="AB980" s="7">
        <f>IF($E980="","",Z980-AA980)</f>
        <v/>
      </c>
      <c r="AC980" s="7">
        <f>IF($E980="","",AB980-R980)</f>
        <v/>
      </c>
      <c r="AF980">
        <f>IF($E980="","",IF($AR980=1,0,IF($AQ980=1,Settings!$C$6,Settings!$C$7))*100)</f>
        <v/>
      </c>
      <c r="AJ980" s="7" t="n"/>
      <c r="AM980" s="11" t="n"/>
      <c r="AO980">
        <f>IF($E980="","",IF(COUNTIF($E$2:$E980,$E980)=1,1,0))</f>
        <v/>
      </c>
      <c r="AP980">
        <f>IF($AO980=1,SUMPRODUCT(--($AS$2:$AS$1001&lt;$AS980))+1,"")</f>
        <v/>
      </c>
      <c r="AQ980">
        <f>IF($E980="","",IF(OR($V980=TRUE(),$V980="TRUE"),1,0))</f>
        <v/>
      </c>
      <c r="AR980">
        <f>IF($E980="","",IF($AE980="Yes",1,0))</f>
        <v/>
      </c>
      <c r="AS980">
        <f>IF($AO980=1,IFERROR(IF(VALUE($E980)&lt;100000000,VALUE($E980),1000000000),IFERROR(IF(VALUE(MID($E980,2,20))&lt;100000000,VALUE(MID($E980,2,20)),1000000000),1000000000))+ROW()/100000,"")</f>
        <v/>
      </c>
    </row>
    <row r="981">
      <c r="D981">
        <f>IF($E981="","",IFERROR(IF(INDEX('Per Invoice'!$A$2:$A$301,MATCH($E981,'Per Invoice'!$B$2:$B$301,0))=0,"",INDEX('Per Invoice'!$A$2:$A$301,MATCH($E981,'Per Invoice'!$B$2:$B$301,0))),""))</f>
        <v/>
      </c>
      <c r="H981" s="11" t="n"/>
      <c r="R981" s="7">
        <f>IF($E981="","",Q981*Z981/100)</f>
        <v/>
      </c>
      <c r="S981" s="7" t="n"/>
      <c r="Y981" s="7" t="n"/>
      <c r="Z981" s="7" t="n"/>
      <c r="AA981" s="7">
        <f>IF($E981="","",Z981*AF981/100)</f>
        <v/>
      </c>
      <c r="AB981" s="7">
        <f>IF($E981="","",Z981-AA981)</f>
        <v/>
      </c>
      <c r="AC981" s="7">
        <f>IF($E981="","",AB981-R981)</f>
        <v/>
      </c>
      <c r="AF981">
        <f>IF($E981="","",IF($AR981=1,0,IF($AQ981=1,Settings!$C$6,Settings!$C$7))*100)</f>
        <v/>
      </c>
      <c r="AJ981" s="7" t="n"/>
      <c r="AM981" s="11" t="n"/>
      <c r="AO981">
        <f>IF($E981="","",IF(COUNTIF($E$2:$E981,$E981)=1,1,0))</f>
        <v/>
      </c>
      <c r="AP981">
        <f>IF($AO981=1,SUMPRODUCT(--($AS$2:$AS$1001&lt;$AS981))+1,"")</f>
        <v/>
      </c>
      <c r="AQ981">
        <f>IF($E981="","",IF(OR($V981=TRUE(),$V981="TRUE"),1,0))</f>
        <v/>
      </c>
      <c r="AR981">
        <f>IF($E981="","",IF($AE981="Yes",1,0))</f>
        <v/>
      </c>
      <c r="AS981">
        <f>IF($AO981=1,IFERROR(IF(VALUE($E981)&lt;100000000,VALUE($E981),1000000000),IFERROR(IF(VALUE(MID($E981,2,20))&lt;100000000,VALUE(MID($E981,2,20)),1000000000),1000000000))+ROW()/100000,"")</f>
        <v/>
      </c>
    </row>
    <row r="982">
      <c r="D982">
        <f>IF($E982="","",IFERROR(IF(INDEX('Per Invoice'!$A$2:$A$301,MATCH($E982,'Per Invoice'!$B$2:$B$301,0))=0,"",INDEX('Per Invoice'!$A$2:$A$301,MATCH($E982,'Per Invoice'!$B$2:$B$301,0))),""))</f>
        <v/>
      </c>
      <c r="H982" s="11" t="n"/>
      <c r="R982" s="7">
        <f>IF($E982="","",Q982*Z982/100)</f>
        <v/>
      </c>
      <c r="S982" s="7" t="n"/>
      <c r="Y982" s="7" t="n"/>
      <c r="Z982" s="7" t="n"/>
      <c r="AA982" s="7">
        <f>IF($E982="","",Z982*AF982/100)</f>
        <v/>
      </c>
      <c r="AB982" s="7">
        <f>IF($E982="","",Z982-AA982)</f>
        <v/>
      </c>
      <c r="AC982" s="7">
        <f>IF($E982="","",AB982-R982)</f>
        <v/>
      </c>
      <c r="AF982">
        <f>IF($E982="","",IF($AR982=1,0,IF($AQ982=1,Settings!$C$6,Settings!$C$7))*100)</f>
        <v/>
      </c>
      <c r="AJ982" s="7" t="n"/>
      <c r="AM982" s="11" t="n"/>
      <c r="AO982">
        <f>IF($E982="","",IF(COUNTIF($E$2:$E982,$E982)=1,1,0))</f>
        <v/>
      </c>
      <c r="AP982">
        <f>IF($AO982=1,SUMPRODUCT(--($AS$2:$AS$1001&lt;$AS982))+1,"")</f>
        <v/>
      </c>
      <c r="AQ982">
        <f>IF($E982="","",IF(OR($V982=TRUE(),$V982="TRUE"),1,0))</f>
        <v/>
      </c>
      <c r="AR982">
        <f>IF($E982="","",IF($AE982="Yes",1,0))</f>
        <v/>
      </c>
      <c r="AS982">
        <f>IF($AO982=1,IFERROR(IF(VALUE($E982)&lt;100000000,VALUE($E982),1000000000),IFERROR(IF(VALUE(MID($E982,2,20))&lt;100000000,VALUE(MID($E982,2,20)),1000000000),1000000000))+ROW()/100000,"")</f>
        <v/>
      </c>
    </row>
    <row r="983">
      <c r="D983">
        <f>IF($E983="","",IFERROR(IF(INDEX('Per Invoice'!$A$2:$A$301,MATCH($E983,'Per Invoice'!$B$2:$B$301,0))=0,"",INDEX('Per Invoice'!$A$2:$A$301,MATCH($E983,'Per Invoice'!$B$2:$B$301,0))),""))</f>
        <v/>
      </c>
      <c r="H983" s="11" t="n"/>
      <c r="R983" s="7">
        <f>IF($E983="","",Q983*Z983/100)</f>
        <v/>
      </c>
      <c r="S983" s="7" t="n"/>
      <c r="Y983" s="7" t="n"/>
      <c r="Z983" s="7" t="n"/>
      <c r="AA983" s="7">
        <f>IF($E983="","",Z983*AF983/100)</f>
        <v/>
      </c>
      <c r="AB983" s="7">
        <f>IF($E983="","",Z983-AA983)</f>
        <v/>
      </c>
      <c r="AC983" s="7">
        <f>IF($E983="","",AB983-R983)</f>
        <v/>
      </c>
      <c r="AF983">
        <f>IF($E983="","",IF($AR983=1,0,IF($AQ983=1,Settings!$C$6,Settings!$C$7))*100)</f>
        <v/>
      </c>
      <c r="AJ983" s="7" t="n"/>
      <c r="AM983" s="11" t="n"/>
      <c r="AO983">
        <f>IF($E983="","",IF(COUNTIF($E$2:$E983,$E983)=1,1,0))</f>
        <v/>
      </c>
      <c r="AP983">
        <f>IF($AO983=1,SUMPRODUCT(--($AS$2:$AS$1001&lt;$AS983))+1,"")</f>
        <v/>
      </c>
      <c r="AQ983">
        <f>IF($E983="","",IF(OR($V983=TRUE(),$V983="TRUE"),1,0))</f>
        <v/>
      </c>
      <c r="AR983">
        <f>IF($E983="","",IF($AE983="Yes",1,0))</f>
        <v/>
      </c>
      <c r="AS983">
        <f>IF($AO983=1,IFERROR(IF(VALUE($E983)&lt;100000000,VALUE($E983),1000000000),IFERROR(IF(VALUE(MID($E983,2,20))&lt;100000000,VALUE(MID($E983,2,20)),1000000000),1000000000))+ROW()/100000,"")</f>
        <v/>
      </c>
    </row>
    <row r="984">
      <c r="D984">
        <f>IF($E984="","",IFERROR(IF(INDEX('Per Invoice'!$A$2:$A$301,MATCH($E984,'Per Invoice'!$B$2:$B$301,0))=0,"",INDEX('Per Invoice'!$A$2:$A$301,MATCH($E984,'Per Invoice'!$B$2:$B$301,0))),""))</f>
        <v/>
      </c>
      <c r="H984" s="11" t="n"/>
      <c r="R984" s="7">
        <f>IF($E984="","",Q984*Z984/100)</f>
        <v/>
      </c>
      <c r="S984" s="7" t="n"/>
      <c r="Y984" s="7" t="n"/>
      <c r="Z984" s="7" t="n"/>
      <c r="AA984" s="7">
        <f>IF($E984="","",Z984*AF984/100)</f>
        <v/>
      </c>
      <c r="AB984" s="7">
        <f>IF($E984="","",Z984-AA984)</f>
        <v/>
      </c>
      <c r="AC984" s="7">
        <f>IF($E984="","",AB984-R984)</f>
        <v/>
      </c>
      <c r="AF984">
        <f>IF($E984="","",IF($AR984=1,0,IF($AQ984=1,Settings!$C$6,Settings!$C$7))*100)</f>
        <v/>
      </c>
      <c r="AJ984" s="7" t="n"/>
      <c r="AM984" s="11" t="n"/>
      <c r="AO984">
        <f>IF($E984="","",IF(COUNTIF($E$2:$E984,$E984)=1,1,0))</f>
        <v/>
      </c>
      <c r="AP984">
        <f>IF($AO984=1,SUMPRODUCT(--($AS$2:$AS$1001&lt;$AS984))+1,"")</f>
        <v/>
      </c>
      <c r="AQ984">
        <f>IF($E984="","",IF(OR($V984=TRUE(),$V984="TRUE"),1,0))</f>
        <v/>
      </c>
      <c r="AR984">
        <f>IF($E984="","",IF($AE984="Yes",1,0))</f>
        <v/>
      </c>
      <c r="AS984">
        <f>IF($AO984=1,IFERROR(IF(VALUE($E984)&lt;100000000,VALUE($E984),1000000000),IFERROR(IF(VALUE(MID($E984,2,20))&lt;100000000,VALUE(MID($E984,2,20)),1000000000),1000000000))+ROW()/100000,"")</f>
        <v/>
      </c>
    </row>
    <row r="985">
      <c r="D985">
        <f>IF($E985="","",IFERROR(IF(INDEX('Per Invoice'!$A$2:$A$301,MATCH($E985,'Per Invoice'!$B$2:$B$301,0))=0,"",INDEX('Per Invoice'!$A$2:$A$301,MATCH($E985,'Per Invoice'!$B$2:$B$301,0))),""))</f>
        <v/>
      </c>
      <c r="H985" s="11" t="n"/>
      <c r="R985" s="7">
        <f>IF($E985="","",Q985*Z985/100)</f>
        <v/>
      </c>
      <c r="S985" s="7" t="n"/>
      <c r="Y985" s="7" t="n"/>
      <c r="Z985" s="7" t="n"/>
      <c r="AA985" s="7">
        <f>IF($E985="","",Z985*AF985/100)</f>
        <v/>
      </c>
      <c r="AB985" s="7">
        <f>IF($E985="","",Z985-AA985)</f>
        <v/>
      </c>
      <c r="AC985" s="7">
        <f>IF($E985="","",AB985-R985)</f>
        <v/>
      </c>
      <c r="AF985">
        <f>IF($E985="","",IF($AR985=1,0,IF($AQ985=1,Settings!$C$6,Settings!$C$7))*100)</f>
        <v/>
      </c>
      <c r="AJ985" s="7" t="n"/>
      <c r="AM985" s="11" t="n"/>
      <c r="AO985">
        <f>IF($E985="","",IF(COUNTIF($E$2:$E985,$E985)=1,1,0))</f>
        <v/>
      </c>
      <c r="AP985">
        <f>IF($AO985=1,SUMPRODUCT(--($AS$2:$AS$1001&lt;$AS985))+1,"")</f>
        <v/>
      </c>
      <c r="AQ985">
        <f>IF($E985="","",IF(OR($V985=TRUE(),$V985="TRUE"),1,0))</f>
        <v/>
      </c>
      <c r="AR985">
        <f>IF($E985="","",IF($AE985="Yes",1,0))</f>
        <v/>
      </c>
      <c r="AS985">
        <f>IF($AO985=1,IFERROR(IF(VALUE($E985)&lt;100000000,VALUE($E985),1000000000),IFERROR(IF(VALUE(MID($E985,2,20))&lt;100000000,VALUE(MID($E985,2,20)),1000000000),1000000000))+ROW()/100000,"")</f>
        <v/>
      </c>
    </row>
    <row r="986">
      <c r="D986">
        <f>IF($E986="","",IFERROR(IF(INDEX('Per Invoice'!$A$2:$A$301,MATCH($E986,'Per Invoice'!$B$2:$B$301,0))=0,"",INDEX('Per Invoice'!$A$2:$A$301,MATCH($E986,'Per Invoice'!$B$2:$B$301,0))),""))</f>
        <v/>
      </c>
      <c r="H986" s="11" t="n"/>
      <c r="R986" s="7">
        <f>IF($E986="","",Q986*Z986/100)</f>
        <v/>
      </c>
      <c r="S986" s="7" t="n"/>
      <c r="Y986" s="7" t="n"/>
      <c r="Z986" s="7" t="n"/>
      <c r="AA986" s="7">
        <f>IF($E986="","",Z986*AF986/100)</f>
        <v/>
      </c>
      <c r="AB986" s="7">
        <f>IF($E986="","",Z986-AA986)</f>
        <v/>
      </c>
      <c r="AC986" s="7">
        <f>IF($E986="","",AB986-R986)</f>
        <v/>
      </c>
      <c r="AF986">
        <f>IF($E986="","",IF($AR986=1,0,IF($AQ986=1,Settings!$C$6,Settings!$C$7))*100)</f>
        <v/>
      </c>
      <c r="AJ986" s="7" t="n"/>
      <c r="AM986" s="11" t="n"/>
      <c r="AO986">
        <f>IF($E986="","",IF(COUNTIF($E$2:$E986,$E986)=1,1,0))</f>
        <v/>
      </c>
      <c r="AP986">
        <f>IF($AO986=1,SUMPRODUCT(--($AS$2:$AS$1001&lt;$AS986))+1,"")</f>
        <v/>
      </c>
      <c r="AQ986">
        <f>IF($E986="","",IF(OR($V986=TRUE(),$V986="TRUE"),1,0))</f>
        <v/>
      </c>
      <c r="AR986">
        <f>IF($E986="","",IF($AE986="Yes",1,0))</f>
        <v/>
      </c>
      <c r="AS986">
        <f>IF($AO986=1,IFERROR(IF(VALUE($E986)&lt;100000000,VALUE($E986),1000000000),IFERROR(IF(VALUE(MID($E986,2,20))&lt;100000000,VALUE(MID($E986,2,20)),1000000000),1000000000))+ROW()/100000,"")</f>
        <v/>
      </c>
    </row>
    <row r="987">
      <c r="D987">
        <f>IF($E987="","",IFERROR(IF(INDEX('Per Invoice'!$A$2:$A$301,MATCH($E987,'Per Invoice'!$B$2:$B$301,0))=0,"",INDEX('Per Invoice'!$A$2:$A$301,MATCH($E987,'Per Invoice'!$B$2:$B$301,0))),""))</f>
        <v/>
      </c>
      <c r="H987" s="11" t="n"/>
      <c r="R987" s="7">
        <f>IF($E987="","",Q987*Z987/100)</f>
        <v/>
      </c>
      <c r="S987" s="7" t="n"/>
      <c r="Y987" s="7" t="n"/>
      <c r="Z987" s="7" t="n"/>
      <c r="AA987" s="7">
        <f>IF($E987="","",Z987*AF987/100)</f>
        <v/>
      </c>
      <c r="AB987" s="7">
        <f>IF($E987="","",Z987-AA987)</f>
        <v/>
      </c>
      <c r="AC987" s="7">
        <f>IF($E987="","",AB987-R987)</f>
        <v/>
      </c>
      <c r="AF987">
        <f>IF($E987="","",IF($AR987=1,0,IF($AQ987=1,Settings!$C$6,Settings!$C$7))*100)</f>
        <v/>
      </c>
      <c r="AJ987" s="7" t="n"/>
      <c r="AM987" s="11" t="n"/>
      <c r="AO987">
        <f>IF($E987="","",IF(COUNTIF($E$2:$E987,$E987)=1,1,0))</f>
        <v/>
      </c>
      <c r="AP987">
        <f>IF($AO987=1,SUMPRODUCT(--($AS$2:$AS$1001&lt;$AS987))+1,"")</f>
        <v/>
      </c>
      <c r="AQ987">
        <f>IF($E987="","",IF(OR($V987=TRUE(),$V987="TRUE"),1,0))</f>
        <v/>
      </c>
      <c r="AR987">
        <f>IF($E987="","",IF($AE987="Yes",1,0))</f>
        <v/>
      </c>
      <c r="AS987">
        <f>IF($AO987=1,IFERROR(IF(VALUE($E987)&lt;100000000,VALUE($E987),1000000000),IFERROR(IF(VALUE(MID($E987,2,20))&lt;100000000,VALUE(MID($E987,2,20)),1000000000),1000000000))+ROW()/100000,"")</f>
        <v/>
      </c>
    </row>
    <row r="988">
      <c r="D988">
        <f>IF($E988="","",IFERROR(IF(INDEX('Per Invoice'!$A$2:$A$301,MATCH($E988,'Per Invoice'!$B$2:$B$301,0))=0,"",INDEX('Per Invoice'!$A$2:$A$301,MATCH($E988,'Per Invoice'!$B$2:$B$301,0))),""))</f>
        <v/>
      </c>
      <c r="H988" s="11" t="n"/>
      <c r="R988" s="7">
        <f>IF($E988="","",Q988*Z988/100)</f>
        <v/>
      </c>
      <c r="S988" s="7" t="n"/>
      <c r="Y988" s="7" t="n"/>
      <c r="Z988" s="7" t="n"/>
      <c r="AA988" s="7">
        <f>IF($E988="","",Z988*AF988/100)</f>
        <v/>
      </c>
      <c r="AB988" s="7">
        <f>IF($E988="","",Z988-AA988)</f>
        <v/>
      </c>
      <c r="AC988" s="7">
        <f>IF($E988="","",AB988-R988)</f>
        <v/>
      </c>
      <c r="AF988">
        <f>IF($E988="","",IF($AR988=1,0,IF($AQ988=1,Settings!$C$6,Settings!$C$7))*100)</f>
        <v/>
      </c>
      <c r="AJ988" s="7" t="n"/>
      <c r="AM988" s="11" t="n"/>
      <c r="AO988">
        <f>IF($E988="","",IF(COUNTIF($E$2:$E988,$E988)=1,1,0))</f>
        <v/>
      </c>
      <c r="AP988">
        <f>IF($AO988=1,SUMPRODUCT(--($AS$2:$AS$1001&lt;$AS988))+1,"")</f>
        <v/>
      </c>
      <c r="AQ988">
        <f>IF($E988="","",IF(OR($V988=TRUE(),$V988="TRUE"),1,0))</f>
        <v/>
      </c>
      <c r="AR988">
        <f>IF($E988="","",IF($AE988="Yes",1,0))</f>
        <v/>
      </c>
      <c r="AS988">
        <f>IF($AO988=1,IFERROR(IF(VALUE($E988)&lt;100000000,VALUE($E988),1000000000),IFERROR(IF(VALUE(MID($E988,2,20))&lt;100000000,VALUE(MID($E988,2,20)),1000000000),1000000000))+ROW()/100000,"")</f>
        <v/>
      </c>
    </row>
    <row r="989">
      <c r="D989">
        <f>IF($E989="","",IFERROR(IF(INDEX('Per Invoice'!$A$2:$A$301,MATCH($E989,'Per Invoice'!$B$2:$B$301,0))=0,"",INDEX('Per Invoice'!$A$2:$A$301,MATCH($E989,'Per Invoice'!$B$2:$B$301,0))),""))</f>
        <v/>
      </c>
      <c r="H989" s="11" t="n"/>
      <c r="R989" s="7">
        <f>IF($E989="","",Q989*Z989/100)</f>
        <v/>
      </c>
      <c r="S989" s="7" t="n"/>
      <c r="Y989" s="7" t="n"/>
      <c r="Z989" s="7" t="n"/>
      <c r="AA989" s="7">
        <f>IF($E989="","",Z989*AF989/100)</f>
        <v/>
      </c>
      <c r="AB989" s="7">
        <f>IF($E989="","",Z989-AA989)</f>
        <v/>
      </c>
      <c r="AC989" s="7">
        <f>IF($E989="","",AB989-R989)</f>
        <v/>
      </c>
      <c r="AF989">
        <f>IF($E989="","",IF($AR989=1,0,IF($AQ989=1,Settings!$C$6,Settings!$C$7))*100)</f>
        <v/>
      </c>
      <c r="AJ989" s="7" t="n"/>
      <c r="AM989" s="11" t="n"/>
      <c r="AO989">
        <f>IF($E989="","",IF(COUNTIF($E$2:$E989,$E989)=1,1,0))</f>
        <v/>
      </c>
      <c r="AP989">
        <f>IF($AO989=1,SUMPRODUCT(--($AS$2:$AS$1001&lt;$AS989))+1,"")</f>
        <v/>
      </c>
      <c r="AQ989">
        <f>IF($E989="","",IF(OR($V989=TRUE(),$V989="TRUE"),1,0))</f>
        <v/>
      </c>
      <c r="AR989">
        <f>IF($E989="","",IF($AE989="Yes",1,0))</f>
        <v/>
      </c>
      <c r="AS989">
        <f>IF($AO989=1,IFERROR(IF(VALUE($E989)&lt;100000000,VALUE($E989),1000000000),IFERROR(IF(VALUE(MID($E989,2,20))&lt;100000000,VALUE(MID($E989,2,20)),1000000000),1000000000))+ROW()/100000,"")</f>
        <v/>
      </c>
    </row>
    <row r="990">
      <c r="D990">
        <f>IF($E990="","",IFERROR(IF(INDEX('Per Invoice'!$A$2:$A$301,MATCH($E990,'Per Invoice'!$B$2:$B$301,0))=0,"",INDEX('Per Invoice'!$A$2:$A$301,MATCH($E990,'Per Invoice'!$B$2:$B$301,0))),""))</f>
        <v/>
      </c>
      <c r="H990" s="11" t="n"/>
      <c r="R990" s="7">
        <f>IF($E990="","",Q990*Z990/100)</f>
        <v/>
      </c>
      <c r="S990" s="7" t="n"/>
      <c r="Y990" s="7" t="n"/>
      <c r="Z990" s="7" t="n"/>
      <c r="AA990" s="7">
        <f>IF($E990="","",Z990*AF990/100)</f>
        <v/>
      </c>
      <c r="AB990" s="7">
        <f>IF($E990="","",Z990-AA990)</f>
        <v/>
      </c>
      <c r="AC990" s="7">
        <f>IF($E990="","",AB990-R990)</f>
        <v/>
      </c>
      <c r="AF990">
        <f>IF($E990="","",IF($AR990=1,0,IF($AQ990=1,Settings!$C$6,Settings!$C$7))*100)</f>
        <v/>
      </c>
      <c r="AJ990" s="7" t="n"/>
      <c r="AM990" s="11" t="n"/>
      <c r="AO990">
        <f>IF($E990="","",IF(COUNTIF($E$2:$E990,$E990)=1,1,0))</f>
        <v/>
      </c>
      <c r="AP990">
        <f>IF($AO990=1,SUMPRODUCT(--($AS$2:$AS$1001&lt;$AS990))+1,"")</f>
        <v/>
      </c>
      <c r="AQ990">
        <f>IF($E990="","",IF(OR($V990=TRUE(),$V990="TRUE"),1,0))</f>
        <v/>
      </c>
      <c r="AR990">
        <f>IF($E990="","",IF($AE990="Yes",1,0))</f>
        <v/>
      </c>
      <c r="AS990">
        <f>IF($AO990=1,IFERROR(IF(VALUE($E990)&lt;100000000,VALUE($E990),1000000000),IFERROR(IF(VALUE(MID($E990,2,20))&lt;100000000,VALUE(MID($E990,2,20)),1000000000),1000000000))+ROW()/100000,"")</f>
        <v/>
      </c>
    </row>
    <row r="991">
      <c r="D991">
        <f>IF($E991="","",IFERROR(IF(INDEX('Per Invoice'!$A$2:$A$301,MATCH($E991,'Per Invoice'!$B$2:$B$301,0))=0,"",INDEX('Per Invoice'!$A$2:$A$301,MATCH($E991,'Per Invoice'!$B$2:$B$301,0))),""))</f>
        <v/>
      </c>
      <c r="H991" s="11" t="n"/>
      <c r="R991" s="7">
        <f>IF($E991="","",Q991*Z991/100)</f>
        <v/>
      </c>
      <c r="S991" s="7" t="n"/>
      <c r="Y991" s="7" t="n"/>
      <c r="Z991" s="7" t="n"/>
      <c r="AA991" s="7">
        <f>IF($E991="","",Z991*AF991/100)</f>
        <v/>
      </c>
      <c r="AB991" s="7">
        <f>IF($E991="","",Z991-AA991)</f>
        <v/>
      </c>
      <c r="AC991" s="7">
        <f>IF($E991="","",AB991-R991)</f>
        <v/>
      </c>
      <c r="AF991">
        <f>IF($E991="","",IF($AR991=1,0,IF($AQ991=1,Settings!$C$6,Settings!$C$7))*100)</f>
        <v/>
      </c>
      <c r="AJ991" s="7" t="n"/>
      <c r="AM991" s="11" t="n"/>
      <c r="AO991">
        <f>IF($E991="","",IF(COUNTIF($E$2:$E991,$E991)=1,1,0))</f>
        <v/>
      </c>
      <c r="AP991">
        <f>IF($AO991=1,SUMPRODUCT(--($AS$2:$AS$1001&lt;$AS991))+1,"")</f>
        <v/>
      </c>
      <c r="AQ991">
        <f>IF($E991="","",IF(OR($V991=TRUE(),$V991="TRUE"),1,0))</f>
        <v/>
      </c>
      <c r="AR991">
        <f>IF($E991="","",IF($AE991="Yes",1,0))</f>
        <v/>
      </c>
      <c r="AS991">
        <f>IF($AO991=1,IFERROR(IF(VALUE($E991)&lt;100000000,VALUE($E991),1000000000),IFERROR(IF(VALUE(MID($E991,2,20))&lt;100000000,VALUE(MID($E991,2,20)),1000000000),1000000000))+ROW()/100000,"")</f>
        <v/>
      </c>
    </row>
    <row r="992">
      <c r="D992">
        <f>IF($E992="","",IFERROR(IF(INDEX('Per Invoice'!$A$2:$A$301,MATCH($E992,'Per Invoice'!$B$2:$B$301,0))=0,"",INDEX('Per Invoice'!$A$2:$A$301,MATCH($E992,'Per Invoice'!$B$2:$B$301,0))),""))</f>
        <v/>
      </c>
      <c r="H992" s="11" t="n"/>
      <c r="R992" s="7">
        <f>IF($E992="","",Q992*Z992/100)</f>
        <v/>
      </c>
      <c r="S992" s="7" t="n"/>
      <c r="Y992" s="7" t="n"/>
      <c r="Z992" s="7" t="n"/>
      <c r="AA992" s="7">
        <f>IF($E992="","",Z992*AF992/100)</f>
        <v/>
      </c>
      <c r="AB992" s="7">
        <f>IF($E992="","",Z992-AA992)</f>
        <v/>
      </c>
      <c r="AC992" s="7">
        <f>IF($E992="","",AB992-R992)</f>
        <v/>
      </c>
      <c r="AF992">
        <f>IF($E992="","",IF($AR992=1,0,IF($AQ992=1,Settings!$C$6,Settings!$C$7))*100)</f>
        <v/>
      </c>
      <c r="AJ992" s="7" t="n"/>
      <c r="AM992" s="11" t="n"/>
      <c r="AO992">
        <f>IF($E992="","",IF(COUNTIF($E$2:$E992,$E992)=1,1,0))</f>
        <v/>
      </c>
      <c r="AP992">
        <f>IF($AO992=1,SUMPRODUCT(--($AS$2:$AS$1001&lt;$AS992))+1,"")</f>
        <v/>
      </c>
      <c r="AQ992">
        <f>IF($E992="","",IF(OR($V992=TRUE(),$V992="TRUE"),1,0))</f>
        <v/>
      </c>
      <c r="AR992">
        <f>IF($E992="","",IF($AE992="Yes",1,0))</f>
        <v/>
      </c>
      <c r="AS992">
        <f>IF($AO992=1,IFERROR(IF(VALUE($E992)&lt;100000000,VALUE($E992),1000000000),IFERROR(IF(VALUE(MID($E992,2,20))&lt;100000000,VALUE(MID($E992,2,20)),1000000000),1000000000))+ROW()/100000,"")</f>
        <v/>
      </c>
    </row>
    <row r="993">
      <c r="D993">
        <f>IF($E993="","",IFERROR(IF(INDEX('Per Invoice'!$A$2:$A$301,MATCH($E993,'Per Invoice'!$B$2:$B$301,0))=0,"",INDEX('Per Invoice'!$A$2:$A$301,MATCH($E993,'Per Invoice'!$B$2:$B$301,0))),""))</f>
        <v/>
      </c>
      <c r="H993" s="11" t="n"/>
      <c r="R993" s="7">
        <f>IF($E993="","",Q993*Z993/100)</f>
        <v/>
      </c>
      <c r="S993" s="7" t="n"/>
      <c r="Y993" s="7" t="n"/>
      <c r="Z993" s="7" t="n"/>
      <c r="AA993" s="7">
        <f>IF($E993="","",Z993*AF993/100)</f>
        <v/>
      </c>
      <c r="AB993" s="7">
        <f>IF($E993="","",Z993-AA993)</f>
        <v/>
      </c>
      <c r="AC993" s="7">
        <f>IF($E993="","",AB993-R993)</f>
        <v/>
      </c>
      <c r="AF993">
        <f>IF($E993="","",IF($AR993=1,0,IF($AQ993=1,Settings!$C$6,Settings!$C$7))*100)</f>
        <v/>
      </c>
      <c r="AJ993" s="7" t="n"/>
      <c r="AM993" s="11" t="n"/>
      <c r="AO993">
        <f>IF($E993="","",IF(COUNTIF($E$2:$E993,$E993)=1,1,0))</f>
        <v/>
      </c>
      <c r="AP993">
        <f>IF($AO993=1,SUMPRODUCT(--($AS$2:$AS$1001&lt;$AS993))+1,"")</f>
        <v/>
      </c>
      <c r="AQ993">
        <f>IF($E993="","",IF(OR($V993=TRUE(),$V993="TRUE"),1,0))</f>
        <v/>
      </c>
      <c r="AR993">
        <f>IF($E993="","",IF($AE993="Yes",1,0))</f>
        <v/>
      </c>
      <c r="AS993">
        <f>IF($AO993=1,IFERROR(IF(VALUE($E993)&lt;100000000,VALUE($E993),1000000000),IFERROR(IF(VALUE(MID($E993,2,20))&lt;100000000,VALUE(MID($E993,2,20)),1000000000),1000000000))+ROW()/100000,"")</f>
        <v/>
      </c>
    </row>
    <row r="994">
      <c r="D994">
        <f>IF($E994="","",IFERROR(IF(INDEX('Per Invoice'!$A$2:$A$301,MATCH($E994,'Per Invoice'!$B$2:$B$301,0))=0,"",INDEX('Per Invoice'!$A$2:$A$301,MATCH($E994,'Per Invoice'!$B$2:$B$301,0))),""))</f>
        <v/>
      </c>
      <c r="H994" s="11" t="n"/>
      <c r="R994" s="7">
        <f>IF($E994="","",Q994*Z994/100)</f>
        <v/>
      </c>
      <c r="S994" s="7" t="n"/>
      <c r="Y994" s="7" t="n"/>
      <c r="Z994" s="7" t="n"/>
      <c r="AA994" s="7">
        <f>IF($E994="","",Z994*AF994/100)</f>
        <v/>
      </c>
      <c r="AB994" s="7">
        <f>IF($E994="","",Z994-AA994)</f>
        <v/>
      </c>
      <c r="AC994" s="7">
        <f>IF($E994="","",AB994-R994)</f>
        <v/>
      </c>
      <c r="AF994">
        <f>IF($E994="","",IF($AR994=1,0,IF($AQ994=1,Settings!$C$6,Settings!$C$7))*100)</f>
        <v/>
      </c>
      <c r="AJ994" s="7" t="n"/>
      <c r="AM994" s="11" t="n"/>
      <c r="AO994">
        <f>IF($E994="","",IF(COUNTIF($E$2:$E994,$E994)=1,1,0))</f>
        <v/>
      </c>
      <c r="AP994">
        <f>IF($AO994=1,SUMPRODUCT(--($AS$2:$AS$1001&lt;$AS994))+1,"")</f>
        <v/>
      </c>
      <c r="AQ994">
        <f>IF($E994="","",IF(OR($V994=TRUE(),$V994="TRUE"),1,0))</f>
        <v/>
      </c>
      <c r="AR994">
        <f>IF($E994="","",IF($AE994="Yes",1,0))</f>
        <v/>
      </c>
      <c r="AS994">
        <f>IF($AO994=1,IFERROR(IF(VALUE($E994)&lt;100000000,VALUE($E994),1000000000),IFERROR(IF(VALUE(MID($E994,2,20))&lt;100000000,VALUE(MID($E994,2,20)),1000000000),1000000000))+ROW()/100000,"")</f>
        <v/>
      </c>
    </row>
    <row r="995">
      <c r="D995">
        <f>IF($E995="","",IFERROR(IF(INDEX('Per Invoice'!$A$2:$A$301,MATCH($E995,'Per Invoice'!$B$2:$B$301,0))=0,"",INDEX('Per Invoice'!$A$2:$A$301,MATCH($E995,'Per Invoice'!$B$2:$B$301,0))),""))</f>
        <v/>
      </c>
      <c r="H995" s="11" t="n"/>
      <c r="R995" s="7">
        <f>IF($E995="","",Q995*Z995/100)</f>
        <v/>
      </c>
      <c r="S995" s="7" t="n"/>
      <c r="Y995" s="7" t="n"/>
      <c r="Z995" s="7" t="n"/>
      <c r="AA995" s="7">
        <f>IF($E995="","",Z995*AF995/100)</f>
        <v/>
      </c>
      <c r="AB995" s="7">
        <f>IF($E995="","",Z995-AA995)</f>
        <v/>
      </c>
      <c r="AC995" s="7">
        <f>IF($E995="","",AB995-R995)</f>
        <v/>
      </c>
      <c r="AF995">
        <f>IF($E995="","",IF($AR995=1,0,IF($AQ995=1,Settings!$C$6,Settings!$C$7))*100)</f>
        <v/>
      </c>
      <c r="AJ995" s="7" t="n"/>
      <c r="AM995" s="11" t="n"/>
      <c r="AO995">
        <f>IF($E995="","",IF(COUNTIF($E$2:$E995,$E995)=1,1,0))</f>
        <v/>
      </c>
      <c r="AP995">
        <f>IF($AO995=1,SUMPRODUCT(--($AS$2:$AS$1001&lt;$AS995))+1,"")</f>
        <v/>
      </c>
      <c r="AQ995">
        <f>IF($E995="","",IF(OR($V995=TRUE(),$V995="TRUE"),1,0))</f>
        <v/>
      </c>
      <c r="AR995">
        <f>IF($E995="","",IF($AE995="Yes",1,0))</f>
        <v/>
      </c>
      <c r="AS995">
        <f>IF($AO995=1,IFERROR(IF(VALUE($E995)&lt;100000000,VALUE($E995),1000000000),IFERROR(IF(VALUE(MID($E995,2,20))&lt;100000000,VALUE(MID($E995,2,20)),1000000000),1000000000))+ROW()/100000,"")</f>
        <v/>
      </c>
    </row>
    <row r="996">
      <c r="D996">
        <f>IF($E996="","",IFERROR(IF(INDEX('Per Invoice'!$A$2:$A$301,MATCH($E996,'Per Invoice'!$B$2:$B$301,0))=0,"",INDEX('Per Invoice'!$A$2:$A$301,MATCH($E996,'Per Invoice'!$B$2:$B$301,0))),""))</f>
        <v/>
      </c>
      <c r="H996" s="11" t="n"/>
      <c r="R996" s="7">
        <f>IF($E996="","",Q996*Z996/100)</f>
        <v/>
      </c>
      <c r="S996" s="7" t="n"/>
      <c r="Y996" s="7" t="n"/>
      <c r="Z996" s="7" t="n"/>
      <c r="AA996" s="7">
        <f>IF($E996="","",Z996*AF996/100)</f>
        <v/>
      </c>
      <c r="AB996" s="7">
        <f>IF($E996="","",Z996-AA996)</f>
        <v/>
      </c>
      <c r="AC996" s="7">
        <f>IF($E996="","",AB996-R996)</f>
        <v/>
      </c>
      <c r="AF996">
        <f>IF($E996="","",IF($AR996=1,0,IF($AQ996=1,Settings!$C$6,Settings!$C$7))*100)</f>
        <v/>
      </c>
      <c r="AJ996" s="7" t="n"/>
      <c r="AM996" s="11" t="n"/>
      <c r="AO996">
        <f>IF($E996="","",IF(COUNTIF($E$2:$E996,$E996)=1,1,0))</f>
        <v/>
      </c>
      <c r="AP996">
        <f>IF($AO996=1,SUMPRODUCT(--($AS$2:$AS$1001&lt;$AS996))+1,"")</f>
        <v/>
      </c>
      <c r="AQ996">
        <f>IF($E996="","",IF(OR($V996=TRUE(),$V996="TRUE"),1,0))</f>
        <v/>
      </c>
      <c r="AR996">
        <f>IF($E996="","",IF($AE996="Yes",1,0))</f>
        <v/>
      </c>
      <c r="AS996">
        <f>IF($AO996=1,IFERROR(IF(VALUE($E996)&lt;100000000,VALUE($E996),1000000000),IFERROR(IF(VALUE(MID($E996,2,20))&lt;100000000,VALUE(MID($E996,2,20)),1000000000),1000000000))+ROW()/100000,"")</f>
        <v/>
      </c>
    </row>
    <row r="997">
      <c r="D997">
        <f>IF($E997="","",IFERROR(IF(INDEX('Per Invoice'!$A$2:$A$301,MATCH($E997,'Per Invoice'!$B$2:$B$301,0))=0,"",INDEX('Per Invoice'!$A$2:$A$301,MATCH($E997,'Per Invoice'!$B$2:$B$301,0))),""))</f>
        <v/>
      </c>
      <c r="H997" s="11" t="n"/>
      <c r="R997" s="7">
        <f>IF($E997="","",Q997*Z997/100)</f>
        <v/>
      </c>
      <c r="S997" s="7" t="n"/>
      <c r="Y997" s="7" t="n"/>
      <c r="Z997" s="7" t="n"/>
      <c r="AA997" s="7">
        <f>IF($E997="","",Z997*AF997/100)</f>
        <v/>
      </c>
      <c r="AB997" s="7">
        <f>IF($E997="","",Z997-AA997)</f>
        <v/>
      </c>
      <c r="AC997" s="7">
        <f>IF($E997="","",AB997-R997)</f>
        <v/>
      </c>
      <c r="AF997">
        <f>IF($E997="","",IF($AR997=1,0,IF($AQ997=1,Settings!$C$6,Settings!$C$7))*100)</f>
        <v/>
      </c>
      <c r="AJ997" s="7" t="n"/>
      <c r="AM997" s="11" t="n"/>
      <c r="AO997">
        <f>IF($E997="","",IF(COUNTIF($E$2:$E997,$E997)=1,1,0))</f>
        <v/>
      </c>
      <c r="AP997">
        <f>IF($AO997=1,SUMPRODUCT(--($AS$2:$AS$1001&lt;$AS997))+1,"")</f>
        <v/>
      </c>
      <c r="AQ997">
        <f>IF($E997="","",IF(OR($V997=TRUE(),$V997="TRUE"),1,0))</f>
        <v/>
      </c>
      <c r="AR997">
        <f>IF($E997="","",IF($AE997="Yes",1,0))</f>
        <v/>
      </c>
      <c r="AS997">
        <f>IF($AO997=1,IFERROR(IF(VALUE($E997)&lt;100000000,VALUE($E997),1000000000),IFERROR(IF(VALUE(MID($E997,2,20))&lt;100000000,VALUE(MID($E997,2,20)),1000000000),1000000000))+ROW()/100000,"")</f>
        <v/>
      </c>
    </row>
    <row r="998">
      <c r="D998">
        <f>IF($E998="","",IFERROR(IF(INDEX('Per Invoice'!$A$2:$A$301,MATCH($E998,'Per Invoice'!$B$2:$B$301,0))=0,"",INDEX('Per Invoice'!$A$2:$A$301,MATCH($E998,'Per Invoice'!$B$2:$B$301,0))),""))</f>
        <v/>
      </c>
      <c r="H998" s="11" t="n"/>
      <c r="R998" s="7">
        <f>IF($E998="","",Q998*Z998/100)</f>
        <v/>
      </c>
      <c r="S998" s="7" t="n"/>
      <c r="Y998" s="7" t="n"/>
      <c r="Z998" s="7" t="n"/>
      <c r="AA998" s="7">
        <f>IF($E998="","",Z998*AF998/100)</f>
        <v/>
      </c>
      <c r="AB998" s="7">
        <f>IF($E998="","",Z998-AA998)</f>
        <v/>
      </c>
      <c r="AC998" s="7">
        <f>IF($E998="","",AB998-R998)</f>
        <v/>
      </c>
      <c r="AF998">
        <f>IF($E998="","",IF($AR998=1,0,IF($AQ998=1,Settings!$C$6,Settings!$C$7))*100)</f>
        <v/>
      </c>
      <c r="AJ998" s="7" t="n"/>
      <c r="AM998" s="11" t="n"/>
      <c r="AO998">
        <f>IF($E998="","",IF(COUNTIF($E$2:$E998,$E998)=1,1,0))</f>
        <v/>
      </c>
      <c r="AP998">
        <f>IF($AO998=1,SUMPRODUCT(--($AS$2:$AS$1001&lt;$AS998))+1,"")</f>
        <v/>
      </c>
      <c r="AQ998">
        <f>IF($E998="","",IF(OR($V998=TRUE(),$V998="TRUE"),1,0))</f>
        <v/>
      </c>
      <c r="AR998">
        <f>IF($E998="","",IF($AE998="Yes",1,0))</f>
        <v/>
      </c>
      <c r="AS998">
        <f>IF($AO998=1,IFERROR(IF(VALUE($E998)&lt;100000000,VALUE($E998),1000000000),IFERROR(IF(VALUE(MID($E998,2,20))&lt;100000000,VALUE(MID($E998,2,20)),1000000000),1000000000))+ROW()/100000,"")</f>
        <v/>
      </c>
    </row>
    <row r="999">
      <c r="D999">
        <f>IF($E999="","",IFERROR(IF(INDEX('Per Invoice'!$A$2:$A$301,MATCH($E999,'Per Invoice'!$B$2:$B$301,0))=0,"",INDEX('Per Invoice'!$A$2:$A$301,MATCH($E999,'Per Invoice'!$B$2:$B$301,0))),""))</f>
        <v/>
      </c>
      <c r="H999" s="11" t="n"/>
      <c r="R999" s="7">
        <f>IF($E999="","",Q999*Z999/100)</f>
        <v/>
      </c>
      <c r="S999" s="7" t="n"/>
      <c r="Y999" s="7" t="n"/>
      <c r="Z999" s="7" t="n"/>
      <c r="AA999" s="7">
        <f>IF($E999="","",Z999*AF999/100)</f>
        <v/>
      </c>
      <c r="AB999" s="7">
        <f>IF($E999="","",Z999-AA999)</f>
        <v/>
      </c>
      <c r="AC999" s="7">
        <f>IF($E999="","",AB999-R999)</f>
        <v/>
      </c>
      <c r="AF999">
        <f>IF($E999="","",IF($AR999=1,0,IF($AQ999=1,Settings!$C$6,Settings!$C$7))*100)</f>
        <v/>
      </c>
      <c r="AJ999" s="7" t="n"/>
      <c r="AM999" s="11" t="n"/>
      <c r="AO999">
        <f>IF($E999="","",IF(COUNTIF($E$2:$E999,$E999)=1,1,0))</f>
        <v/>
      </c>
      <c r="AP999">
        <f>IF($AO999=1,SUMPRODUCT(--($AS$2:$AS$1001&lt;$AS999))+1,"")</f>
        <v/>
      </c>
      <c r="AQ999">
        <f>IF($E999="","",IF(OR($V999=TRUE(),$V999="TRUE"),1,0))</f>
        <v/>
      </c>
      <c r="AR999">
        <f>IF($E999="","",IF($AE999="Yes",1,0))</f>
        <v/>
      </c>
      <c r="AS999">
        <f>IF($AO999=1,IFERROR(IF(VALUE($E999)&lt;100000000,VALUE($E999),1000000000),IFERROR(IF(VALUE(MID($E999,2,20))&lt;100000000,VALUE(MID($E999,2,20)),1000000000),1000000000))+ROW()/100000,"")</f>
        <v/>
      </c>
    </row>
    <row r="1000">
      <c r="D1000">
        <f>IF($E1000="","",IFERROR(IF(INDEX('Per Invoice'!$A$2:$A$301,MATCH($E1000,'Per Invoice'!$B$2:$B$301,0))=0,"",INDEX('Per Invoice'!$A$2:$A$301,MATCH($E1000,'Per Invoice'!$B$2:$B$301,0))),""))</f>
        <v/>
      </c>
      <c r="H1000" s="11" t="n"/>
      <c r="R1000" s="7">
        <f>IF($E1000="","",Q1000*Z1000/100)</f>
        <v/>
      </c>
      <c r="S1000" s="7" t="n"/>
      <c r="Y1000" s="7" t="n"/>
      <c r="Z1000" s="7" t="n"/>
      <c r="AA1000" s="7">
        <f>IF($E1000="","",Z1000*AF1000/100)</f>
        <v/>
      </c>
      <c r="AB1000" s="7">
        <f>IF($E1000="","",Z1000-AA1000)</f>
        <v/>
      </c>
      <c r="AC1000" s="7">
        <f>IF($E1000="","",AB1000-R1000)</f>
        <v/>
      </c>
      <c r="AF1000">
        <f>IF($E1000="","",IF($AR1000=1,0,IF($AQ1000=1,Settings!$C$6,Settings!$C$7))*100)</f>
        <v/>
      </c>
      <c r="AJ1000" s="7" t="n"/>
      <c r="AM1000" s="11" t="n"/>
      <c r="AO1000">
        <f>IF($E1000="","",IF(COUNTIF($E$2:$E1000,$E1000)=1,1,0))</f>
        <v/>
      </c>
      <c r="AP1000">
        <f>IF($AO1000=1,SUMPRODUCT(--($AS$2:$AS$1001&lt;$AS1000))+1,"")</f>
        <v/>
      </c>
      <c r="AQ1000">
        <f>IF($E1000="","",IF(OR($V1000=TRUE(),$V1000="TRUE"),1,0))</f>
        <v/>
      </c>
      <c r="AR1000">
        <f>IF($E1000="","",IF($AE1000="Yes",1,0))</f>
        <v/>
      </c>
      <c r="AS1000">
        <f>IF($AO1000=1,IFERROR(IF(VALUE($E1000)&lt;100000000,VALUE($E1000),1000000000),IFERROR(IF(VALUE(MID($E1000,2,20))&lt;100000000,VALUE(MID($E1000,2,20)),1000000000),1000000000))+ROW()/100000,"")</f>
        <v/>
      </c>
    </row>
    <row r="1001">
      <c r="D1001">
        <f>IF($E1001="","",IFERROR(IF(INDEX('Per Invoice'!$A$2:$A$301,MATCH($E1001,'Per Invoice'!$B$2:$B$301,0))=0,"",INDEX('Per Invoice'!$A$2:$A$301,MATCH($E1001,'Per Invoice'!$B$2:$B$301,0))),""))</f>
        <v/>
      </c>
      <c r="H1001" s="11" t="n"/>
      <c r="R1001" s="7">
        <f>IF($E1001="","",Q1001*Z1001/100)</f>
        <v/>
      </c>
      <c r="S1001" s="7" t="n"/>
      <c r="Y1001" s="7" t="n"/>
      <c r="Z1001" s="7" t="n"/>
      <c r="AA1001" s="7">
        <f>IF($E1001="","",Z1001*AF1001/100)</f>
        <v/>
      </c>
      <c r="AB1001" s="7">
        <f>IF($E1001="","",Z1001-AA1001)</f>
        <v/>
      </c>
      <c r="AC1001" s="7">
        <f>IF($E1001="","",AB1001-R1001)</f>
        <v/>
      </c>
      <c r="AF1001">
        <f>IF($E1001="","",IF($AR1001=1,0,IF($AQ1001=1,Settings!$C$6,Settings!$C$7))*100)</f>
        <v/>
      </c>
      <c r="AJ1001" s="7" t="n"/>
      <c r="AM1001" s="11" t="n"/>
      <c r="AO1001">
        <f>IF($E1001="","",IF(COUNTIF($E$2:$E1001,$E1001)=1,1,0))</f>
        <v/>
      </c>
      <c r="AP1001">
        <f>IF($AO1001=1,SUMPRODUCT(--($AS$2:$AS$1001&lt;$AS1001))+1,"")</f>
        <v/>
      </c>
      <c r="AQ1001">
        <f>IF($E1001="","",IF(OR($V1001=TRUE(),$V1001="TRUE"),1,0))</f>
        <v/>
      </c>
      <c r="AR1001">
        <f>IF($E1001="","",IF($AE1001="Yes",1,0))</f>
        <v/>
      </c>
      <c r="AS1001">
        <f>IF($AO1001=1,IFERROR(IF(VALUE($E1001)&lt;100000000,VALUE($E1001),1000000000),IFERROR(IF(VALUE(MID($E1001,2,20))&lt;100000000,VALUE(MID($E1001,2,20)),1000000000),1000000000))+ROW()/100000,"")</f>
        <v/>
      </c>
    </row>
  </sheetData>
  <autoFilter ref="A1:AS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0" customWidth="1" min="5" max="5"/>
    <col width="14" customWidth="1" min="6" max="6"/>
    <col width="17" customWidth="1" min="7" max="7"/>
    <col width="24" customWidth="1" min="8" max="8"/>
    <col width="12" customWidth="1" min="9" max="9"/>
    <col width="26" customWidth="1" min="10" max="10"/>
    <col width="12" customWidth="1" min="11" max="11"/>
    <col width="12" customWidth="1" min="12" max="12"/>
    <col width="3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</cols>
  <sheetData>
    <row r="1" ht="32" customHeight="1">
      <c r="A1" s="8" t="inlineStr">
        <is>
          <t>Invoice</t>
        </is>
      </c>
      <c r="B1" s="9" t="inlineStr">
        <is>
          <t>Order #</t>
        </is>
      </c>
      <c r="C1" s="9" t="inlineStr">
        <is>
          <t>Approval Ref</t>
        </is>
      </c>
      <c r="D1" s="9" t="inlineStr">
        <is>
          <t>Cycle</t>
        </is>
      </c>
      <c r="E1" s="9" t="inlineStr">
        <is>
          <t>Ticket #</t>
        </is>
      </c>
      <c r="F1" s="9" t="inlineStr">
        <is>
          <t>Channel</t>
        </is>
      </c>
      <c r="G1" s="9" t="inlineStr">
        <is>
          <t>Create At</t>
        </is>
      </c>
      <c r="H1" s="9" t="inlineStr">
        <is>
          <t>Corporate</t>
        </is>
      </c>
      <c r="I1" s="9" t="inlineStr">
        <is>
          <t>Card</t>
        </is>
      </c>
      <c r="J1" s="9" t="inlineStr">
        <is>
          <t>Name</t>
        </is>
      </c>
      <c r="K1" s="9" t="inlineStr">
        <is>
          <t>Order Co Payment</t>
        </is>
      </c>
      <c r="L1" s="9" t="inlineStr">
        <is>
          <t>Co val</t>
        </is>
      </c>
      <c r="M1" s="9" t="inlineStr">
        <is>
          <t>ERX ID</t>
        </is>
      </c>
      <c r="N1" s="9" t="inlineStr">
        <is>
          <t>Special</t>
        </is>
      </c>
      <c r="O1" s="9" t="inlineStr">
        <is>
          <t>imp%</t>
        </is>
      </c>
      <c r="P1" s="9" t="inlineStr">
        <is>
          <t>imp</t>
        </is>
      </c>
      <c r="Q1" s="9" t="inlineStr">
        <is>
          <t>imp val</t>
        </is>
      </c>
      <c r="R1" s="9" t="inlineStr">
        <is>
          <t>local %</t>
        </is>
      </c>
      <c r="S1" s="9" t="inlineStr">
        <is>
          <t>local</t>
        </is>
      </c>
      <c r="T1" s="9" t="inlineStr">
        <is>
          <t>local val</t>
        </is>
      </c>
      <c r="U1" s="9" t="inlineStr">
        <is>
          <t>disc</t>
        </is>
      </c>
      <c r="V1" s="9" t="inlineStr">
        <is>
          <t>subtotal</t>
        </is>
      </c>
      <c r="W1" s="9" t="inlineStr">
        <is>
          <t>Grand Total</t>
        </is>
      </c>
      <c r="X1" s="9" t="inlineStr">
        <is>
          <t>net</t>
        </is>
      </c>
      <c r="Y1" s="10" t="inlineStr">
        <is>
          <t>Src Row (helper)</t>
        </is>
      </c>
    </row>
    <row r="2">
      <c r="A2" s="12" t="n"/>
      <c r="B2">
        <f>IF($Y2="","",INDEX('Per Line'!$E$2:$E$1001,$Y2)&amp;"")</f>
        <v/>
      </c>
      <c r="C2">
        <f>IF($Y2="","",INDEX('Per Line'!$F$2:$F$1001,$Y2)&amp;"")</f>
        <v/>
      </c>
      <c r="D2">
        <f>IF($Y2="","",INDEX('Per Line'!$A$2:$A$1001,$Y2)&amp;"")</f>
        <v/>
      </c>
      <c r="E2">
        <f>IF($Y2="","",INDEX('Per Line'!$B$2:$B$1001,$Y2))</f>
        <v/>
      </c>
      <c r="F2">
        <f>IF($Y2="","",INDEX('Per Line'!$G$2:$G$1001,$Y2)&amp;"")</f>
        <v/>
      </c>
      <c r="G2" s="11">
        <f>IF($Y2="","",INDEX('Per Line'!$H$2:$H$1001,$Y2))</f>
        <v/>
      </c>
      <c r="H2">
        <f>IF($Y2="","",INDEX('Per Line'!$K$2:$K$1001,$Y2)&amp;"")</f>
        <v/>
      </c>
      <c r="I2">
        <f>IF($Y2="","",INDEX('Per Line'!$L$2:$L$1001,$Y2)&amp;"")</f>
        <v/>
      </c>
      <c r="J2">
        <f>IF($Y2="","",INDEX('Per Line'!$M$2:$M$1001,$Y2)&amp;"")</f>
        <v/>
      </c>
      <c r="K2">
        <f>IF($Y2="","",INDEX('Per Line'!$Q$2:$Q$1001,$Y2))</f>
        <v/>
      </c>
      <c r="L2" s="7">
        <f>IF($Y2="","",K2*W2/100)</f>
        <v/>
      </c>
      <c r="M2">
        <f>IF($Y2="","",INDEX('Per Line'!$AD$2:$AD$1001,$Y2)&amp;"")</f>
        <v/>
      </c>
      <c r="N2" s="7">
        <f>IF($Y2="","",SUMIFS('Per Line'!$Z$2:$Z$1001,'Per Line'!$E$2:$E$1001,$B2,'Per Line'!$AR$2:$AR$1001,1))</f>
        <v/>
      </c>
      <c r="O2">
        <f>IF($Y2="","",Settings!$C$7)</f>
        <v/>
      </c>
      <c r="P2" s="7">
        <f>IF($Y2="","",SUMIFS('Per Line'!$Z$2:$Z$1001,'Per Line'!$E$2:$E$1001,$B2,'Per Line'!$AQ$2:$AQ$1001,0,'Per Line'!$AR$2:$AR$1001,0))</f>
        <v/>
      </c>
      <c r="Q2" s="7">
        <f>IF($Y2="","",P2*O2)</f>
        <v/>
      </c>
      <c r="R2">
        <f>IF($Y2="","",Settings!$C$6)</f>
        <v/>
      </c>
      <c r="S2" s="7">
        <f>IF($Y2="","",SUMIFS('Per Line'!$Z$2:$Z$1001,'Per Line'!$E$2:$E$1001,$B2,'Per Line'!$AQ$2:$AQ$1001,1,'Per Line'!$AR$2:$AR$1001,0))</f>
        <v/>
      </c>
      <c r="T2" s="7">
        <f>IF($Y2="","",S2*R2)</f>
        <v/>
      </c>
      <c r="U2" s="7">
        <f>IF($Y2="","",T2+Q2)</f>
        <v/>
      </c>
      <c r="V2" s="7">
        <f>IF($Y2="","",W2-U2)</f>
        <v/>
      </c>
      <c r="W2" s="7">
        <f>IF($Y2="","",P2+S2+N2)</f>
        <v/>
      </c>
      <c r="X2" s="7">
        <f>IF($Y2="","",W2-U2-L2)</f>
        <v/>
      </c>
      <c r="Y2" s="13">
        <f>IF(ROWS($Y$2:$Y2)&lt;=MAX('Per Line'!$AP$2:$AP$1001),MATCH(ROWS($Y$2:$Y2),'Per Line'!$AP$2:$AP$1001,0),"")</f>
        <v/>
      </c>
    </row>
    <row r="3">
      <c r="A3" s="12" t="n"/>
      <c r="B3">
        <f>IF($Y3="","",INDEX('Per Line'!$E$2:$E$1001,$Y3)&amp;"")</f>
        <v/>
      </c>
      <c r="C3">
        <f>IF($Y3="","",INDEX('Per Line'!$F$2:$F$1001,$Y3)&amp;"")</f>
        <v/>
      </c>
      <c r="D3">
        <f>IF($Y3="","",INDEX('Per Line'!$A$2:$A$1001,$Y3)&amp;"")</f>
        <v/>
      </c>
      <c r="E3">
        <f>IF($Y3="","",INDEX('Per Line'!$B$2:$B$1001,$Y3))</f>
        <v/>
      </c>
      <c r="F3">
        <f>IF($Y3="","",INDEX('Per Line'!$G$2:$G$1001,$Y3)&amp;"")</f>
        <v/>
      </c>
      <c r="G3" s="11">
        <f>IF($Y3="","",INDEX('Per Line'!$H$2:$H$1001,$Y3))</f>
        <v/>
      </c>
      <c r="H3">
        <f>IF($Y3="","",INDEX('Per Line'!$K$2:$K$1001,$Y3)&amp;"")</f>
        <v/>
      </c>
      <c r="I3">
        <f>IF($Y3="","",INDEX('Per Line'!$L$2:$L$1001,$Y3)&amp;"")</f>
        <v/>
      </c>
      <c r="J3">
        <f>IF($Y3="","",INDEX('Per Line'!$M$2:$M$1001,$Y3)&amp;"")</f>
        <v/>
      </c>
      <c r="K3">
        <f>IF($Y3="","",INDEX('Per Line'!$Q$2:$Q$1001,$Y3))</f>
        <v/>
      </c>
      <c r="L3" s="7">
        <f>IF($Y3="","",K3*W3/100)</f>
        <v/>
      </c>
      <c r="M3">
        <f>IF($Y3="","",INDEX('Per Line'!$AD$2:$AD$1001,$Y3)&amp;"")</f>
        <v/>
      </c>
      <c r="N3" s="7">
        <f>IF($Y3="","",SUMIFS('Per Line'!$Z$2:$Z$1001,'Per Line'!$E$2:$E$1001,$B3,'Per Line'!$AR$2:$AR$1001,1))</f>
        <v/>
      </c>
      <c r="O3">
        <f>IF($Y3="","",Settings!$C$7)</f>
        <v/>
      </c>
      <c r="P3" s="7">
        <f>IF($Y3="","",SUMIFS('Per Line'!$Z$2:$Z$1001,'Per Line'!$E$2:$E$1001,$B3,'Per Line'!$AQ$2:$AQ$1001,0,'Per Line'!$AR$2:$AR$1001,0))</f>
        <v/>
      </c>
      <c r="Q3" s="7">
        <f>IF($Y3="","",P3*O3)</f>
        <v/>
      </c>
      <c r="R3">
        <f>IF($Y3="","",Settings!$C$6)</f>
        <v/>
      </c>
      <c r="S3" s="7">
        <f>IF($Y3="","",SUMIFS('Per Line'!$Z$2:$Z$1001,'Per Line'!$E$2:$E$1001,$B3,'Per Line'!$AQ$2:$AQ$1001,1,'Per Line'!$AR$2:$AR$1001,0))</f>
        <v/>
      </c>
      <c r="T3" s="7">
        <f>IF($Y3="","",S3*R3)</f>
        <v/>
      </c>
      <c r="U3" s="7">
        <f>IF($Y3="","",T3+Q3)</f>
        <v/>
      </c>
      <c r="V3" s="7">
        <f>IF($Y3="","",W3-U3)</f>
        <v/>
      </c>
      <c r="W3" s="7">
        <f>IF($Y3="","",P3+S3+N3)</f>
        <v/>
      </c>
      <c r="X3" s="7">
        <f>IF($Y3="","",W3-U3-L3)</f>
        <v/>
      </c>
      <c r="Y3" s="13">
        <f>IF(ROWS($Y$2:$Y3)&lt;=MAX('Per Line'!$AP$2:$AP$1001),MATCH(ROWS($Y$2:$Y3),'Per Line'!$AP$2:$AP$1001,0),"")</f>
        <v/>
      </c>
    </row>
    <row r="4">
      <c r="A4" s="12" t="n"/>
      <c r="B4">
        <f>IF($Y4="","",INDEX('Per Line'!$E$2:$E$1001,$Y4)&amp;"")</f>
        <v/>
      </c>
      <c r="C4">
        <f>IF($Y4="","",INDEX('Per Line'!$F$2:$F$1001,$Y4)&amp;"")</f>
        <v/>
      </c>
      <c r="D4">
        <f>IF($Y4="","",INDEX('Per Line'!$A$2:$A$1001,$Y4)&amp;"")</f>
        <v/>
      </c>
      <c r="E4">
        <f>IF($Y4="","",INDEX('Per Line'!$B$2:$B$1001,$Y4))</f>
        <v/>
      </c>
      <c r="F4">
        <f>IF($Y4="","",INDEX('Per Line'!$G$2:$G$1001,$Y4)&amp;"")</f>
        <v/>
      </c>
      <c r="G4" s="11">
        <f>IF($Y4="","",INDEX('Per Line'!$H$2:$H$1001,$Y4))</f>
        <v/>
      </c>
      <c r="H4">
        <f>IF($Y4="","",INDEX('Per Line'!$K$2:$K$1001,$Y4)&amp;"")</f>
        <v/>
      </c>
      <c r="I4">
        <f>IF($Y4="","",INDEX('Per Line'!$L$2:$L$1001,$Y4)&amp;"")</f>
        <v/>
      </c>
      <c r="J4">
        <f>IF($Y4="","",INDEX('Per Line'!$M$2:$M$1001,$Y4)&amp;"")</f>
        <v/>
      </c>
      <c r="K4">
        <f>IF($Y4="","",INDEX('Per Line'!$Q$2:$Q$1001,$Y4))</f>
        <v/>
      </c>
      <c r="L4" s="7">
        <f>IF($Y4="","",K4*W4/100)</f>
        <v/>
      </c>
      <c r="M4">
        <f>IF($Y4="","",INDEX('Per Line'!$AD$2:$AD$1001,$Y4)&amp;"")</f>
        <v/>
      </c>
      <c r="N4" s="7">
        <f>IF($Y4="","",SUMIFS('Per Line'!$Z$2:$Z$1001,'Per Line'!$E$2:$E$1001,$B4,'Per Line'!$AR$2:$AR$1001,1))</f>
        <v/>
      </c>
      <c r="O4">
        <f>IF($Y4="","",Settings!$C$7)</f>
        <v/>
      </c>
      <c r="P4" s="7">
        <f>IF($Y4="","",SUMIFS('Per Line'!$Z$2:$Z$1001,'Per Line'!$E$2:$E$1001,$B4,'Per Line'!$AQ$2:$AQ$1001,0,'Per Line'!$AR$2:$AR$1001,0))</f>
        <v/>
      </c>
      <c r="Q4" s="7">
        <f>IF($Y4="","",P4*O4)</f>
        <v/>
      </c>
      <c r="R4">
        <f>IF($Y4="","",Settings!$C$6)</f>
        <v/>
      </c>
      <c r="S4" s="7">
        <f>IF($Y4="","",SUMIFS('Per Line'!$Z$2:$Z$1001,'Per Line'!$E$2:$E$1001,$B4,'Per Line'!$AQ$2:$AQ$1001,1,'Per Line'!$AR$2:$AR$1001,0))</f>
        <v/>
      </c>
      <c r="T4" s="7">
        <f>IF($Y4="","",S4*R4)</f>
        <v/>
      </c>
      <c r="U4" s="7">
        <f>IF($Y4="","",T4+Q4)</f>
        <v/>
      </c>
      <c r="V4" s="7">
        <f>IF($Y4="","",W4-U4)</f>
        <v/>
      </c>
      <c r="W4" s="7">
        <f>IF($Y4="","",P4+S4+N4)</f>
        <v/>
      </c>
      <c r="X4" s="7">
        <f>IF($Y4="","",W4-U4-L4)</f>
        <v/>
      </c>
      <c r="Y4" s="13">
        <f>IF(ROWS($Y$2:$Y4)&lt;=MAX('Per Line'!$AP$2:$AP$1001),MATCH(ROWS($Y$2:$Y4),'Per Line'!$AP$2:$AP$1001,0),"")</f>
        <v/>
      </c>
    </row>
    <row r="5">
      <c r="A5" s="12" t="n"/>
      <c r="B5">
        <f>IF($Y5="","",INDEX('Per Line'!$E$2:$E$1001,$Y5)&amp;"")</f>
        <v/>
      </c>
      <c r="C5">
        <f>IF($Y5="","",INDEX('Per Line'!$F$2:$F$1001,$Y5)&amp;"")</f>
        <v/>
      </c>
      <c r="D5">
        <f>IF($Y5="","",INDEX('Per Line'!$A$2:$A$1001,$Y5)&amp;"")</f>
        <v/>
      </c>
      <c r="E5">
        <f>IF($Y5="","",INDEX('Per Line'!$B$2:$B$1001,$Y5))</f>
        <v/>
      </c>
      <c r="F5">
        <f>IF($Y5="","",INDEX('Per Line'!$G$2:$G$1001,$Y5)&amp;"")</f>
        <v/>
      </c>
      <c r="G5" s="11">
        <f>IF($Y5="","",INDEX('Per Line'!$H$2:$H$1001,$Y5))</f>
        <v/>
      </c>
      <c r="H5">
        <f>IF($Y5="","",INDEX('Per Line'!$K$2:$K$1001,$Y5)&amp;"")</f>
        <v/>
      </c>
      <c r="I5">
        <f>IF($Y5="","",INDEX('Per Line'!$L$2:$L$1001,$Y5)&amp;"")</f>
        <v/>
      </c>
      <c r="J5">
        <f>IF($Y5="","",INDEX('Per Line'!$M$2:$M$1001,$Y5)&amp;"")</f>
        <v/>
      </c>
      <c r="K5">
        <f>IF($Y5="","",INDEX('Per Line'!$Q$2:$Q$1001,$Y5))</f>
        <v/>
      </c>
      <c r="L5" s="7">
        <f>IF($Y5="","",K5*W5/100)</f>
        <v/>
      </c>
      <c r="M5">
        <f>IF($Y5="","",INDEX('Per Line'!$AD$2:$AD$1001,$Y5)&amp;"")</f>
        <v/>
      </c>
      <c r="N5" s="7">
        <f>IF($Y5="","",SUMIFS('Per Line'!$Z$2:$Z$1001,'Per Line'!$E$2:$E$1001,$B5,'Per Line'!$AR$2:$AR$1001,1))</f>
        <v/>
      </c>
      <c r="O5">
        <f>IF($Y5="","",Settings!$C$7)</f>
        <v/>
      </c>
      <c r="P5" s="7">
        <f>IF($Y5="","",SUMIFS('Per Line'!$Z$2:$Z$1001,'Per Line'!$E$2:$E$1001,$B5,'Per Line'!$AQ$2:$AQ$1001,0,'Per Line'!$AR$2:$AR$1001,0))</f>
        <v/>
      </c>
      <c r="Q5" s="7">
        <f>IF($Y5="","",P5*O5)</f>
        <v/>
      </c>
      <c r="R5">
        <f>IF($Y5="","",Settings!$C$6)</f>
        <v/>
      </c>
      <c r="S5" s="7">
        <f>IF($Y5="","",SUMIFS('Per Line'!$Z$2:$Z$1001,'Per Line'!$E$2:$E$1001,$B5,'Per Line'!$AQ$2:$AQ$1001,1,'Per Line'!$AR$2:$AR$1001,0))</f>
        <v/>
      </c>
      <c r="T5" s="7">
        <f>IF($Y5="","",S5*R5)</f>
        <v/>
      </c>
      <c r="U5" s="7">
        <f>IF($Y5="","",T5+Q5)</f>
        <v/>
      </c>
      <c r="V5" s="7">
        <f>IF($Y5="","",W5-U5)</f>
        <v/>
      </c>
      <c r="W5" s="7">
        <f>IF($Y5="","",P5+S5+N5)</f>
        <v/>
      </c>
      <c r="X5" s="7">
        <f>IF($Y5="","",W5-U5-L5)</f>
        <v/>
      </c>
      <c r="Y5" s="13">
        <f>IF(ROWS($Y$2:$Y5)&lt;=MAX('Per Line'!$AP$2:$AP$1001),MATCH(ROWS($Y$2:$Y5),'Per Line'!$AP$2:$AP$1001,0),"")</f>
        <v/>
      </c>
    </row>
    <row r="6">
      <c r="A6" s="12" t="n"/>
      <c r="B6">
        <f>IF($Y6="","",INDEX('Per Line'!$E$2:$E$1001,$Y6)&amp;"")</f>
        <v/>
      </c>
      <c r="C6">
        <f>IF($Y6="","",INDEX('Per Line'!$F$2:$F$1001,$Y6)&amp;"")</f>
        <v/>
      </c>
      <c r="D6">
        <f>IF($Y6="","",INDEX('Per Line'!$A$2:$A$1001,$Y6)&amp;"")</f>
        <v/>
      </c>
      <c r="E6">
        <f>IF($Y6="","",INDEX('Per Line'!$B$2:$B$1001,$Y6))</f>
        <v/>
      </c>
      <c r="F6">
        <f>IF($Y6="","",INDEX('Per Line'!$G$2:$G$1001,$Y6)&amp;"")</f>
        <v/>
      </c>
      <c r="G6" s="11">
        <f>IF($Y6="","",INDEX('Per Line'!$H$2:$H$1001,$Y6))</f>
        <v/>
      </c>
      <c r="H6">
        <f>IF($Y6="","",INDEX('Per Line'!$K$2:$K$1001,$Y6)&amp;"")</f>
        <v/>
      </c>
      <c r="I6">
        <f>IF($Y6="","",INDEX('Per Line'!$L$2:$L$1001,$Y6)&amp;"")</f>
        <v/>
      </c>
      <c r="J6">
        <f>IF($Y6="","",INDEX('Per Line'!$M$2:$M$1001,$Y6)&amp;"")</f>
        <v/>
      </c>
      <c r="K6">
        <f>IF($Y6="","",INDEX('Per Line'!$Q$2:$Q$1001,$Y6))</f>
        <v/>
      </c>
      <c r="L6" s="7">
        <f>IF($Y6="","",K6*W6/100)</f>
        <v/>
      </c>
      <c r="M6">
        <f>IF($Y6="","",INDEX('Per Line'!$AD$2:$AD$1001,$Y6)&amp;"")</f>
        <v/>
      </c>
      <c r="N6" s="7">
        <f>IF($Y6="","",SUMIFS('Per Line'!$Z$2:$Z$1001,'Per Line'!$E$2:$E$1001,$B6,'Per Line'!$AR$2:$AR$1001,1))</f>
        <v/>
      </c>
      <c r="O6">
        <f>IF($Y6="","",Settings!$C$7)</f>
        <v/>
      </c>
      <c r="P6" s="7">
        <f>IF($Y6="","",SUMIFS('Per Line'!$Z$2:$Z$1001,'Per Line'!$E$2:$E$1001,$B6,'Per Line'!$AQ$2:$AQ$1001,0,'Per Line'!$AR$2:$AR$1001,0))</f>
        <v/>
      </c>
      <c r="Q6" s="7">
        <f>IF($Y6="","",P6*O6)</f>
        <v/>
      </c>
      <c r="R6">
        <f>IF($Y6="","",Settings!$C$6)</f>
        <v/>
      </c>
      <c r="S6" s="7">
        <f>IF($Y6="","",SUMIFS('Per Line'!$Z$2:$Z$1001,'Per Line'!$E$2:$E$1001,$B6,'Per Line'!$AQ$2:$AQ$1001,1,'Per Line'!$AR$2:$AR$1001,0))</f>
        <v/>
      </c>
      <c r="T6" s="7">
        <f>IF($Y6="","",S6*R6)</f>
        <v/>
      </c>
      <c r="U6" s="7">
        <f>IF($Y6="","",T6+Q6)</f>
        <v/>
      </c>
      <c r="V6" s="7">
        <f>IF($Y6="","",W6-U6)</f>
        <v/>
      </c>
      <c r="W6" s="7">
        <f>IF($Y6="","",P6+S6+N6)</f>
        <v/>
      </c>
      <c r="X6" s="7">
        <f>IF($Y6="","",W6-U6-L6)</f>
        <v/>
      </c>
      <c r="Y6" s="13">
        <f>IF(ROWS($Y$2:$Y6)&lt;=MAX('Per Line'!$AP$2:$AP$1001),MATCH(ROWS($Y$2:$Y6),'Per Line'!$AP$2:$AP$1001,0),"")</f>
        <v/>
      </c>
    </row>
    <row r="7">
      <c r="A7" s="12" t="n"/>
      <c r="B7">
        <f>IF($Y7="","",INDEX('Per Line'!$E$2:$E$1001,$Y7)&amp;"")</f>
        <v/>
      </c>
      <c r="C7">
        <f>IF($Y7="","",INDEX('Per Line'!$F$2:$F$1001,$Y7)&amp;"")</f>
        <v/>
      </c>
      <c r="D7">
        <f>IF($Y7="","",INDEX('Per Line'!$A$2:$A$1001,$Y7)&amp;"")</f>
        <v/>
      </c>
      <c r="E7">
        <f>IF($Y7="","",INDEX('Per Line'!$B$2:$B$1001,$Y7))</f>
        <v/>
      </c>
      <c r="F7">
        <f>IF($Y7="","",INDEX('Per Line'!$G$2:$G$1001,$Y7)&amp;"")</f>
        <v/>
      </c>
      <c r="G7" s="11">
        <f>IF($Y7="","",INDEX('Per Line'!$H$2:$H$1001,$Y7))</f>
        <v/>
      </c>
      <c r="H7">
        <f>IF($Y7="","",INDEX('Per Line'!$K$2:$K$1001,$Y7)&amp;"")</f>
        <v/>
      </c>
      <c r="I7">
        <f>IF($Y7="","",INDEX('Per Line'!$L$2:$L$1001,$Y7)&amp;"")</f>
        <v/>
      </c>
      <c r="J7">
        <f>IF($Y7="","",INDEX('Per Line'!$M$2:$M$1001,$Y7)&amp;"")</f>
        <v/>
      </c>
      <c r="K7">
        <f>IF($Y7="","",INDEX('Per Line'!$Q$2:$Q$1001,$Y7))</f>
        <v/>
      </c>
      <c r="L7" s="7">
        <f>IF($Y7="","",K7*W7/100)</f>
        <v/>
      </c>
      <c r="M7">
        <f>IF($Y7="","",INDEX('Per Line'!$AD$2:$AD$1001,$Y7)&amp;"")</f>
        <v/>
      </c>
      <c r="N7" s="7">
        <f>IF($Y7="","",SUMIFS('Per Line'!$Z$2:$Z$1001,'Per Line'!$E$2:$E$1001,$B7,'Per Line'!$AR$2:$AR$1001,1))</f>
        <v/>
      </c>
      <c r="O7">
        <f>IF($Y7="","",Settings!$C$7)</f>
        <v/>
      </c>
      <c r="P7" s="7">
        <f>IF($Y7="","",SUMIFS('Per Line'!$Z$2:$Z$1001,'Per Line'!$E$2:$E$1001,$B7,'Per Line'!$AQ$2:$AQ$1001,0,'Per Line'!$AR$2:$AR$1001,0))</f>
        <v/>
      </c>
      <c r="Q7" s="7">
        <f>IF($Y7="","",P7*O7)</f>
        <v/>
      </c>
      <c r="R7">
        <f>IF($Y7="","",Settings!$C$6)</f>
        <v/>
      </c>
      <c r="S7" s="7">
        <f>IF($Y7="","",SUMIFS('Per Line'!$Z$2:$Z$1001,'Per Line'!$E$2:$E$1001,$B7,'Per Line'!$AQ$2:$AQ$1001,1,'Per Line'!$AR$2:$AR$1001,0))</f>
        <v/>
      </c>
      <c r="T7" s="7">
        <f>IF($Y7="","",S7*R7)</f>
        <v/>
      </c>
      <c r="U7" s="7">
        <f>IF($Y7="","",T7+Q7)</f>
        <v/>
      </c>
      <c r="V7" s="7">
        <f>IF($Y7="","",W7-U7)</f>
        <v/>
      </c>
      <c r="W7" s="7">
        <f>IF($Y7="","",P7+S7+N7)</f>
        <v/>
      </c>
      <c r="X7" s="7">
        <f>IF($Y7="","",W7-U7-L7)</f>
        <v/>
      </c>
      <c r="Y7" s="13">
        <f>IF(ROWS($Y$2:$Y7)&lt;=MAX('Per Line'!$AP$2:$AP$1001),MATCH(ROWS($Y$2:$Y7),'Per Line'!$AP$2:$AP$1001,0),"")</f>
        <v/>
      </c>
    </row>
    <row r="8">
      <c r="A8" s="12" t="n"/>
      <c r="B8">
        <f>IF($Y8="","",INDEX('Per Line'!$E$2:$E$1001,$Y8)&amp;"")</f>
        <v/>
      </c>
      <c r="C8">
        <f>IF($Y8="","",INDEX('Per Line'!$F$2:$F$1001,$Y8)&amp;"")</f>
        <v/>
      </c>
      <c r="D8">
        <f>IF($Y8="","",INDEX('Per Line'!$A$2:$A$1001,$Y8)&amp;"")</f>
        <v/>
      </c>
      <c r="E8">
        <f>IF($Y8="","",INDEX('Per Line'!$B$2:$B$1001,$Y8))</f>
        <v/>
      </c>
      <c r="F8">
        <f>IF($Y8="","",INDEX('Per Line'!$G$2:$G$1001,$Y8)&amp;"")</f>
        <v/>
      </c>
      <c r="G8" s="11">
        <f>IF($Y8="","",INDEX('Per Line'!$H$2:$H$1001,$Y8))</f>
        <v/>
      </c>
      <c r="H8">
        <f>IF($Y8="","",INDEX('Per Line'!$K$2:$K$1001,$Y8)&amp;"")</f>
        <v/>
      </c>
      <c r="I8">
        <f>IF($Y8="","",INDEX('Per Line'!$L$2:$L$1001,$Y8)&amp;"")</f>
        <v/>
      </c>
      <c r="J8">
        <f>IF($Y8="","",INDEX('Per Line'!$M$2:$M$1001,$Y8)&amp;"")</f>
        <v/>
      </c>
      <c r="K8">
        <f>IF($Y8="","",INDEX('Per Line'!$Q$2:$Q$1001,$Y8))</f>
        <v/>
      </c>
      <c r="L8" s="7">
        <f>IF($Y8="","",K8*W8/100)</f>
        <v/>
      </c>
      <c r="M8">
        <f>IF($Y8="","",INDEX('Per Line'!$AD$2:$AD$1001,$Y8)&amp;"")</f>
        <v/>
      </c>
      <c r="N8" s="7">
        <f>IF($Y8="","",SUMIFS('Per Line'!$Z$2:$Z$1001,'Per Line'!$E$2:$E$1001,$B8,'Per Line'!$AR$2:$AR$1001,1))</f>
        <v/>
      </c>
      <c r="O8">
        <f>IF($Y8="","",Settings!$C$7)</f>
        <v/>
      </c>
      <c r="P8" s="7">
        <f>IF($Y8="","",SUMIFS('Per Line'!$Z$2:$Z$1001,'Per Line'!$E$2:$E$1001,$B8,'Per Line'!$AQ$2:$AQ$1001,0,'Per Line'!$AR$2:$AR$1001,0))</f>
        <v/>
      </c>
      <c r="Q8" s="7">
        <f>IF($Y8="","",P8*O8)</f>
        <v/>
      </c>
      <c r="R8">
        <f>IF($Y8="","",Settings!$C$6)</f>
        <v/>
      </c>
      <c r="S8" s="7">
        <f>IF($Y8="","",SUMIFS('Per Line'!$Z$2:$Z$1001,'Per Line'!$E$2:$E$1001,$B8,'Per Line'!$AQ$2:$AQ$1001,1,'Per Line'!$AR$2:$AR$1001,0))</f>
        <v/>
      </c>
      <c r="T8" s="7">
        <f>IF($Y8="","",S8*R8)</f>
        <v/>
      </c>
      <c r="U8" s="7">
        <f>IF($Y8="","",T8+Q8)</f>
        <v/>
      </c>
      <c r="V8" s="7">
        <f>IF($Y8="","",W8-U8)</f>
        <v/>
      </c>
      <c r="W8" s="7">
        <f>IF($Y8="","",P8+S8+N8)</f>
        <v/>
      </c>
      <c r="X8" s="7">
        <f>IF($Y8="","",W8-U8-L8)</f>
        <v/>
      </c>
      <c r="Y8" s="13">
        <f>IF(ROWS($Y$2:$Y8)&lt;=MAX('Per Line'!$AP$2:$AP$1001),MATCH(ROWS($Y$2:$Y8),'Per Line'!$AP$2:$AP$1001,0),"")</f>
        <v/>
      </c>
    </row>
    <row r="9">
      <c r="A9" s="12" t="n"/>
      <c r="B9">
        <f>IF($Y9="","",INDEX('Per Line'!$E$2:$E$1001,$Y9)&amp;"")</f>
        <v/>
      </c>
      <c r="C9">
        <f>IF($Y9="","",INDEX('Per Line'!$F$2:$F$1001,$Y9)&amp;"")</f>
        <v/>
      </c>
      <c r="D9">
        <f>IF($Y9="","",INDEX('Per Line'!$A$2:$A$1001,$Y9)&amp;"")</f>
        <v/>
      </c>
      <c r="E9">
        <f>IF($Y9="","",INDEX('Per Line'!$B$2:$B$1001,$Y9))</f>
        <v/>
      </c>
      <c r="F9">
        <f>IF($Y9="","",INDEX('Per Line'!$G$2:$G$1001,$Y9)&amp;"")</f>
        <v/>
      </c>
      <c r="G9" s="11">
        <f>IF($Y9="","",INDEX('Per Line'!$H$2:$H$1001,$Y9))</f>
        <v/>
      </c>
      <c r="H9">
        <f>IF($Y9="","",INDEX('Per Line'!$K$2:$K$1001,$Y9)&amp;"")</f>
        <v/>
      </c>
      <c r="I9">
        <f>IF($Y9="","",INDEX('Per Line'!$L$2:$L$1001,$Y9)&amp;"")</f>
        <v/>
      </c>
      <c r="J9">
        <f>IF($Y9="","",INDEX('Per Line'!$M$2:$M$1001,$Y9)&amp;"")</f>
        <v/>
      </c>
      <c r="K9">
        <f>IF($Y9="","",INDEX('Per Line'!$Q$2:$Q$1001,$Y9))</f>
        <v/>
      </c>
      <c r="L9" s="7">
        <f>IF($Y9="","",K9*W9/100)</f>
        <v/>
      </c>
      <c r="M9">
        <f>IF($Y9="","",INDEX('Per Line'!$AD$2:$AD$1001,$Y9)&amp;"")</f>
        <v/>
      </c>
      <c r="N9" s="7">
        <f>IF($Y9="","",SUMIFS('Per Line'!$Z$2:$Z$1001,'Per Line'!$E$2:$E$1001,$B9,'Per Line'!$AR$2:$AR$1001,1))</f>
        <v/>
      </c>
      <c r="O9">
        <f>IF($Y9="","",Settings!$C$7)</f>
        <v/>
      </c>
      <c r="P9" s="7">
        <f>IF($Y9="","",SUMIFS('Per Line'!$Z$2:$Z$1001,'Per Line'!$E$2:$E$1001,$B9,'Per Line'!$AQ$2:$AQ$1001,0,'Per Line'!$AR$2:$AR$1001,0))</f>
        <v/>
      </c>
      <c r="Q9" s="7">
        <f>IF($Y9="","",P9*O9)</f>
        <v/>
      </c>
      <c r="R9">
        <f>IF($Y9="","",Settings!$C$6)</f>
        <v/>
      </c>
      <c r="S9" s="7">
        <f>IF($Y9="","",SUMIFS('Per Line'!$Z$2:$Z$1001,'Per Line'!$E$2:$E$1001,$B9,'Per Line'!$AQ$2:$AQ$1001,1,'Per Line'!$AR$2:$AR$1001,0))</f>
        <v/>
      </c>
      <c r="T9" s="7">
        <f>IF($Y9="","",S9*R9)</f>
        <v/>
      </c>
      <c r="U9" s="7">
        <f>IF($Y9="","",T9+Q9)</f>
        <v/>
      </c>
      <c r="V9" s="7">
        <f>IF($Y9="","",W9-U9)</f>
        <v/>
      </c>
      <c r="W9" s="7">
        <f>IF($Y9="","",P9+S9+N9)</f>
        <v/>
      </c>
      <c r="X9" s="7">
        <f>IF($Y9="","",W9-U9-L9)</f>
        <v/>
      </c>
      <c r="Y9" s="13">
        <f>IF(ROWS($Y$2:$Y9)&lt;=MAX('Per Line'!$AP$2:$AP$1001),MATCH(ROWS($Y$2:$Y9),'Per Line'!$AP$2:$AP$1001,0),"")</f>
        <v/>
      </c>
    </row>
    <row r="10">
      <c r="A10" s="12" t="n"/>
      <c r="B10">
        <f>IF($Y10="","",INDEX('Per Line'!$E$2:$E$1001,$Y10)&amp;"")</f>
        <v/>
      </c>
      <c r="C10">
        <f>IF($Y10="","",INDEX('Per Line'!$F$2:$F$1001,$Y10)&amp;"")</f>
        <v/>
      </c>
      <c r="D10">
        <f>IF($Y10="","",INDEX('Per Line'!$A$2:$A$1001,$Y10)&amp;"")</f>
        <v/>
      </c>
      <c r="E10">
        <f>IF($Y10="","",INDEX('Per Line'!$B$2:$B$1001,$Y10))</f>
        <v/>
      </c>
      <c r="F10">
        <f>IF($Y10="","",INDEX('Per Line'!$G$2:$G$1001,$Y10)&amp;"")</f>
        <v/>
      </c>
      <c r="G10" s="11">
        <f>IF($Y10="","",INDEX('Per Line'!$H$2:$H$1001,$Y10))</f>
        <v/>
      </c>
      <c r="H10">
        <f>IF($Y10="","",INDEX('Per Line'!$K$2:$K$1001,$Y10)&amp;"")</f>
        <v/>
      </c>
      <c r="I10">
        <f>IF($Y10="","",INDEX('Per Line'!$L$2:$L$1001,$Y10)&amp;"")</f>
        <v/>
      </c>
      <c r="J10">
        <f>IF($Y10="","",INDEX('Per Line'!$M$2:$M$1001,$Y10)&amp;"")</f>
        <v/>
      </c>
      <c r="K10">
        <f>IF($Y10="","",INDEX('Per Line'!$Q$2:$Q$1001,$Y10))</f>
        <v/>
      </c>
      <c r="L10" s="7">
        <f>IF($Y10="","",K10*W10/100)</f>
        <v/>
      </c>
      <c r="M10">
        <f>IF($Y10="","",INDEX('Per Line'!$AD$2:$AD$1001,$Y10)&amp;"")</f>
        <v/>
      </c>
      <c r="N10" s="7">
        <f>IF($Y10="","",SUMIFS('Per Line'!$Z$2:$Z$1001,'Per Line'!$E$2:$E$1001,$B10,'Per Line'!$AR$2:$AR$1001,1))</f>
        <v/>
      </c>
      <c r="O10">
        <f>IF($Y10="","",Settings!$C$7)</f>
        <v/>
      </c>
      <c r="P10" s="7">
        <f>IF($Y10="","",SUMIFS('Per Line'!$Z$2:$Z$1001,'Per Line'!$E$2:$E$1001,$B10,'Per Line'!$AQ$2:$AQ$1001,0,'Per Line'!$AR$2:$AR$1001,0))</f>
        <v/>
      </c>
      <c r="Q10" s="7">
        <f>IF($Y10="","",P10*O10)</f>
        <v/>
      </c>
      <c r="R10">
        <f>IF($Y10="","",Settings!$C$6)</f>
        <v/>
      </c>
      <c r="S10" s="7">
        <f>IF($Y10="","",SUMIFS('Per Line'!$Z$2:$Z$1001,'Per Line'!$E$2:$E$1001,$B10,'Per Line'!$AQ$2:$AQ$1001,1,'Per Line'!$AR$2:$AR$1001,0))</f>
        <v/>
      </c>
      <c r="T10" s="7">
        <f>IF($Y10="","",S10*R10)</f>
        <v/>
      </c>
      <c r="U10" s="7">
        <f>IF($Y10="","",T10+Q10)</f>
        <v/>
      </c>
      <c r="V10" s="7">
        <f>IF($Y10="","",W10-U10)</f>
        <v/>
      </c>
      <c r="W10" s="7">
        <f>IF($Y10="","",P10+S10+N10)</f>
        <v/>
      </c>
      <c r="X10" s="7">
        <f>IF($Y10="","",W10-U10-L10)</f>
        <v/>
      </c>
      <c r="Y10" s="13">
        <f>IF(ROWS($Y$2:$Y10)&lt;=MAX('Per Line'!$AP$2:$AP$1001),MATCH(ROWS($Y$2:$Y10),'Per Line'!$AP$2:$AP$1001,0),"")</f>
        <v/>
      </c>
    </row>
    <row r="11">
      <c r="A11" s="12" t="n"/>
      <c r="B11">
        <f>IF($Y11="","",INDEX('Per Line'!$E$2:$E$1001,$Y11)&amp;"")</f>
        <v/>
      </c>
      <c r="C11">
        <f>IF($Y11="","",INDEX('Per Line'!$F$2:$F$1001,$Y11)&amp;"")</f>
        <v/>
      </c>
      <c r="D11">
        <f>IF($Y11="","",INDEX('Per Line'!$A$2:$A$1001,$Y11)&amp;"")</f>
        <v/>
      </c>
      <c r="E11">
        <f>IF($Y11="","",INDEX('Per Line'!$B$2:$B$1001,$Y11))</f>
        <v/>
      </c>
      <c r="F11">
        <f>IF($Y11="","",INDEX('Per Line'!$G$2:$G$1001,$Y11)&amp;"")</f>
        <v/>
      </c>
      <c r="G11" s="11">
        <f>IF($Y11="","",INDEX('Per Line'!$H$2:$H$1001,$Y11))</f>
        <v/>
      </c>
      <c r="H11">
        <f>IF($Y11="","",INDEX('Per Line'!$K$2:$K$1001,$Y11)&amp;"")</f>
        <v/>
      </c>
      <c r="I11">
        <f>IF($Y11="","",INDEX('Per Line'!$L$2:$L$1001,$Y11)&amp;"")</f>
        <v/>
      </c>
      <c r="J11">
        <f>IF($Y11="","",INDEX('Per Line'!$M$2:$M$1001,$Y11)&amp;"")</f>
        <v/>
      </c>
      <c r="K11">
        <f>IF($Y11="","",INDEX('Per Line'!$Q$2:$Q$1001,$Y11))</f>
        <v/>
      </c>
      <c r="L11" s="7">
        <f>IF($Y11="","",K11*W11/100)</f>
        <v/>
      </c>
      <c r="M11">
        <f>IF($Y11="","",INDEX('Per Line'!$AD$2:$AD$1001,$Y11)&amp;"")</f>
        <v/>
      </c>
      <c r="N11" s="7">
        <f>IF($Y11="","",SUMIFS('Per Line'!$Z$2:$Z$1001,'Per Line'!$E$2:$E$1001,$B11,'Per Line'!$AR$2:$AR$1001,1))</f>
        <v/>
      </c>
      <c r="O11">
        <f>IF($Y11="","",Settings!$C$7)</f>
        <v/>
      </c>
      <c r="P11" s="7">
        <f>IF($Y11="","",SUMIFS('Per Line'!$Z$2:$Z$1001,'Per Line'!$E$2:$E$1001,$B11,'Per Line'!$AQ$2:$AQ$1001,0,'Per Line'!$AR$2:$AR$1001,0))</f>
        <v/>
      </c>
      <c r="Q11" s="7">
        <f>IF($Y11="","",P11*O11)</f>
        <v/>
      </c>
      <c r="R11">
        <f>IF($Y11="","",Settings!$C$6)</f>
        <v/>
      </c>
      <c r="S11" s="7">
        <f>IF($Y11="","",SUMIFS('Per Line'!$Z$2:$Z$1001,'Per Line'!$E$2:$E$1001,$B11,'Per Line'!$AQ$2:$AQ$1001,1,'Per Line'!$AR$2:$AR$1001,0))</f>
        <v/>
      </c>
      <c r="T11" s="7">
        <f>IF($Y11="","",S11*R11)</f>
        <v/>
      </c>
      <c r="U11" s="7">
        <f>IF($Y11="","",T11+Q11)</f>
        <v/>
      </c>
      <c r="V11" s="7">
        <f>IF($Y11="","",W11-U11)</f>
        <v/>
      </c>
      <c r="W11" s="7">
        <f>IF($Y11="","",P11+S11+N11)</f>
        <v/>
      </c>
      <c r="X11" s="7">
        <f>IF($Y11="","",W11-U11-L11)</f>
        <v/>
      </c>
      <c r="Y11" s="13">
        <f>IF(ROWS($Y$2:$Y11)&lt;=MAX('Per Line'!$AP$2:$AP$1001),MATCH(ROWS($Y$2:$Y11),'Per Line'!$AP$2:$AP$1001,0),"")</f>
        <v/>
      </c>
    </row>
    <row r="12">
      <c r="A12" s="12" t="n"/>
      <c r="B12">
        <f>IF($Y12="","",INDEX('Per Line'!$E$2:$E$1001,$Y12)&amp;"")</f>
        <v/>
      </c>
      <c r="C12">
        <f>IF($Y12="","",INDEX('Per Line'!$F$2:$F$1001,$Y12)&amp;"")</f>
        <v/>
      </c>
      <c r="D12">
        <f>IF($Y12="","",INDEX('Per Line'!$A$2:$A$1001,$Y12)&amp;"")</f>
        <v/>
      </c>
      <c r="E12">
        <f>IF($Y12="","",INDEX('Per Line'!$B$2:$B$1001,$Y12))</f>
        <v/>
      </c>
      <c r="F12">
        <f>IF($Y12="","",INDEX('Per Line'!$G$2:$G$1001,$Y12)&amp;"")</f>
        <v/>
      </c>
      <c r="G12" s="11">
        <f>IF($Y12="","",INDEX('Per Line'!$H$2:$H$1001,$Y12))</f>
        <v/>
      </c>
      <c r="H12">
        <f>IF($Y12="","",INDEX('Per Line'!$K$2:$K$1001,$Y12)&amp;"")</f>
        <v/>
      </c>
      <c r="I12">
        <f>IF($Y12="","",INDEX('Per Line'!$L$2:$L$1001,$Y12)&amp;"")</f>
        <v/>
      </c>
      <c r="J12">
        <f>IF($Y12="","",INDEX('Per Line'!$M$2:$M$1001,$Y12)&amp;"")</f>
        <v/>
      </c>
      <c r="K12">
        <f>IF($Y12="","",INDEX('Per Line'!$Q$2:$Q$1001,$Y12))</f>
        <v/>
      </c>
      <c r="L12" s="7">
        <f>IF($Y12="","",K12*W12/100)</f>
        <v/>
      </c>
      <c r="M12">
        <f>IF($Y12="","",INDEX('Per Line'!$AD$2:$AD$1001,$Y12)&amp;"")</f>
        <v/>
      </c>
      <c r="N12" s="7">
        <f>IF($Y12="","",SUMIFS('Per Line'!$Z$2:$Z$1001,'Per Line'!$E$2:$E$1001,$B12,'Per Line'!$AR$2:$AR$1001,1))</f>
        <v/>
      </c>
      <c r="O12">
        <f>IF($Y12="","",Settings!$C$7)</f>
        <v/>
      </c>
      <c r="P12" s="7">
        <f>IF($Y12="","",SUMIFS('Per Line'!$Z$2:$Z$1001,'Per Line'!$E$2:$E$1001,$B12,'Per Line'!$AQ$2:$AQ$1001,0,'Per Line'!$AR$2:$AR$1001,0))</f>
        <v/>
      </c>
      <c r="Q12" s="7">
        <f>IF($Y12="","",P12*O12)</f>
        <v/>
      </c>
      <c r="R12">
        <f>IF($Y12="","",Settings!$C$6)</f>
        <v/>
      </c>
      <c r="S12" s="7">
        <f>IF($Y12="","",SUMIFS('Per Line'!$Z$2:$Z$1001,'Per Line'!$E$2:$E$1001,$B12,'Per Line'!$AQ$2:$AQ$1001,1,'Per Line'!$AR$2:$AR$1001,0))</f>
        <v/>
      </c>
      <c r="T12" s="7">
        <f>IF($Y12="","",S12*R12)</f>
        <v/>
      </c>
      <c r="U12" s="7">
        <f>IF($Y12="","",T12+Q12)</f>
        <v/>
      </c>
      <c r="V12" s="7">
        <f>IF($Y12="","",W12-U12)</f>
        <v/>
      </c>
      <c r="W12" s="7">
        <f>IF($Y12="","",P12+S12+N12)</f>
        <v/>
      </c>
      <c r="X12" s="7">
        <f>IF($Y12="","",W12-U12-L12)</f>
        <v/>
      </c>
      <c r="Y12" s="13">
        <f>IF(ROWS($Y$2:$Y12)&lt;=MAX('Per Line'!$AP$2:$AP$1001),MATCH(ROWS($Y$2:$Y12),'Per Line'!$AP$2:$AP$1001,0),"")</f>
        <v/>
      </c>
    </row>
    <row r="13">
      <c r="A13" s="12" t="n"/>
      <c r="B13">
        <f>IF($Y13="","",INDEX('Per Line'!$E$2:$E$1001,$Y13)&amp;"")</f>
        <v/>
      </c>
      <c r="C13">
        <f>IF($Y13="","",INDEX('Per Line'!$F$2:$F$1001,$Y13)&amp;"")</f>
        <v/>
      </c>
      <c r="D13">
        <f>IF($Y13="","",INDEX('Per Line'!$A$2:$A$1001,$Y13)&amp;"")</f>
        <v/>
      </c>
      <c r="E13">
        <f>IF($Y13="","",INDEX('Per Line'!$B$2:$B$1001,$Y13))</f>
        <v/>
      </c>
      <c r="F13">
        <f>IF($Y13="","",INDEX('Per Line'!$G$2:$G$1001,$Y13)&amp;"")</f>
        <v/>
      </c>
      <c r="G13" s="11">
        <f>IF($Y13="","",INDEX('Per Line'!$H$2:$H$1001,$Y13))</f>
        <v/>
      </c>
      <c r="H13">
        <f>IF($Y13="","",INDEX('Per Line'!$K$2:$K$1001,$Y13)&amp;"")</f>
        <v/>
      </c>
      <c r="I13">
        <f>IF($Y13="","",INDEX('Per Line'!$L$2:$L$1001,$Y13)&amp;"")</f>
        <v/>
      </c>
      <c r="J13">
        <f>IF($Y13="","",INDEX('Per Line'!$M$2:$M$1001,$Y13)&amp;"")</f>
        <v/>
      </c>
      <c r="K13">
        <f>IF($Y13="","",INDEX('Per Line'!$Q$2:$Q$1001,$Y13))</f>
        <v/>
      </c>
      <c r="L13" s="7">
        <f>IF($Y13="","",K13*W13/100)</f>
        <v/>
      </c>
      <c r="M13">
        <f>IF($Y13="","",INDEX('Per Line'!$AD$2:$AD$1001,$Y13)&amp;"")</f>
        <v/>
      </c>
      <c r="N13" s="7">
        <f>IF($Y13="","",SUMIFS('Per Line'!$Z$2:$Z$1001,'Per Line'!$E$2:$E$1001,$B13,'Per Line'!$AR$2:$AR$1001,1))</f>
        <v/>
      </c>
      <c r="O13">
        <f>IF($Y13="","",Settings!$C$7)</f>
        <v/>
      </c>
      <c r="P13" s="7">
        <f>IF($Y13="","",SUMIFS('Per Line'!$Z$2:$Z$1001,'Per Line'!$E$2:$E$1001,$B13,'Per Line'!$AQ$2:$AQ$1001,0,'Per Line'!$AR$2:$AR$1001,0))</f>
        <v/>
      </c>
      <c r="Q13" s="7">
        <f>IF($Y13="","",P13*O13)</f>
        <v/>
      </c>
      <c r="R13">
        <f>IF($Y13="","",Settings!$C$6)</f>
        <v/>
      </c>
      <c r="S13" s="7">
        <f>IF($Y13="","",SUMIFS('Per Line'!$Z$2:$Z$1001,'Per Line'!$E$2:$E$1001,$B13,'Per Line'!$AQ$2:$AQ$1001,1,'Per Line'!$AR$2:$AR$1001,0))</f>
        <v/>
      </c>
      <c r="T13" s="7">
        <f>IF($Y13="","",S13*R13)</f>
        <v/>
      </c>
      <c r="U13" s="7">
        <f>IF($Y13="","",T13+Q13)</f>
        <v/>
      </c>
      <c r="V13" s="7">
        <f>IF($Y13="","",W13-U13)</f>
        <v/>
      </c>
      <c r="W13" s="7">
        <f>IF($Y13="","",P13+S13+N13)</f>
        <v/>
      </c>
      <c r="X13" s="7">
        <f>IF($Y13="","",W13-U13-L13)</f>
        <v/>
      </c>
      <c r="Y13" s="13">
        <f>IF(ROWS($Y$2:$Y13)&lt;=MAX('Per Line'!$AP$2:$AP$1001),MATCH(ROWS($Y$2:$Y13),'Per Line'!$AP$2:$AP$1001,0),"")</f>
        <v/>
      </c>
    </row>
    <row r="14">
      <c r="A14" s="12" t="n"/>
      <c r="B14">
        <f>IF($Y14="","",INDEX('Per Line'!$E$2:$E$1001,$Y14)&amp;"")</f>
        <v/>
      </c>
      <c r="C14">
        <f>IF($Y14="","",INDEX('Per Line'!$F$2:$F$1001,$Y14)&amp;"")</f>
        <v/>
      </c>
      <c r="D14">
        <f>IF($Y14="","",INDEX('Per Line'!$A$2:$A$1001,$Y14)&amp;"")</f>
        <v/>
      </c>
      <c r="E14">
        <f>IF($Y14="","",INDEX('Per Line'!$B$2:$B$1001,$Y14))</f>
        <v/>
      </c>
      <c r="F14">
        <f>IF($Y14="","",INDEX('Per Line'!$G$2:$G$1001,$Y14)&amp;"")</f>
        <v/>
      </c>
      <c r="G14" s="11">
        <f>IF($Y14="","",INDEX('Per Line'!$H$2:$H$1001,$Y14))</f>
        <v/>
      </c>
      <c r="H14">
        <f>IF($Y14="","",INDEX('Per Line'!$K$2:$K$1001,$Y14)&amp;"")</f>
        <v/>
      </c>
      <c r="I14">
        <f>IF($Y14="","",INDEX('Per Line'!$L$2:$L$1001,$Y14)&amp;"")</f>
        <v/>
      </c>
      <c r="J14">
        <f>IF($Y14="","",INDEX('Per Line'!$M$2:$M$1001,$Y14)&amp;"")</f>
        <v/>
      </c>
      <c r="K14">
        <f>IF($Y14="","",INDEX('Per Line'!$Q$2:$Q$1001,$Y14))</f>
        <v/>
      </c>
      <c r="L14" s="7">
        <f>IF($Y14="","",K14*W14/100)</f>
        <v/>
      </c>
      <c r="M14">
        <f>IF($Y14="","",INDEX('Per Line'!$AD$2:$AD$1001,$Y14)&amp;"")</f>
        <v/>
      </c>
      <c r="N14" s="7">
        <f>IF($Y14="","",SUMIFS('Per Line'!$Z$2:$Z$1001,'Per Line'!$E$2:$E$1001,$B14,'Per Line'!$AR$2:$AR$1001,1))</f>
        <v/>
      </c>
      <c r="O14">
        <f>IF($Y14="","",Settings!$C$7)</f>
        <v/>
      </c>
      <c r="P14" s="7">
        <f>IF($Y14="","",SUMIFS('Per Line'!$Z$2:$Z$1001,'Per Line'!$E$2:$E$1001,$B14,'Per Line'!$AQ$2:$AQ$1001,0,'Per Line'!$AR$2:$AR$1001,0))</f>
        <v/>
      </c>
      <c r="Q14" s="7">
        <f>IF($Y14="","",P14*O14)</f>
        <v/>
      </c>
      <c r="R14">
        <f>IF($Y14="","",Settings!$C$6)</f>
        <v/>
      </c>
      <c r="S14" s="7">
        <f>IF($Y14="","",SUMIFS('Per Line'!$Z$2:$Z$1001,'Per Line'!$E$2:$E$1001,$B14,'Per Line'!$AQ$2:$AQ$1001,1,'Per Line'!$AR$2:$AR$1001,0))</f>
        <v/>
      </c>
      <c r="T14" s="7">
        <f>IF($Y14="","",S14*R14)</f>
        <v/>
      </c>
      <c r="U14" s="7">
        <f>IF($Y14="","",T14+Q14)</f>
        <v/>
      </c>
      <c r="V14" s="7">
        <f>IF($Y14="","",W14-U14)</f>
        <v/>
      </c>
      <c r="W14" s="7">
        <f>IF($Y14="","",P14+S14+N14)</f>
        <v/>
      </c>
      <c r="X14" s="7">
        <f>IF($Y14="","",W14-U14-L14)</f>
        <v/>
      </c>
      <c r="Y14" s="13">
        <f>IF(ROWS($Y$2:$Y14)&lt;=MAX('Per Line'!$AP$2:$AP$1001),MATCH(ROWS($Y$2:$Y14),'Per Line'!$AP$2:$AP$1001,0),"")</f>
        <v/>
      </c>
    </row>
    <row r="15">
      <c r="A15" s="12" t="n"/>
      <c r="B15">
        <f>IF($Y15="","",INDEX('Per Line'!$E$2:$E$1001,$Y15)&amp;"")</f>
        <v/>
      </c>
      <c r="C15">
        <f>IF($Y15="","",INDEX('Per Line'!$F$2:$F$1001,$Y15)&amp;"")</f>
        <v/>
      </c>
      <c r="D15">
        <f>IF($Y15="","",INDEX('Per Line'!$A$2:$A$1001,$Y15)&amp;"")</f>
        <v/>
      </c>
      <c r="E15">
        <f>IF($Y15="","",INDEX('Per Line'!$B$2:$B$1001,$Y15))</f>
        <v/>
      </c>
      <c r="F15">
        <f>IF($Y15="","",INDEX('Per Line'!$G$2:$G$1001,$Y15)&amp;"")</f>
        <v/>
      </c>
      <c r="G15" s="11">
        <f>IF($Y15="","",INDEX('Per Line'!$H$2:$H$1001,$Y15))</f>
        <v/>
      </c>
      <c r="H15">
        <f>IF($Y15="","",INDEX('Per Line'!$K$2:$K$1001,$Y15)&amp;"")</f>
        <v/>
      </c>
      <c r="I15">
        <f>IF($Y15="","",INDEX('Per Line'!$L$2:$L$1001,$Y15)&amp;"")</f>
        <v/>
      </c>
      <c r="J15">
        <f>IF($Y15="","",INDEX('Per Line'!$M$2:$M$1001,$Y15)&amp;"")</f>
        <v/>
      </c>
      <c r="K15">
        <f>IF($Y15="","",INDEX('Per Line'!$Q$2:$Q$1001,$Y15))</f>
        <v/>
      </c>
      <c r="L15" s="7">
        <f>IF($Y15="","",K15*W15/100)</f>
        <v/>
      </c>
      <c r="M15">
        <f>IF($Y15="","",INDEX('Per Line'!$AD$2:$AD$1001,$Y15)&amp;"")</f>
        <v/>
      </c>
      <c r="N15" s="7">
        <f>IF($Y15="","",SUMIFS('Per Line'!$Z$2:$Z$1001,'Per Line'!$E$2:$E$1001,$B15,'Per Line'!$AR$2:$AR$1001,1))</f>
        <v/>
      </c>
      <c r="O15">
        <f>IF($Y15="","",Settings!$C$7)</f>
        <v/>
      </c>
      <c r="P15" s="7">
        <f>IF($Y15="","",SUMIFS('Per Line'!$Z$2:$Z$1001,'Per Line'!$E$2:$E$1001,$B15,'Per Line'!$AQ$2:$AQ$1001,0,'Per Line'!$AR$2:$AR$1001,0))</f>
        <v/>
      </c>
      <c r="Q15" s="7">
        <f>IF($Y15="","",P15*O15)</f>
        <v/>
      </c>
      <c r="R15">
        <f>IF($Y15="","",Settings!$C$6)</f>
        <v/>
      </c>
      <c r="S15" s="7">
        <f>IF($Y15="","",SUMIFS('Per Line'!$Z$2:$Z$1001,'Per Line'!$E$2:$E$1001,$B15,'Per Line'!$AQ$2:$AQ$1001,1,'Per Line'!$AR$2:$AR$1001,0))</f>
        <v/>
      </c>
      <c r="T15" s="7">
        <f>IF($Y15="","",S15*R15)</f>
        <v/>
      </c>
      <c r="U15" s="7">
        <f>IF($Y15="","",T15+Q15)</f>
        <v/>
      </c>
      <c r="V15" s="7">
        <f>IF($Y15="","",W15-U15)</f>
        <v/>
      </c>
      <c r="W15" s="7">
        <f>IF($Y15="","",P15+S15+N15)</f>
        <v/>
      </c>
      <c r="X15" s="7">
        <f>IF($Y15="","",W15-U15-L15)</f>
        <v/>
      </c>
      <c r="Y15" s="13">
        <f>IF(ROWS($Y$2:$Y15)&lt;=MAX('Per Line'!$AP$2:$AP$1001),MATCH(ROWS($Y$2:$Y15),'Per Line'!$AP$2:$AP$1001,0),"")</f>
        <v/>
      </c>
    </row>
    <row r="16">
      <c r="A16" s="12" t="n"/>
      <c r="B16">
        <f>IF($Y16="","",INDEX('Per Line'!$E$2:$E$1001,$Y16)&amp;"")</f>
        <v/>
      </c>
      <c r="C16">
        <f>IF($Y16="","",INDEX('Per Line'!$F$2:$F$1001,$Y16)&amp;"")</f>
        <v/>
      </c>
      <c r="D16">
        <f>IF($Y16="","",INDEX('Per Line'!$A$2:$A$1001,$Y16)&amp;"")</f>
        <v/>
      </c>
      <c r="E16">
        <f>IF($Y16="","",INDEX('Per Line'!$B$2:$B$1001,$Y16))</f>
        <v/>
      </c>
      <c r="F16">
        <f>IF($Y16="","",INDEX('Per Line'!$G$2:$G$1001,$Y16)&amp;"")</f>
        <v/>
      </c>
      <c r="G16" s="11">
        <f>IF($Y16="","",INDEX('Per Line'!$H$2:$H$1001,$Y16))</f>
        <v/>
      </c>
      <c r="H16">
        <f>IF($Y16="","",INDEX('Per Line'!$K$2:$K$1001,$Y16)&amp;"")</f>
        <v/>
      </c>
      <c r="I16">
        <f>IF($Y16="","",INDEX('Per Line'!$L$2:$L$1001,$Y16)&amp;"")</f>
        <v/>
      </c>
      <c r="J16">
        <f>IF($Y16="","",INDEX('Per Line'!$M$2:$M$1001,$Y16)&amp;"")</f>
        <v/>
      </c>
      <c r="K16">
        <f>IF($Y16="","",INDEX('Per Line'!$Q$2:$Q$1001,$Y16))</f>
        <v/>
      </c>
      <c r="L16" s="7">
        <f>IF($Y16="","",K16*W16/100)</f>
        <v/>
      </c>
      <c r="M16">
        <f>IF($Y16="","",INDEX('Per Line'!$AD$2:$AD$1001,$Y16)&amp;"")</f>
        <v/>
      </c>
      <c r="N16" s="7">
        <f>IF($Y16="","",SUMIFS('Per Line'!$Z$2:$Z$1001,'Per Line'!$E$2:$E$1001,$B16,'Per Line'!$AR$2:$AR$1001,1))</f>
        <v/>
      </c>
      <c r="O16">
        <f>IF($Y16="","",Settings!$C$7)</f>
        <v/>
      </c>
      <c r="P16" s="7">
        <f>IF($Y16="","",SUMIFS('Per Line'!$Z$2:$Z$1001,'Per Line'!$E$2:$E$1001,$B16,'Per Line'!$AQ$2:$AQ$1001,0,'Per Line'!$AR$2:$AR$1001,0))</f>
        <v/>
      </c>
      <c r="Q16" s="7">
        <f>IF($Y16="","",P16*O16)</f>
        <v/>
      </c>
      <c r="R16">
        <f>IF($Y16="","",Settings!$C$6)</f>
        <v/>
      </c>
      <c r="S16" s="7">
        <f>IF($Y16="","",SUMIFS('Per Line'!$Z$2:$Z$1001,'Per Line'!$E$2:$E$1001,$B16,'Per Line'!$AQ$2:$AQ$1001,1,'Per Line'!$AR$2:$AR$1001,0))</f>
        <v/>
      </c>
      <c r="T16" s="7">
        <f>IF($Y16="","",S16*R16)</f>
        <v/>
      </c>
      <c r="U16" s="7">
        <f>IF($Y16="","",T16+Q16)</f>
        <v/>
      </c>
      <c r="V16" s="7">
        <f>IF($Y16="","",W16-U16)</f>
        <v/>
      </c>
      <c r="W16" s="7">
        <f>IF($Y16="","",P16+S16+N16)</f>
        <v/>
      </c>
      <c r="X16" s="7">
        <f>IF($Y16="","",W16-U16-L16)</f>
        <v/>
      </c>
      <c r="Y16" s="13">
        <f>IF(ROWS($Y$2:$Y16)&lt;=MAX('Per Line'!$AP$2:$AP$1001),MATCH(ROWS($Y$2:$Y16),'Per Line'!$AP$2:$AP$1001,0),"")</f>
        <v/>
      </c>
    </row>
    <row r="17">
      <c r="A17" s="12" t="n"/>
      <c r="B17">
        <f>IF($Y17="","",INDEX('Per Line'!$E$2:$E$1001,$Y17)&amp;"")</f>
        <v/>
      </c>
      <c r="C17">
        <f>IF($Y17="","",INDEX('Per Line'!$F$2:$F$1001,$Y17)&amp;"")</f>
        <v/>
      </c>
      <c r="D17">
        <f>IF($Y17="","",INDEX('Per Line'!$A$2:$A$1001,$Y17)&amp;"")</f>
        <v/>
      </c>
      <c r="E17">
        <f>IF($Y17="","",INDEX('Per Line'!$B$2:$B$1001,$Y17))</f>
        <v/>
      </c>
      <c r="F17">
        <f>IF($Y17="","",INDEX('Per Line'!$G$2:$G$1001,$Y17)&amp;"")</f>
        <v/>
      </c>
      <c r="G17" s="11">
        <f>IF($Y17="","",INDEX('Per Line'!$H$2:$H$1001,$Y17))</f>
        <v/>
      </c>
      <c r="H17">
        <f>IF($Y17="","",INDEX('Per Line'!$K$2:$K$1001,$Y17)&amp;"")</f>
        <v/>
      </c>
      <c r="I17">
        <f>IF($Y17="","",INDEX('Per Line'!$L$2:$L$1001,$Y17)&amp;"")</f>
        <v/>
      </c>
      <c r="J17">
        <f>IF($Y17="","",INDEX('Per Line'!$M$2:$M$1001,$Y17)&amp;"")</f>
        <v/>
      </c>
      <c r="K17">
        <f>IF($Y17="","",INDEX('Per Line'!$Q$2:$Q$1001,$Y17))</f>
        <v/>
      </c>
      <c r="L17" s="7">
        <f>IF($Y17="","",K17*W17/100)</f>
        <v/>
      </c>
      <c r="M17">
        <f>IF($Y17="","",INDEX('Per Line'!$AD$2:$AD$1001,$Y17)&amp;"")</f>
        <v/>
      </c>
      <c r="N17" s="7">
        <f>IF($Y17="","",SUMIFS('Per Line'!$Z$2:$Z$1001,'Per Line'!$E$2:$E$1001,$B17,'Per Line'!$AR$2:$AR$1001,1))</f>
        <v/>
      </c>
      <c r="O17">
        <f>IF($Y17="","",Settings!$C$7)</f>
        <v/>
      </c>
      <c r="P17" s="7">
        <f>IF($Y17="","",SUMIFS('Per Line'!$Z$2:$Z$1001,'Per Line'!$E$2:$E$1001,$B17,'Per Line'!$AQ$2:$AQ$1001,0,'Per Line'!$AR$2:$AR$1001,0))</f>
        <v/>
      </c>
      <c r="Q17" s="7">
        <f>IF($Y17="","",P17*O17)</f>
        <v/>
      </c>
      <c r="R17">
        <f>IF($Y17="","",Settings!$C$6)</f>
        <v/>
      </c>
      <c r="S17" s="7">
        <f>IF($Y17="","",SUMIFS('Per Line'!$Z$2:$Z$1001,'Per Line'!$E$2:$E$1001,$B17,'Per Line'!$AQ$2:$AQ$1001,1,'Per Line'!$AR$2:$AR$1001,0))</f>
        <v/>
      </c>
      <c r="T17" s="7">
        <f>IF($Y17="","",S17*R17)</f>
        <v/>
      </c>
      <c r="U17" s="7">
        <f>IF($Y17="","",T17+Q17)</f>
        <v/>
      </c>
      <c r="V17" s="7">
        <f>IF($Y17="","",W17-U17)</f>
        <v/>
      </c>
      <c r="W17" s="7">
        <f>IF($Y17="","",P17+S17+N17)</f>
        <v/>
      </c>
      <c r="X17" s="7">
        <f>IF($Y17="","",W17-U17-L17)</f>
        <v/>
      </c>
      <c r="Y17" s="13">
        <f>IF(ROWS($Y$2:$Y17)&lt;=MAX('Per Line'!$AP$2:$AP$1001),MATCH(ROWS($Y$2:$Y17),'Per Line'!$AP$2:$AP$1001,0),"")</f>
        <v/>
      </c>
    </row>
    <row r="18">
      <c r="A18" s="12" t="n"/>
      <c r="B18">
        <f>IF($Y18="","",INDEX('Per Line'!$E$2:$E$1001,$Y18)&amp;"")</f>
        <v/>
      </c>
      <c r="C18">
        <f>IF($Y18="","",INDEX('Per Line'!$F$2:$F$1001,$Y18)&amp;"")</f>
        <v/>
      </c>
      <c r="D18">
        <f>IF($Y18="","",INDEX('Per Line'!$A$2:$A$1001,$Y18)&amp;"")</f>
        <v/>
      </c>
      <c r="E18">
        <f>IF($Y18="","",INDEX('Per Line'!$B$2:$B$1001,$Y18))</f>
        <v/>
      </c>
      <c r="F18">
        <f>IF($Y18="","",INDEX('Per Line'!$G$2:$G$1001,$Y18)&amp;"")</f>
        <v/>
      </c>
      <c r="G18" s="11">
        <f>IF($Y18="","",INDEX('Per Line'!$H$2:$H$1001,$Y18))</f>
        <v/>
      </c>
      <c r="H18">
        <f>IF($Y18="","",INDEX('Per Line'!$K$2:$K$1001,$Y18)&amp;"")</f>
        <v/>
      </c>
      <c r="I18">
        <f>IF($Y18="","",INDEX('Per Line'!$L$2:$L$1001,$Y18)&amp;"")</f>
        <v/>
      </c>
      <c r="J18">
        <f>IF($Y18="","",INDEX('Per Line'!$M$2:$M$1001,$Y18)&amp;"")</f>
        <v/>
      </c>
      <c r="K18">
        <f>IF($Y18="","",INDEX('Per Line'!$Q$2:$Q$1001,$Y18))</f>
        <v/>
      </c>
      <c r="L18" s="7">
        <f>IF($Y18="","",K18*W18/100)</f>
        <v/>
      </c>
      <c r="M18">
        <f>IF($Y18="","",INDEX('Per Line'!$AD$2:$AD$1001,$Y18)&amp;"")</f>
        <v/>
      </c>
      <c r="N18" s="7">
        <f>IF($Y18="","",SUMIFS('Per Line'!$Z$2:$Z$1001,'Per Line'!$E$2:$E$1001,$B18,'Per Line'!$AR$2:$AR$1001,1))</f>
        <v/>
      </c>
      <c r="O18">
        <f>IF($Y18="","",Settings!$C$7)</f>
        <v/>
      </c>
      <c r="P18" s="7">
        <f>IF($Y18="","",SUMIFS('Per Line'!$Z$2:$Z$1001,'Per Line'!$E$2:$E$1001,$B18,'Per Line'!$AQ$2:$AQ$1001,0,'Per Line'!$AR$2:$AR$1001,0))</f>
        <v/>
      </c>
      <c r="Q18" s="7">
        <f>IF($Y18="","",P18*O18)</f>
        <v/>
      </c>
      <c r="R18">
        <f>IF($Y18="","",Settings!$C$6)</f>
        <v/>
      </c>
      <c r="S18" s="7">
        <f>IF($Y18="","",SUMIFS('Per Line'!$Z$2:$Z$1001,'Per Line'!$E$2:$E$1001,$B18,'Per Line'!$AQ$2:$AQ$1001,1,'Per Line'!$AR$2:$AR$1001,0))</f>
        <v/>
      </c>
      <c r="T18" s="7">
        <f>IF($Y18="","",S18*R18)</f>
        <v/>
      </c>
      <c r="U18" s="7">
        <f>IF($Y18="","",T18+Q18)</f>
        <v/>
      </c>
      <c r="V18" s="7">
        <f>IF($Y18="","",W18-U18)</f>
        <v/>
      </c>
      <c r="W18" s="7">
        <f>IF($Y18="","",P18+S18+N18)</f>
        <v/>
      </c>
      <c r="X18" s="7">
        <f>IF($Y18="","",W18-U18-L18)</f>
        <v/>
      </c>
      <c r="Y18" s="13">
        <f>IF(ROWS($Y$2:$Y18)&lt;=MAX('Per Line'!$AP$2:$AP$1001),MATCH(ROWS($Y$2:$Y18),'Per Line'!$AP$2:$AP$1001,0),"")</f>
        <v/>
      </c>
    </row>
    <row r="19">
      <c r="A19" s="12" t="n"/>
      <c r="B19">
        <f>IF($Y19="","",INDEX('Per Line'!$E$2:$E$1001,$Y19)&amp;"")</f>
        <v/>
      </c>
      <c r="C19">
        <f>IF($Y19="","",INDEX('Per Line'!$F$2:$F$1001,$Y19)&amp;"")</f>
        <v/>
      </c>
      <c r="D19">
        <f>IF($Y19="","",INDEX('Per Line'!$A$2:$A$1001,$Y19)&amp;"")</f>
        <v/>
      </c>
      <c r="E19">
        <f>IF($Y19="","",INDEX('Per Line'!$B$2:$B$1001,$Y19))</f>
        <v/>
      </c>
      <c r="F19">
        <f>IF($Y19="","",INDEX('Per Line'!$G$2:$G$1001,$Y19)&amp;"")</f>
        <v/>
      </c>
      <c r="G19" s="11">
        <f>IF($Y19="","",INDEX('Per Line'!$H$2:$H$1001,$Y19))</f>
        <v/>
      </c>
      <c r="H19">
        <f>IF($Y19="","",INDEX('Per Line'!$K$2:$K$1001,$Y19)&amp;"")</f>
        <v/>
      </c>
      <c r="I19">
        <f>IF($Y19="","",INDEX('Per Line'!$L$2:$L$1001,$Y19)&amp;"")</f>
        <v/>
      </c>
      <c r="J19">
        <f>IF($Y19="","",INDEX('Per Line'!$M$2:$M$1001,$Y19)&amp;"")</f>
        <v/>
      </c>
      <c r="K19">
        <f>IF($Y19="","",INDEX('Per Line'!$Q$2:$Q$1001,$Y19))</f>
        <v/>
      </c>
      <c r="L19" s="7">
        <f>IF($Y19="","",K19*W19/100)</f>
        <v/>
      </c>
      <c r="M19">
        <f>IF($Y19="","",INDEX('Per Line'!$AD$2:$AD$1001,$Y19)&amp;"")</f>
        <v/>
      </c>
      <c r="N19" s="7">
        <f>IF($Y19="","",SUMIFS('Per Line'!$Z$2:$Z$1001,'Per Line'!$E$2:$E$1001,$B19,'Per Line'!$AR$2:$AR$1001,1))</f>
        <v/>
      </c>
      <c r="O19">
        <f>IF($Y19="","",Settings!$C$7)</f>
        <v/>
      </c>
      <c r="P19" s="7">
        <f>IF($Y19="","",SUMIFS('Per Line'!$Z$2:$Z$1001,'Per Line'!$E$2:$E$1001,$B19,'Per Line'!$AQ$2:$AQ$1001,0,'Per Line'!$AR$2:$AR$1001,0))</f>
        <v/>
      </c>
      <c r="Q19" s="7">
        <f>IF($Y19="","",P19*O19)</f>
        <v/>
      </c>
      <c r="R19">
        <f>IF($Y19="","",Settings!$C$6)</f>
        <v/>
      </c>
      <c r="S19" s="7">
        <f>IF($Y19="","",SUMIFS('Per Line'!$Z$2:$Z$1001,'Per Line'!$E$2:$E$1001,$B19,'Per Line'!$AQ$2:$AQ$1001,1,'Per Line'!$AR$2:$AR$1001,0))</f>
        <v/>
      </c>
      <c r="T19" s="7">
        <f>IF($Y19="","",S19*R19)</f>
        <v/>
      </c>
      <c r="U19" s="7">
        <f>IF($Y19="","",T19+Q19)</f>
        <v/>
      </c>
      <c r="V19" s="7">
        <f>IF($Y19="","",W19-U19)</f>
        <v/>
      </c>
      <c r="W19" s="7">
        <f>IF($Y19="","",P19+S19+N19)</f>
        <v/>
      </c>
      <c r="X19" s="7">
        <f>IF($Y19="","",W19-U19-L19)</f>
        <v/>
      </c>
      <c r="Y19" s="13">
        <f>IF(ROWS($Y$2:$Y19)&lt;=MAX('Per Line'!$AP$2:$AP$1001),MATCH(ROWS($Y$2:$Y19),'Per Line'!$AP$2:$AP$1001,0),"")</f>
        <v/>
      </c>
    </row>
    <row r="20">
      <c r="A20" s="12" t="n"/>
      <c r="B20">
        <f>IF($Y20="","",INDEX('Per Line'!$E$2:$E$1001,$Y20)&amp;"")</f>
        <v/>
      </c>
      <c r="C20">
        <f>IF($Y20="","",INDEX('Per Line'!$F$2:$F$1001,$Y20)&amp;"")</f>
        <v/>
      </c>
      <c r="D20">
        <f>IF($Y20="","",INDEX('Per Line'!$A$2:$A$1001,$Y20)&amp;"")</f>
        <v/>
      </c>
      <c r="E20">
        <f>IF($Y20="","",INDEX('Per Line'!$B$2:$B$1001,$Y20))</f>
        <v/>
      </c>
      <c r="F20">
        <f>IF($Y20="","",INDEX('Per Line'!$G$2:$G$1001,$Y20)&amp;"")</f>
        <v/>
      </c>
      <c r="G20" s="11">
        <f>IF($Y20="","",INDEX('Per Line'!$H$2:$H$1001,$Y20))</f>
        <v/>
      </c>
      <c r="H20">
        <f>IF($Y20="","",INDEX('Per Line'!$K$2:$K$1001,$Y20)&amp;"")</f>
        <v/>
      </c>
      <c r="I20">
        <f>IF($Y20="","",INDEX('Per Line'!$L$2:$L$1001,$Y20)&amp;"")</f>
        <v/>
      </c>
      <c r="J20">
        <f>IF($Y20="","",INDEX('Per Line'!$M$2:$M$1001,$Y20)&amp;"")</f>
        <v/>
      </c>
      <c r="K20">
        <f>IF($Y20="","",INDEX('Per Line'!$Q$2:$Q$1001,$Y20))</f>
        <v/>
      </c>
      <c r="L20" s="7">
        <f>IF($Y20="","",K20*W20/100)</f>
        <v/>
      </c>
      <c r="M20">
        <f>IF($Y20="","",INDEX('Per Line'!$AD$2:$AD$1001,$Y20)&amp;"")</f>
        <v/>
      </c>
      <c r="N20" s="7">
        <f>IF($Y20="","",SUMIFS('Per Line'!$Z$2:$Z$1001,'Per Line'!$E$2:$E$1001,$B20,'Per Line'!$AR$2:$AR$1001,1))</f>
        <v/>
      </c>
      <c r="O20">
        <f>IF($Y20="","",Settings!$C$7)</f>
        <v/>
      </c>
      <c r="P20" s="7">
        <f>IF($Y20="","",SUMIFS('Per Line'!$Z$2:$Z$1001,'Per Line'!$E$2:$E$1001,$B20,'Per Line'!$AQ$2:$AQ$1001,0,'Per Line'!$AR$2:$AR$1001,0))</f>
        <v/>
      </c>
      <c r="Q20" s="7">
        <f>IF($Y20="","",P20*O20)</f>
        <v/>
      </c>
      <c r="R20">
        <f>IF($Y20="","",Settings!$C$6)</f>
        <v/>
      </c>
      <c r="S20" s="7">
        <f>IF($Y20="","",SUMIFS('Per Line'!$Z$2:$Z$1001,'Per Line'!$E$2:$E$1001,$B20,'Per Line'!$AQ$2:$AQ$1001,1,'Per Line'!$AR$2:$AR$1001,0))</f>
        <v/>
      </c>
      <c r="T20" s="7">
        <f>IF($Y20="","",S20*R20)</f>
        <v/>
      </c>
      <c r="U20" s="7">
        <f>IF($Y20="","",T20+Q20)</f>
        <v/>
      </c>
      <c r="V20" s="7">
        <f>IF($Y20="","",W20-U20)</f>
        <v/>
      </c>
      <c r="W20" s="7">
        <f>IF($Y20="","",P20+S20+N20)</f>
        <v/>
      </c>
      <c r="X20" s="7">
        <f>IF($Y20="","",W20-U20-L20)</f>
        <v/>
      </c>
      <c r="Y20" s="13">
        <f>IF(ROWS($Y$2:$Y20)&lt;=MAX('Per Line'!$AP$2:$AP$1001),MATCH(ROWS($Y$2:$Y20),'Per Line'!$AP$2:$AP$1001,0),"")</f>
        <v/>
      </c>
    </row>
    <row r="21">
      <c r="A21" s="12" t="n"/>
      <c r="B21">
        <f>IF($Y21="","",INDEX('Per Line'!$E$2:$E$1001,$Y21)&amp;"")</f>
        <v/>
      </c>
      <c r="C21">
        <f>IF($Y21="","",INDEX('Per Line'!$F$2:$F$1001,$Y21)&amp;"")</f>
        <v/>
      </c>
      <c r="D21">
        <f>IF($Y21="","",INDEX('Per Line'!$A$2:$A$1001,$Y21)&amp;"")</f>
        <v/>
      </c>
      <c r="E21">
        <f>IF($Y21="","",INDEX('Per Line'!$B$2:$B$1001,$Y21))</f>
        <v/>
      </c>
      <c r="F21">
        <f>IF($Y21="","",INDEX('Per Line'!$G$2:$G$1001,$Y21)&amp;"")</f>
        <v/>
      </c>
      <c r="G21" s="11">
        <f>IF($Y21="","",INDEX('Per Line'!$H$2:$H$1001,$Y21))</f>
        <v/>
      </c>
      <c r="H21">
        <f>IF($Y21="","",INDEX('Per Line'!$K$2:$K$1001,$Y21)&amp;"")</f>
        <v/>
      </c>
      <c r="I21">
        <f>IF($Y21="","",INDEX('Per Line'!$L$2:$L$1001,$Y21)&amp;"")</f>
        <v/>
      </c>
      <c r="J21">
        <f>IF($Y21="","",INDEX('Per Line'!$M$2:$M$1001,$Y21)&amp;"")</f>
        <v/>
      </c>
      <c r="K21">
        <f>IF($Y21="","",INDEX('Per Line'!$Q$2:$Q$1001,$Y21))</f>
        <v/>
      </c>
      <c r="L21" s="7">
        <f>IF($Y21="","",K21*W21/100)</f>
        <v/>
      </c>
      <c r="M21">
        <f>IF($Y21="","",INDEX('Per Line'!$AD$2:$AD$1001,$Y21)&amp;"")</f>
        <v/>
      </c>
      <c r="N21" s="7">
        <f>IF($Y21="","",SUMIFS('Per Line'!$Z$2:$Z$1001,'Per Line'!$E$2:$E$1001,$B21,'Per Line'!$AR$2:$AR$1001,1))</f>
        <v/>
      </c>
      <c r="O21">
        <f>IF($Y21="","",Settings!$C$7)</f>
        <v/>
      </c>
      <c r="P21" s="7">
        <f>IF($Y21="","",SUMIFS('Per Line'!$Z$2:$Z$1001,'Per Line'!$E$2:$E$1001,$B21,'Per Line'!$AQ$2:$AQ$1001,0,'Per Line'!$AR$2:$AR$1001,0))</f>
        <v/>
      </c>
      <c r="Q21" s="7">
        <f>IF($Y21="","",P21*O21)</f>
        <v/>
      </c>
      <c r="R21">
        <f>IF($Y21="","",Settings!$C$6)</f>
        <v/>
      </c>
      <c r="S21" s="7">
        <f>IF($Y21="","",SUMIFS('Per Line'!$Z$2:$Z$1001,'Per Line'!$E$2:$E$1001,$B21,'Per Line'!$AQ$2:$AQ$1001,1,'Per Line'!$AR$2:$AR$1001,0))</f>
        <v/>
      </c>
      <c r="T21" s="7">
        <f>IF($Y21="","",S21*R21)</f>
        <v/>
      </c>
      <c r="U21" s="7">
        <f>IF($Y21="","",T21+Q21)</f>
        <v/>
      </c>
      <c r="V21" s="7">
        <f>IF($Y21="","",W21-U21)</f>
        <v/>
      </c>
      <c r="W21" s="7">
        <f>IF($Y21="","",P21+S21+N21)</f>
        <v/>
      </c>
      <c r="X21" s="7">
        <f>IF($Y21="","",W21-U21-L21)</f>
        <v/>
      </c>
      <c r="Y21" s="13">
        <f>IF(ROWS($Y$2:$Y21)&lt;=MAX('Per Line'!$AP$2:$AP$1001),MATCH(ROWS($Y$2:$Y21),'Per Line'!$AP$2:$AP$1001,0),"")</f>
        <v/>
      </c>
    </row>
    <row r="22">
      <c r="A22" s="12" t="n"/>
      <c r="B22">
        <f>IF($Y22="","",INDEX('Per Line'!$E$2:$E$1001,$Y22)&amp;"")</f>
        <v/>
      </c>
      <c r="C22">
        <f>IF($Y22="","",INDEX('Per Line'!$F$2:$F$1001,$Y22)&amp;"")</f>
        <v/>
      </c>
      <c r="D22">
        <f>IF($Y22="","",INDEX('Per Line'!$A$2:$A$1001,$Y22)&amp;"")</f>
        <v/>
      </c>
      <c r="E22">
        <f>IF($Y22="","",INDEX('Per Line'!$B$2:$B$1001,$Y22))</f>
        <v/>
      </c>
      <c r="F22">
        <f>IF($Y22="","",INDEX('Per Line'!$G$2:$G$1001,$Y22)&amp;"")</f>
        <v/>
      </c>
      <c r="G22" s="11">
        <f>IF($Y22="","",INDEX('Per Line'!$H$2:$H$1001,$Y22))</f>
        <v/>
      </c>
      <c r="H22">
        <f>IF($Y22="","",INDEX('Per Line'!$K$2:$K$1001,$Y22)&amp;"")</f>
        <v/>
      </c>
      <c r="I22">
        <f>IF($Y22="","",INDEX('Per Line'!$L$2:$L$1001,$Y22)&amp;"")</f>
        <v/>
      </c>
      <c r="J22">
        <f>IF($Y22="","",INDEX('Per Line'!$M$2:$M$1001,$Y22)&amp;"")</f>
        <v/>
      </c>
      <c r="K22">
        <f>IF($Y22="","",INDEX('Per Line'!$Q$2:$Q$1001,$Y22))</f>
        <v/>
      </c>
      <c r="L22" s="7">
        <f>IF($Y22="","",K22*W22/100)</f>
        <v/>
      </c>
      <c r="M22">
        <f>IF($Y22="","",INDEX('Per Line'!$AD$2:$AD$1001,$Y22)&amp;"")</f>
        <v/>
      </c>
      <c r="N22" s="7">
        <f>IF($Y22="","",SUMIFS('Per Line'!$Z$2:$Z$1001,'Per Line'!$E$2:$E$1001,$B22,'Per Line'!$AR$2:$AR$1001,1))</f>
        <v/>
      </c>
      <c r="O22">
        <f>IF($Y22="","",Settings!$C$7)</f>
        <v/>
      </c>
      <c r="P22" s="7">
        <f>IF($Y22="","",SUMIFS('Per Line'!$Z$2:$Z$1001,'Per Line'!$E$2:$E$1001,$B22,'Per Line'!$AQ$2:$AQ$1001,0,'Per Line'!$AR$2:$AR$1001,0))</f>
        <v/>
      </c>
      <c r="Q22" s="7">
        <f>IF($Y22="","",P22*O22)</f>
        <v/>
      </c>
      <c r="R22">
        <f>IF($Y22="","",Settings!$C$6)</f>
        <v/>
      </c>
      <c r="S22" s="7">
        <f>IF($Y22="","",SUMIFS('Per Line'!$Z$2:$Z$1001,'Per Line'!$E$2:$E$1001,$B22,'Per Line'!$AQ$2:$AQ$1001,1,'Per Line'!$AR$2:$AR$1001,0))</f>
        <v/>
      </c>
      <c r="T22" s="7">
        <f>IF($Y22="","",S22*R22)</f>
        <v/>
      </c>
      <c r="U22" s="7">
        <f>IF($Y22="","",T22+Q22)</f>
        <v/>
      </c>
      <c r="V22" s="7">
        <f>IF($Y22="","",W22-U22)</f>
        <v/>
      </c>
      <c r="W22" s="7">
        <f>IF($Y22="","",P22+S22+N22)</f>
        <v/>
      </c>
      <c r="X22" s="7">
        <f>IF($Y22="","",W22-U22-L22)</f>
        <v/>
      </c>
      <c r="Y22" s="13">
        <f>IF(ROWS($Y$2:$Y22)&lt;=MAX('Per Line'!$AP$2:$AP$1001),MATCH(ROWS($Y$2:$Y22),'Per Line'!$AP$2:$AP$1001,0),"")</f>
        <v/>
      </c>
    </row>
    <row r="23">
      <c r="A23" s="12" t="n"/>
      <c r="B23">
        <f>IF($Y23="","",INDEX('Per Line'!$E$2:$E$1001,$Y23)&amp;"")</f>
        <v/>
      </c>
      <c r="C23">
        <f>IF($Y23="","",INDEX('Per Line'!$F$2:$F$1001,$Y23)&amp;"")</f>
        <v/>
      </c>
      <c r="D23">
        <f>IF($Y23="","",INDEX('Per Line'!$A$2:$A$1001,$Y23)&amp;"")</f>
        <v/>
      </c>
      <c r="E23">
        <f>IF($Y23="","",INDEX('Per Line'!$B$2:$B$1001,$Y23))</f>
        <v/>
      </c>
      <c r="F23">
        <f>IF($Y23="","",INDEX('Per Line'!$G$2:$G$1001,$Y23)&amp;"")</f>
        <v/>
      </c>
      <c r="G23" s="11">
        <f>IF($Y23="","",INDEX('Per Line'!$H$2:$H$1001,$Y23))</f>
        <v/>
      </c>
      <c r="H23">
        <f>IF($Y23="","",INDEX('Per Line'!$K$2:$K$1001,$Y23)&amp;"")</f>
        <v/>
      </c>
      <c r="I23">
        <f>IF($Y23="","",INDEX('Per Line'!$L$2:$L$1001,$Y23)&amp;"")</f>
        <v/>
      </c>
      <c r="J23">
        <f>IF($Y23="","",INDEX('Per Line'!$M$2:$M$1001,$Y23)&amp;"")</f>
        <v/>
      </c>
      <c r="K23">
        <f>IF($Y23="","",INDEX('Per Line'!$Q$2:$Q$1001,$Y23))</f>
        <v/>
      </c>
      <c r="L23" s="7">
        <f>IF($Y23="","",K23*W23/100)</f>
        <v/>
      </c>
      <c r="M23">
        <f>IF($Y23="","",INDEX('Per Line'!$AD$2:$AD$1001,$Y23)&amp;"")</f>
        <v/>
      </c>
      <c r="N23" s="7">
        <f>IF($Y23="","",SUMIFS('Per Line'!$Z$2:$Z$1001,'Per Line'!$E$2:$E$1001,$B23,'Per Line'!$AR$2:$AR$1001,1))</f>
        <v/>
      </c>
      <c r="O23">
        <f>IF($Y23="","",Settings!$C$7)</f>
        <v/>
      </c>
      <c r="P23" s="7">
        <f>IF($Y23="","",SUMIFS('Per Line'!$Z$2:$Z$1001,'Per Line'!$E$2:$E$1001,$B23,'Per Line'!$AQ$2:$AQ$1001,0,'Per Line'!$AR$2:$AR$1001,0))</f>
        <v/>
      </c>
      <c r="Q23" s="7">
        <f>IF($Y23="","",P23*O23)</f>
        <v/>
      </c>
      <c r="R23">
        <f>IF($Y23="","",Settings!$C$6)</f>
        <v/>
      </c>
      <c r="S23" s="7">
        <f>IF($Y23="","",SUMIFS('Per Line'!$Z$2:$Z$1001,'Per Line'!$E$2:$E$1001,$B23,'Per Line'!$AQ$2:$AQ$1001,1,'Per Line'!$AR$2:$AR$1001,0))</f>
        <v/>
      </c>
      <c r="T23" s="7">
        <f>IF($Y23="","",S23*R23)</f>
        <v/>
      </c>
      <c r="U23" s="7">
        <f>IF($Y23="","",T23+Q23)</f>
        <v/>
      </c>
      <c r="V23" s="7">
        <f>IF($Y23="","",W23-U23)</f>
        <v/>
      </c>
      <c r="W23" s="7">
        <f>IF($Y23="","",P23+S23+N23)</f>
        <v/>
      </c>
      <c r="X23" s="7">
        <f>IF($Y23="","",W23-U23-L23)</f>
        <v/>
      </c>
      <c r="Y23" s="13">
        <f>IF(ROWS($Y$2:$Y23)&lt;=MAX('Per Line'!$AP$2:$AP$1001),MATCH(ROWS($Y$2:$Y23),'Per Line'!$AP$2:$AP$1001,0),"")</f>
        <v/>
      </c>
    </row>
    <row r="24">
      <c r="A24" s="12" t="n"/>
      <c r="B24">
        <f>IF($Y24="","",INDEX('Per Line'!$E$2:$E$1001,$Y24)&amp;"")</f>
        <v/>
      </c>
      <c r="C24">
        <f>IF($Y24="","",INDEX('Per Line'!$F$2:$F$1001,$Y24)&amp;"")</f>
        <v/>
      </c>
      <c r="D24">
        <f>IF($Y24="","",INDEX('Per Line'!$A$2:$A$1001,$Y24)&amp;"")</f>
        <v/>
      </c>
      <c r="E24">
        <f>IF($Y24="","",INDEX('Per Line'!$B$2:$B$1001,$Y24))</f>
        <v/>
      </c>
      <c r="F24">
        <f>IF($Y24="","",INDEX('Per Line'!$G$2:$G$1001,$Y24)&amp;"")</f>
        <v/>
      </c>
      <c r="G24" s="11">
        <f>IF($Y24="","",INDEX('Per Line'!$H$2:$H$1001,$Y24))</f>
        <v/>
      </c>
      <c r="H24">
        <f>IF($Y24="","",INDEX('Per Line'!$K$2:$K$1001,$Y24)&amp;"")</f>
        <v/>
      </c>
      <c r="I24">
        <f>IF($Y24="","",INDEX('Per Line'!$L$2:$L$1001,$Y24)&amp;"")</f>
        <v/>
      </c>
      <c r="J24">
        <f>IF($Y24="","",INDEX('Per Line'!$M$2:$M$1001,$Y24)&amp;"")</f>
        <v/>
      </c>
      <c r="K24">
        <f>IF($Y24="","",INDEX('Per Line'!$Q$2:$Q$1001,$Y24))</f>
        <v/>
      </c>
      <c r="L24" s="7">
        <f>IF($Y24="","",K24*W24/100)</f>
        <v/>
      </c>
      <c r="M24">
        <f>IF($Y24="","",INDEX('Per Line'!$AD$2:$AD$1001,$Y24)&amp;"")</f>
        <v/>
      </c>
      <c r="N24" s="7">
        <f>IF($Y24="","",SUMIFS('Per Line'!$Z$2:$Z$1001,'Per Line'!$E$2:$E$1001,$B24,'Per Line'!$AR$2:$AR$1001,1))</f>
        <v/>
      </c>
      <c r="O24">
        <f>IF($Y24="","",Settings!$C$7)</f>
        <v/>
      </c>
      <c r="P24" s="7">
        <f>IF($Y24="","",SUMIFS('Per Line'!$Z$2:$Z$1001,'Per Line'!$E$2:$E$1001,$B24,'Per Line'!$AQ$2:$AQ$1001,0,'Per Line'!$AR$2:$AR$1001,0))</f>
        <v/>
      </c>
      <c r="Q24" s="7">
        <f>IF($Y24="","",P24*O24)</f>
        <v/>
      </c>
      <c r="R24">
        <f>IF($Y24="","",Settings!$C$6)</f>
        <v/>
      </c>
      <c r="S24" s="7">
        <f>IF($Y24="","",SUMIFS('Per Line'!$Z$2:$Z$1001,'Per Line'!$E$2:$E$1001,$B24,'Per Line'!$AQ$2:$AQ$1001,1,'Per Line'!$AR$2:$AR$1001,0))</f>
        <v/>
      </c>
      <c r="T24" s="7">
        <f>IF($Y24="","",S24*R24)</f>
        <v/>
      </c>
      <c r="U24" s="7">
        <f>IF($Y24="","",T24+Q24)</f>
        <v/>
      </c>
      <c r="V24" s="7">
        <f>IF($Y24="","",W24-U24)</f>
        <v/>
      </c>
      <c r="W24" s="7">
        <f>IF($Y24="","",P24+S24+N24)</f>
        <v/>
      </c>
      <c r="X24" s="7">
        <f>IF($Y24="","",W24-U24-L24)</f>
        <v/>
      </c>
      <c r="Y24" s="13">
        <f>IF(ROWS($Y$2:$Y24)&lt;=MAX('Per Line'!$AP$2:$AP$1001),MATCH(ROWS($Y$2:$Y24),'Per Line'!$AP$2:$AP$1001,0),"")</f>
        <v/>
      </c>
    </row>
    <row r="25">
      <c r="A25" s="12" t="n"/>
      <c r="B25">
        <f>IF($Y25="","",INDEX('Per Line'!$E$2:$E$1001,$Y25)&amp;"")</f>
        <v/>
      </c>
      <c r="C25">
        <f>IF($Y25="","",INDEX('Per Line'!$F$2:$F$1001,$Y25)&amp;"")</f>
        <v/>
      </c>
      <c r="D25">
        <f>IF($Y25="","",INDEX('Per Line'!$A$2:$A$1001,$Y25)&amp;"")</f>
        <v/>
      </c>
      <c r="E25">
        <f>IF($Y25="","",INDEX('Per Line'!$B$2:$B$1001,$Y25))</f>
        <v/>
      </c>
      <c r="F25">
        <f>IF($Y25="","",INDEX('Per Line'!$G$2:$G$1001,$Y25)&amp;"")</f>
        <v/>
      </c>
      <c r="G25" s="11">
        <f>IF($Y25="","",INDEX('Per Line'!$H$2:$H$1001,$Y25))</f>
        <v/>
      </c>
      <c r="H25">
        <f>IF($Y25="","",INDEX('Per Line'!$K$2:$K$1001,$Y25)&amp;"")</f>
        <v/>
      </c>
      <c r="I25">
        <f>IF($Y25="","",INDEX('Per Line'!$L$2:$L$1001,$Y25)&amp;"")</f>
        <v/>
      </c>
      <c r="J25">
        <f>IF($Y25="","",INDEX('Per Line'!$M$2:$M$1001,$Y25)&amp;"")</f>
        <v/>
      </c>
      <c r="K25">
        <f>IF($Y25="","",INDEX('Per Line'!$Q$2:$Q$1001,$Y25))</f>
        <v/>
      </c>
      <c r="L25" s="7">
        <f>IF($Y25="","",K25*W25/100)</f>
        <v/>
      </c>
      <c r="M25">
        <f>IF($Y25="","",INDEX('Per Line'!$AD$2:$AD$1001,$Y25)&amp;"")</f>
        <v/>
      </c>
      <c r="N25" s="7">
        <f>IF($Y25="","",SUMIFS('Per Line'!$Z$2:$Z$1001,'Per Line'!$E$2:$E$1001,$B25,'Per Line'!$AR$2:$AR$1001,1))</f>
        <v/>
      </c>
      <c r="O25">
        <f>IF($Y25="","",Settings!$C$7)</f>
        <v/>
      </c>
      <c r="P25" s="7">
        <f>IF($Y25="","",SUMIFS('Per Line'!$Z$2:$Z$1001,'Per Line'!$E$2:$E$1001,$B25,'Per Line'!$AQ$2:$AQ$1001,0,'Per Line'!$AR$2:$AR$1001,0))</f>
        <v/>
      </c>
      <c r="Q25" s="7">
        <f>IF($Y25="","",P25*O25)</f>
        <v/>
      </c>
      <c r="R25">
        <f>IF($Y25="","",Settings!$C$6)</f>
        <v/>
      </c>
      <c r="S25" s="7">
        <f>IF($Y25="","",SUMIFS('Per Line'!$Z$2:$Z$1001,'Per Line'!$E$2:$E$1001,$B25,'Per Line'!$AQ$2:$AQ$1001,1,'Per Line'!$AR$2:$AR$1001,0))</f>
        <v/>
      </c>
      <c r="T25" s="7">
        <f>IF($Y25="","",S25*R25)</f>
        <v/>
      </c>
      <c r="U25" s="7">
        <f>IF($Y25="","",T25+Q25)</f>
        <v/>
      </c>
      <c r="V25" s="7">
        <f>IF($Y25="","",W25-U25)</f>
        <v/>
      </c>
      <c r="W25" s="7">
        <f>IF($Y25="","",P25+S25+N25)</f>
        <v/>
      </c>
      <c r="X25" s="7">
        <f>IF($Y25="","",W25-U25-L25)</f>
        <v/>
      </c>
      <c r="Y25" s="13">
        <f>IF(ROWS($Y$2:$Y25)&lt;=MAX('Per Line'!$AP$2:$AP$1001),MATCH(ROWS($Y$2:$Y25),'Per Line'!$AP$2:$AP$1001,0),"")</f>
        <v/>
      </c>
    </row>
    <row r="26">
      <c r="A26" s="12" t="n"/>
      <c r="B26">
        <f>IF($Y26="","",INDEX('Per Line'!$E$2:$E$1001,$Y26)&amp;"")</f>
        <v/>
      </c>
      <c r="C26">
        <f>IF($Y26="","",INDEX('Per Line'!$F$2:$F$1001,$Y26)&amp;"")</f>
        <v/>
      </c>
      <c r="D26">
        <f>IF($Y26="","",INDEX('Per Line'!$A$2:$A$1001,$Y26)&amp;"")</f>
        <v/>
      </c>
      <c r="E26">
        <f>IF($Y26="","",INDEX('Per Line'!$B$2:$B$1001,$Y26))</f>
        <v/>
      </c>
      <c r="F26">
        <f>IF($Y26="","",INDEX('Per Line'!$G$2:$G$1001,$Y26)&amp;"")</f>
        <v/>
      </c>
      <c r="G26" s="11">
        <f>IF($Y26="","",INDEX('Per Line'!$H$2:$H$1001,$Y26))</f>
        <v/>
      </c>
      <c r="H26">
        <f>IF($Y26="","",INDEX('Per Line'!$K$2:$K$1001,$Y26)&amp;"")</f>
        <v/>
      </c>
      <c r="I26">
        <f>IF($Y26="","",INDEX('Per Line'!$L$2:$L$1001,$Y26)&amp;"")</f>
        <v/>
      </c>
      <c r="J26">
        <f>IF($Y26="","",INDEX('Per Line'!$M$2:$M$1001,$Y26)&amp;"")</f>
        <v/>
      </c>
      <c r="K26">
        <f>IF($Y26="","",INDEX('Per Line'!$Q$2:$Q$1001,$Y26))</f>
        <v/>
      </c>
      <c r="L26" s="7">
        <f>IF($Y26="","",K26*W26/100)</f>
        <v/>
      </c>
      <c r="M26">
        <f>IF($Y26="","",INDEX('Per Line'!$AD$2:$AD$1001,$Y26)&amp;"")</f>
        <v/>
      </c>
      <c r="N26" s="7">
        <f>IF($Y26="","",SUMIFS('Per Line'!$Z$2:$Z$1001,'Per Line'!$E$2:$E$1001,$B26,'Per Line'!$AR$2:$AR$1001,1))</f>
        <v/>
      </c>
      <c r="O26">
        <f>IF($Y26="","",Settings!$C$7)</f>
        <v/>
      </c>
      <c r="P26" s="7">
        <f>IF($Y26="","",SUMIFS('Per Line'!$Z$2:$Z$1001,'Per Line'!$E$2:$E$1001,$B26,'Per Line'!$AQ$2:$AQ$1001,0,'Per Line'!$AR$2:$AR$1001,0))</f>
        <v/>
      </c>
      <c r="Q26" s="7">
        <f>IF($Y26="","",P26*O26)</f>
        <v/>
      </c>
      <c r="R26">
        <f>IF($Y26="","",Settings!$C$6)</f>
        <v/>
      </c>
      <c r="S26" s="7">
        <f>IF($Y26="","",SUMIFS('Per Line'!$Z$2:$Z$1001,'Per Line'!$E$2:$E$1001,$B26,'Per Line'!$AQ$2:$AQ$1001,1,'Per Line'!$AR$2:$AR$1001,0))</f>
        <v/>
      </c>
      <c r="T26" s="7">
        <f>IF($Y26="","",S26*R26)</f>
        <v/>
      </c>
      <c r="U26" s="7">
        <f>IF($Y26="","",T26+Q26)</f>
        <v/>
      </c>
      <c r="V26" s="7">
        <f>IF($Y26="","",W26-U26)</f>
        <v/>
      </c>
      <c r="W26" s="7">
        <f>IF($Y26="","",P26+S26+N26)</f>
        <v/>
      </c>
      <c r="X26" s="7">
        <f>IF($Y26="","",W26-U26-L26)</f>
        <v/>
      </c>
      <c r="Y26" s="13">
        <f>IF(ROWS($Y$2:$Y26)&lt;=MAX('Per Line'!$AP$2:$AP$1001),MATCH(ROWS($Y$2:$Y26),'Per Line'!$AP$2:$AP$1001,0),"")</f>
        <v/>
      </c>
    </row>
    <row r="27">
      <c r="A27" s="12" t="n"/>
      <c r="B27">
        <f>IF($Y27="","",INDEX('Per Line'!$E$2:$E$1001,$Y27)&amp;"")</f>
        <v/>
      </c>
      <c r="C27">
        <f>IF($Y27="","",INDEX('Per Line'!$F$2:$F$1001,$Y27)&amp;"")</f>
        <v/>
      </c>
      <c r="D27">
        <f>IF($Y27="","",INDEX('Per Line'!$A$2:$A$1001,$Y27)&amp;"")</f>
        <v/>
      </c>
      <c r="E27">
        <f>IF($Y27="","",INDEX('Per Line'!$B$2:$B$1001,$Y27))</f>
        <v/>
      </c>
      <c r="F27">
        <f>IF($Y27="","",INDEX('Per Line'!$G$2:$G$1001,$Y27)&amp;"")</f>
        <v/>
      </c>
      <c r="G27" s="11">
        <f>IF($Y27="","",INDEX('Per Line'!$H$2:$H$1001,$Y27))</f>
        <v/>
      </c>
      <c r="H27">
        <f>IF($Y27="","",INDEX('Per Line'!$K$2:$K$1001,$Y27)&amp;"")</f>
        <v/>
      </c>
      <c r="I27">
        <f>IF($Y27="","",INDEX('Per Line'!$L$2:$L$1001,$Y27)&amp;"")</f>
        <v/>
      </c>
      <c r="J27">
        <f>IF($Y27="","",INDEX('Per Line'!$M$2:$M$1001,$Y27)&amp;"")</f>
        <v/>
      </c>
      <c r="K27">
        <f>IF($Y27="","",INDEX('Per Line'!$Q$2:$Q$1001,$Y27))</f>
        <v/>
      </c>
      <c r="L27" s="7">
        <f>IF($Y27="","",K27*W27/100)</f>
        <v/>
      </c>
      <c r="M27">
        <f>IF($Y27="","",INDEX('Per Line'!$AD$2:$AD$1001,$Y27)&amp;"")</f>
        <v/>
      </c>
      <c r="N27" s="7">
        <f>IF($Y27="","",SUMIFS('Per Line'!$Z$2:$Z$1001,'Per Line'!$E$2:$E$1001,$B27,'Per Line'!$AR$2:$AR$1001,1))</f>
        <v/>
      </c>
      <c r="O27">
        <f>IF($Y27="","",Settings!$C$7)</f>
        <v/>
      </c>
      <c r="P27" s="7">
        <f>IF($Y27="","",SUMIFS('Per Line'!$Z$2:$Z$1001,'Per Line'!$E$2:$E$1001,$B27,'Per Line'!$AQ$2:$AQ$1001,0,'Per Line'!$AR$2:$AR$1001,0))</f>
        <v/>
      </c>
      <c r="Q27" s="7">
        <f>IF($Y27="","",P27*O27)</f>
        <v/>
      </c>
      <c r="R27">
        <f>IF($Y27="","",Settings!$C$6)</f>
        <v/>
      </c>
      <c r="S27" s="7">
        <f>IF($Y27="","",SUMIFS('Per Line'!$Z$2:$Z$1001,'Per Line'!$E$2:$E$1001,$B27,'Per Line'!$AQ$2:$AQ$1001,1,'Per Line'!$AR$2:$AR$1001,0))</f>
        <v/>
      </c>
      <c r="T27" s="7">
        <f>IF($Y27="","",S27*R27)</f>
        <v/>
      </c>
      <c r="U27" s="7">
        <f>IF($Y27="","",T27+Q27)</f>
        <v/>
      </c>
      <c r="V27" s="7">
        <f>IF($Y27="","",W27-U27)</f>
        <v/>
      </c>
      <c r="W27" s="7">
        <f>IF($Y27="","",P27+S27+N27)</f>
        <v/>
      </c>
      <c r="X27" s="7">
        <f>IF($Y27="","",W27-U27-L27)</f>
        <v/>
      </c>
      <c r="Y27" s="13">
        <f>IF(ROWS($Y$2:$Y27)&lt;=MAX('Per Line'!$AP$2:$AP$1001),MATCH(ROWS($Y$2:$Y27),'Per Line'!$AP$2:$AP$1001,0),"")</f>
        <v/>
      </c>
    </row>
    <row r="28">
      <c r="A28" s="12" t="n"/>
      <c r="B28">
        <f>IF($Y28="","",INDEX('Per Line'!$E$2:$E$1001,$Y28)&amp;"")</f>
        <v/>
      </c>
      <c r="C28">
        <f>IF($Y28="","",INDEX('Per Line'!$F$2:$F$1001,$Y28)&amp;"")</f>
        <v/>
      </c>
      <c r="D28">
        <f>IF($Y28="","",INDEX('Per Line'!$A$2:$A$1001,$Y28)&amp;"")</f>
        <v/>
      </c>
      <c r="E28">
        <f>IF($Y28="","",INDEX('Per Line'!$B$2:$B$1001,$Y28))</f>
        <v/>
      </c>
      <c r="F28">
        <f>IF($Y28="","",INDEX('Per Line'!$G$2:$G$1001,$Y28)&amp;"")</f>
        <v/>
      </c>
      <c r="G28" s="11">
        <f>IF($Y28="","",INDEX('Per Line'!$H$2:$H$1001,$Y28))</f>
        <v/>
      </c>
      <c r="H28">
        <f>IF($Y28="","",INDEX('Per Line'!$K$2:$K$1001,$Y28)&amp;"")</f>
        <v/>
      </c>
      <c r="I28">
        <f>IF($Y28="","",INDEX('Per Line'!$L$2:$L$1001,$Y28)&amp;"")</f>
        <v/>
      </c>
      <c r="J28">
        <f>IF($Y28="","",INDEX('Per Line'!$M$2:$M$1001,$Y28)&amp;"")</f>
        <v/>
      </c>
      <c r="K28">
        <f>IF($Y28="","",INDEX('Per Line'!$Q$2:$Q$1001,$Y28))</f>
        <v/>
      </c>
      <c r="L28" s="7">
        <f>IF($Y28="","",K28*W28/100)</f>
        <v/>
      </c>
      <c r="M28">
        <f>IF($Y28="","",INDEX('Per Line'!$AD$2:$AD$1001,$Y28)&amp;"")</f>
        <v/>
      </c>
      <c r="N28" s="7">
        <f>IF($Y28="","",SUMIFS('Per Line'!$Z$2:$Z$1001,'Per Line'!$E$2:$E$1001,$B28,'Per Line'!$AR$2:$AR$1001,1))</f>
        <v/>
      </c>
      <c r="O28">
        <f>IF($Y28="","",Settings!$C$7)</f>
        <v/>
      </c>
      <c r="P28" s="7">
        <f>IF($Y28="","",SUMIFS('Per Line'!$Z$2:$Z$1001,'Per Line'!$E$2:$E$1001,$B28,'Per Line'!$AQ$2:$AQ$1001,0,'Per Line'!$AR$2:$AR$1001,0))</f>
        <v/>
      </c>
      <c r="Q28" s="7">
        <f>IF($Y28="","",P28*O28)</f>
        <v/>
      </c>
      <c r="R28">
        <f>IF($Y28="","",Settings!$C$6)</f>
        <v/>
      </c>
      <c r="S28" s="7">
        <f>IF($Y28="","",SUMIFS('Per Line'!$Z$2:$Z$1001,'Per Line'!$E$2:$E$1001,$B28,'Per Line'!$AQ$2:$AQ$1001,1,'Per Line'!$AR$2:$AR$1001,0))</f>
        <v/>
      </c>
      <c r="T28" s="7">
        <f>IF($Y28="","",S28*R28)</f>
        <v/>
      </c>
      <c r="U28" s="7">
        <f>IF($Y28="","",T28+Q28)</f>
        <v/>
      </c>
      <c r="V28" s="7">
        <f>IF($Y28="","",W28-U28)</f>
        <v/>
      </c>
      <c r="W28" s="7">
        <f>IF($Y28="","",P28+S28+N28)</f>
        <v/>
      </c>
      <c r="X28" s="7">
        <f>IF($Y28="","",W28-U28-L28)</f>
        <v/>
      </c>
      <c r="Y28" s="13">
        <f>IF(ROWS($Y$2:$Y28)&lt;=MAX('Per Line'!$AP$2:$AP$1001),MATCH(ROWS($Y$2:$Y28),'Per Line'!$AP$2:$AP$1001,0),"")</f>
        <v/>
      </c>
    </row>
    <row r="29">
      <c r="A29" s="12" t="n"/>
      <c r="B29">
        <f>IF($Y29="","",INDEX('Per Line'!$E$2:$E$1001,$Y29)&amp;"")</f>
        <v/>
      </c>
      <c r="C29">
        <f>IF($Y29="","",INDEX('Per Line'!$F$2:$F$1001,$Y29)&amp;"")</f>
        <v/>
      </c>
      <c r="D29">
        <f>IF($Y29="","",INDEX('Per Line'!$A$2:$A$1001,$Y29)&amp;"")</f>
        <v/>
      </c>
      <c r="E29">
        <f>IF($Y29="","",INDEX('Per Line'!$B$2:$B$1001,$Y29))</f>
        <v/>
      </c>
      <c r="F29">
        <f>IF($Y29="","",INDEX('Per Line'!$G$2:$G$1001,$Y29)&amp;"")</f>
        <v/>
      </c>
      <c r="G29" s="11">
        <f>IF($Y29="","",INDEX('Per Line'!$H$2:$H$1001,$Y29))</f>
        <v/>
      </c>
      <c r="H29">
        <f>IF($Y29="","",INDEX('Per Line'!$K$2:$K$1001,$Y29)&amp;"")</f>
        <v/>
      </c>
      <c r="I29">
        <f>IF($Y29="","",INDEX('Per Line'!$L$2:$L$1001,$Y29)&amp;"")</f>
        <v/>
      </c>
      <c r="J29">
        <f>IF($Y29="","",INDEX('Per Line'!$M$2:$M$1001,$Y29)&amp;"")</f>
        <v/>
      </c>
      <c r="K29">
        <f>IF($Y29="","",INDEX('Per Line'!$Q$2:$Q$1001,$Y29))</f>
        <v/>
      </c>
      <c r="L29" s="7">
        <f>IF($Y29="","",K29*W29/100)</f>
        <v/>
      </c>
      <c r="M29">
        <f>IF($Y29="","",INDEX('Per Line'!$AD$2:$AD$1001,$Y29)&amp;"")</f>
        <v/>
      </c>
      <c r="N29" s="7">
        <f>IF($Y29="","",SUMIFS('Per Line'!$Z$2:$Z$1001,'Per Line'!$E$2:$E$1001,$B29,'Per Line'!$AR$2:$AR$1001,1))</f>
        <v/>
      </c>
      <c r="O29">
        <f>IF($Y29="","",Settings!$C$7)</f>
        <v/>
      </c>
      <c r="P29" s="7">
        <f>IF($Y29="","",SUMIFS('Per Line'!$Z$2:$Z$1001,'Per Line'!$E$2:$E$1001,$B29,'Per Line'!$AQ$2:$AQ$1001,0,'Per Line'!$AR$2:$AR$1001,0))</f>
        <v/>
      </c>
      <c r="Q29" s="7">
        <f>IF($Y29="","",P29*O29)</f>
        <v/>
      </c>
      <c r="R29">
        <f>IF($Y29="","",Settings!$C$6)</f>
        <v/>
      </c>
      <c r="S29" s="7">
        <f>IF($Y29="","",SUMIFS('Per Line'!$Z$2:$Z$1001,'Per Line'!$E$2:$E$1001,$B29,'Per Line'!$AQ$2:$AQ$1001,1,'Per Line'!$AR$2:$AR$1001,0))</f>
        <v/>
      </c>
      <c r="T29" s="7">
        <f>IF($Y29="","",S29*R29)</f>
        <v/>
      </c>
      <c r="U29" s="7">
        <f>IF($Y29="","",T29+Q29)</f>
        <v/>
      </c>
      <c r="V29" s="7">
        <f>IF($Y29="","",W29-U29)</f>
        <v/>
      </c>
      <c r="W29" s="7">
        <f>IF($Y29="","",P29+S29+N29)</f>
        <v/>
      </c>
      <c r="X29" s="7">
        <f>IF($Y29="","",W29-U29-L29)</f>
        <v/>
      </c>
      <c r="Y29" s="13">
        <f>IF(ROWS($Y$2:$Y29)&lt;=MAX('Per Line'!$AP$2:$AP$1001),MATCH(ROWS($Y$2:$Y29),'Per Line'!$AP$2:$AP$1001,0),"")</f>
        <v/>
      </c>
    </row>
    <row r="30">
      <c r="A30" s="12" t="n"/>
      <c r="B30">
        <f>IF($Y30="","",INDEX('Per Line'!$E$2:$E$1001,$Y30)&amp;"")</f>
        <v/>
      </c>
      <c r="C30">
        <f>IF($Y30="","",INDEX('Per Line'!$F$2:$F$1001,$Y30)&amp;"")</f>
        <v/>
      </c>
      <c r="D30">
        <f>IF($Y30="","",INDEX('Per Line'!$A$2:$A$1001,$Y30)&amp;"")</f>
        <v/>
      </c>
      <c r="E30">
        <f>IF($Y30="","",INDEX('Per Line'!$B$2:$B$1001,$Y30))</f>
        <v/>
      </c>
      <c r="F30">
        <f>IF($Y30="","",INDEX('Per Line'!$G$2:$G$1001,$Y30)&amp;"")</f>
        <v/>
      </c>
      <c r="G30" s="11">
        <f>IF($Y30="","",INDEX('Per Line'!$H$2:$H$1001,$Y30))</f>
        <v/>
      </c>
      <c r="H30">
        <f>IF($Y30="","",INDEX('Per Line'!$K$2:$K$1001,$Y30)&amp;"")</f>
        <v/>
      </c>
      <c r="I30">
        <f>IF($Y30="","",INDEX('Per Line'!$L$2:$L$1001,$Y30)&amp;"")</f>
        <v/>
      </c>
      <c r="J30">
        <f>IF($Y30="","",INDEX('Per Line'!$M$2:$M$1001,$Y30)&amp;"")</f>
        <v/>
      </c>
      <c r="K30">
        <f>IF($Y30="","",INDEX('Per Line'!$Q$2:$Q$1001,$Y30))</f>
        <v/>
      </c>
      <c r="L30" s="7">
        <f>IF($Y30="","",K30*W30/100)</f>
        <v/>
      </c>
      <c r="M30">
        <f>IF($Y30="","",INDEX('Per Line'!$AD$2:$AD$1001,$Y30)&amp;"")</f>
        <v/>
      </c>
      <c r="N30" s="7">
        <f>IF($Y30="","",SUMIFS('Per Line'!$Z$2:$Z$1001,'Per Line'!$E$2:$E$1001,$B30,'Per Line'!$AR$2:$AR$1001,1))</f>
        <v/>
      </c>
      <c r="O30">
        <f>IF($Y30="","",Settings!$C$7)</f>
        <v/>
      </c>
      <c r="P30" s="7">
        <f>IF($Y30="","",SUMIFS('Per Line'!$Z$2:$Z$1001,'Per Line'!$E$2:$E$1001,$B30,'Per Line'!$AQ$2:$AQ$1001,0,'Per Line'!$AR$2:$AR$1001,0))</f>
        <v/>
      </c>
      <c r="Q30" s="7">
        <f>IF($Y30="","",P30*O30)</f>
        <v/>
      </c>
      <c r="R30">
        <f>IF($Y30="","",Settings!$C$6)</f>
        <v/>
      </c>
      <c r="S30" s="7">
        <f>IF($Y30="","",SUMIFS('Per Line'!$Z$2:$Z$1001,'Per Line'!$E$2:$E$1001,$B30,'Per Line'!$AQ$2:$AQ$1001,1,'Per Line'!$AR$2:$AR$1001,0))</f>
        <v/>
      </c>
      <c r="T30" s="7">
        <f>IF($Y30="","",S30*R30)</f>
        <v/>
      </c>
      <c r="U30" s="7">
        <f>IF($Y30="","",T30+Q30)</f>
        <v/>
      </c>
      <c r="V30" s="7">
        <f>IF($Y30="","",W30-U30)</f>
        <v/>
      </c>
      <c r="W30" s="7">
        <f>IF($Y30="","",P30+S30+N30)</f>
        <v/>
      </c>
      <c r="X30" s="7">
        <f>IF($Y30="","",W30-U30-L30)</f>
        <v/>
      </c>
      <c r="Y30" s="13">
        <f>IF(ROWS($Y$2:$Y30)&lt;=MAX('Per Line'!$AP$2:$AP$1001),MATCH(ROWS($Y$2:$Y30),'Per Line'!$AP$2:$AP$1001,0),"")</f>
        <v/>
      </c>
    </row>
    <row r="31">
      <c r="A31" s="12" t="n"/>
      <c r="B31">
        <f>IF($Y31="","",INDEX('Per Line'!$E$2:$E$1001,$Y31)&amp;"")</f>
        <v/>
      </c>
      <c r="C31">
        <f>IF($Y31="","",INDEX('Per Line'!$F$2:$F$1001,$Y31)&amp;"")</f>
        <v/>
      </c>
      <c r="D31">
        <f>IF($Y31="","",INDEX('Per Line'!$A$2:$A$1001,$Y31)&amp;"")</f>
        <v/>
      </c>
      <c r="E31">
        <f>IF($Y31="","",INDEX('Per Line'!$B$2:$B$1001,$Y31))</f>
        <v/>
      </c>
      <c r="F31">
        <f>IF($Y31="","",INDEX('Per Line'!$G$2:$G$1001,$Y31)&amp;"")</f>
        <v/>
      </c>
      <c r="G31" s="11">
        <f>IF($Y31="","",INDEX('Per Line'!$H$2:$H$1001,$Y31))</f>
        <v/>
      </c>
      <c r="H31">
        <f>IF($Y31="","",INDEX('Per Line'!$K$2:$K$1001,$Y31)&amp;"")</f>
        <v/>
      </c>
      <c r="I31">
        <f>IF($Y31="","",INDEX('Per Line'!$L$2:$L$1001,$Y31)&amp;"")</f>
        <v/>
      </c>
      <c r="J31">
        <f>IF($Y31="","",INDEX('Per Line'!$M$2:$M$1001,$Y31)&amp;"")</f>
        <v/>
      </c>
      <c r="K31">
        <f>IF($Y31="","",INDEX('Per Line'!$Q$2:$Q$1001,$Y31))</f>
        <v/>
      </c>
      <c r="L31" s="7">
        <f>IF($Y31="","",K31*W31/100)</f>
        <v/>
      </c>
      <c r="M31">
        <f>IF($Y31="","",INDEX('Per Line'!$AD$2:$AD$1001,$Y31)&amp;"")</f>
        <v/>
      </c>
      <c r="N31" s="7">
        <f>IF($Y31="","",SUMIFS('Per Line'!$Z$2:$Z$1001,'Per Line'!$E$2:$E$1001,$B31,'Per Line'!$AR$2:$AR$1001,1))</f>
        <v/>
      </c>
      <c r="O31">
        <f>IF($Y31="","",Settings!$C$7)</f>
        <v/>
      </c>
      <c r="P31" s="7">
        <f>IF($Y31="","",SUMIFS('Per Line'!$Z$2:$Z$1001,'Per Line'!$E$2:$E$1001,$B31,'Per Line'!$AQ$2:$AQ$1001,0,'Per Line'!$AR$2:$AR$1001,0))</f>
        <v/>
      </c>
      <c r="Q31" s="7">
        <f>IF($Y31="","",P31*O31)</f>
        <v/>
      </c>
      <c r="R31">
        <f>IF($Y31="","",Settings!$C$6)</f>
        <v/>
      </c>
      <c r="S31" s="7">
        <f>IF($Y31="","",SUMIFS('Per Line'!$Z$2:$Z$1001,'Per Line'!$E$2:$E$1001,$B31,'Per Line'!$AQ$2:$AQ$1001,1,'Per Line'!$AR$2:$AR$1001,0))</f>
        <v/>
      </c>
      <c r="T31" s="7">
        <f>IF($Y31="","",S31*R31)</f>
        <v/>
      </c>
      <c r="U31" s="7">
        <f>IF($Y31="","",T31+Q31)</f>
        <v/>
      </c>
      <c r="V31" s="7">
        <f>IF($Y31="","",W31-U31)</f>
        <v/>
      </c>
      <c r="W31" s="7">
        <f>IF($Y31="","",P31+S31+N31)</f>
        <v/>
      </c>
      <c r="X31" s="7">
        <f>IF($Y31="","",W31-U31-L31)</f>
        <v/>
      </c>
      <c r="Y31" s="13">
        <f>IF(ROWS($Y$2:$Y31)&lt;=MAX('Per Line'!$AP$2:$AP$1001),MATCH(ROWS($Y$2:$Y31),'Per Line'!$AP$2:$AP$1001,0),"")</f>
        <v/>
      </c>
    </row>
    <row r="32">
      <c r="A32" s="12" t="n"/>
      <c r="B32">
        <f>IF($Y32="","",INDEX('Per Line'!$E$2:$E$1001,$Y32)&amp;"")</f>
        <v/>
      </c>
      <c r="C32">
        <f>IF($Y32="","",INDEX('Per Line'!$F$2:$F$1001,$Y32)&amp;"")</f>
        <v/>
      </c>
      <c r="D32">
        <f>IF($Y32="","",INDEX('Per Line'!$A$2:$A$1001,$Y32)&amp;"")</f>
        <v/>
      </c>
      <c r="E32">
        <f>IF($Y32="","",INDEX('Per Line'!$B$2:$B$1001,$Y32))</f>
        <v/>
      </c>
      <c r="F32">
        <f>IF($Y32="","",INDEX('Per Line'!$G$2:$G$1001,$Y32)&amp;"")</f>
        <v/>
      </c>
      <c r="G32" s="11">
        <f>IF($Y32="","",INDEX('Per Line'!$H$2:$H$1001,$Y32))</f>
        <v/>
      </c>
      <c r="H32">
        <f>IF($Y32="","",INDEX('Per Line'!$K$2:$K$1001,$Y32)&amp;"")</f>
        <v/>
      </c>
      <c r="I32">
        <f>IF($Y32="","",INDEX('Per Line'!$L$2:$L$1001,$Y32)&amp;"")</f>
        <v/>
      </c>
      <c r="J32">
        <f>IF($Y32="","",INDEX('Per Line'!$M$2:$M$1001,$Y32)&amp;"")</f>
        <v/>
      </c>
      <c r="K32">
        <f>IF($Y32="","",INDEX('Per Line'!$Q$2:$Q$1001,$Y32))</f>
        <v/>
      </c>
      <c r="L32" s="7">
        <f>IF($Y32="","",K32*W32/100)</f>
        <v/>
      </c>
      <c r="M32">
        <f>IF($Y32="","",INDEX('Per Line'!$AD$2:$AD$1001,$Y32)&amp;"")</f>
        <v/>
      </c>
      <c r="N32" s="7">
        <f>IF($Y32="","",SUMIFS('Per Line'!$Z$2:$Z$1001,'Per Line'!$E$2:$E$1001,$B32,'Per Line'!$AR$2:$AR$1001,1))</f>
        <v/>
      </c>
      <c r="O32">
        <f>IF($Y32="","",Settings!$C$7)</f>
        <v/>
      </c>
      <c r="P32" s="7">
        <f>IF($Y32="","",SUMIFS('Per Line'!$Z$2:$Z$1001,'Per Line'!$E$2:$E$1001,$B32,'Per Line'!$AQ$2:$AQ$1001,0,'Per Line'!$AR$2:$AR$1001,0))</f>
        <v/>
      </c>
      <c r="Q32" s="7">
        <f>IF($Y32="","",P32*O32)</f>
        <v/>
      </c>
      <c r="R32">
        <f>IF($Y32="","",Settings!$C$6)</f>
        <v/>
      </c>
      <c r="S32" s="7">
        <f>IF($Y32="","",SUMIFS('Per Line'!$Z$2:$Z$1001,'Per Line'!$E$2:$E$1001,$B32,'Per Line'!$AQ$2:$AQ$1001,1,'Per Line'!$AR$2:$AR$1001,0))</f>
        <v/>
      </c>
      <c r="T32" s="7">
        <f>IF($Y32="","",S32*R32)</f>
        <v/>
      </c>
      <c r="U32" s="7">
        <f>IF($Y32="","",T32+Q32)</f>
        <v/>
      </c>
      <c r="V32" s="7">
        <f>IF($Y32="","",W32-U32)</f>
        <v/>
      </c>
      <c r="W32" s="7">
        <f>IF($Y32="","",P32+S32+N32)</f>
        <v/>
      </c>
      <c r="X32" s="7">
        <f>IF($Y32="","",W32-U32-L32)</f>
        <v/>
      </c>
      <c r="Y32" s="13">
        <f>IF(ROWS($Y$2:$Y32)&lt;=MAX('Per Line'!$AP$2:$AP$1001),MATCH(ROWS($Y$2:$Y32),'Per Line'!$AP$2:$AP$1001,0),"")</f>
        <v/>
      </c>
    </row>
    <row r="33">
      <c r="A33" s="12" t="n"/>
      <c r="B33">
        <f>IF($Y33="","",INDEX('Per Line'!$E$2:$E$1001,$Y33)&amp;"")</f>
        <v/>
      </c>
      <c r="C33">
        <f>IF($Y33="","",INDEX('Per Line'!$F$2:$F$1001,$Y33)&amp;"")</f>
        <v/>
      </c>
      <c r="D33">
        <f>IF($Y33="","",INDEX('Per Line'!$A$2:$A$1001,$Y33)&amp;"")</f>
        <v/>
      </c>
      <c r="E33">
        <f>IF($Y33="","",INDEX('Per Line'!$B$2:$B$1001,$Y33))</f>
        <v/>
      </c>
      <c r="F33">
        <f>IF($Y33="","",INDEX('Per Line'!$G$2:$G$1001,$Y33)&amp;"")</f>
        <v/>
      </c>
      <c r="G33" s="11">
        <f>IF($Y33="","",INDEX('Per Line'!$H$2:$H$1001,$Y33))</f>
        <v/>
      </c>
      <c r="H33">
        <f>IF($Y33="","",INDEX('Per Line'!$K$2:$K$1001,$Y33)&amp;"")</f>
        <v/>
      </c>
      <c r="I33">
        <f>IF($Y33="","",INDEX('Per Line'!$L$2:$L$1001,$Y33)&amp;"")</f>
        <v/>
      </c>
      <c r="J33">
        <f>IF($Y33="","",INDEX('Per Line'!$M$2:$M$1001,$Y33)&amp;"")</f>
        <v/>
      </c>
      <c r="K33">
        <f>IF($Y33="","",INDEX('Per Line'!$Q$2:$Q$1001,$Y33))</f>
        <v/>
      </c>
      <c r="L33" s="7">
        <f>IF($Y33="","",K33*W33/100)</f>
        <v/>
      </c>
      <c r="M33">
        <f>IF($Y33="","",INDEX('Per Line'!$AD$2:$AD$1001,$Y33)&amp;"")</f>
        <v/>
      </c>
      <c r="N33" s="7">
        <f>IF($Y33="","",SUMIFS('Per Line'!$Z$2:$Z$1001,'Per Line'!$E$2:$E$1001,$B33,'Per Line'!$AR$2:$AR$1001,1))</f>
        <v/>
      </c>
      <c r="O33">
        <f>IF($Y33="","",Settings!$C$7)</f>
        <v/>
      </c>
      <c r="P33" s="7">
        <f>IF($Y33="","",SUMIFS('Per Line'!$Z$2:$Z$1001,'Per Line'!$E$2:$E$1001,$B33,'Per Line'!$AQ$2:$AQ$1001,0,'Per Line'!$AR$2:$AR$1001,0))</f>
        <v/>
      </c>
      <c r="Q33" s="7">
        <f>IF($Y33="","",P33*O33)</f>
        <v/>
      </c>
      <c r="R33">
        <f>IF($Y33="","",Settings!$C$6)</f>
        <v/>
      </c>
      <c r="S33" s="7">
        <f>IF($Y33="","",SUMIFS('Per Line'!$Z$2:$Z$1001,'Per Line'!$E$2:$E$1001,$B33,'Per Line'!$AQ$2:$AQ$1001,1,'Per Line'!$AR$2:$AR$1001,0))</f>
        <v/>
      </c>
      <c r="T33" s="7">
        <f>IF($Y33="","",S33*R33)</f>
        <v/>
      </c>
      <c r="U33" s="7">
        <f>IF($Y33="","",T33+Q33)</f>
        <v/>
      </c>
      <c r="V33" s="7">
        <f>IF($Y33="","",W33-U33)</f>
        <v/>
      </c>
      <c r="W33" s="7">
        <f>IF($Y33="","",P33+S33+N33)</f>
        <v/>
      </c>
      <c r="X33" s="7">
        <f>IF($Y33="","",W33-U33-L33)</f>
        <v/>
      </c>
      <c r="Y33" s="13">
        <f>IF(ROWS($Y$2:$Y33)&lt;=MAX('Per Line'!$AP$2:$AP$1001),MATCH(ROWS($Y$2:$Y33),'Per Line'!$AP$2:$AP$1001,0),"")</f>
        <v/>
      </c>
    </row>
    <row r="34">
      <c r="A34" s="12" t="n"/>
      <c r="B34">
        <f>IF($Y34="","",INDEX('Per Line'!$E$2:$E$1001,$Y34)&amp;"")</f>
        <v/>
      </c>
      <c r="C34">
        <f>IF($Y34="","",INDEX('Per Line'!$F$2:$F$1001,$Y34)&amp;"")</f>
        <v/>
      </c>
      <c r="D34">
        <f>IF($Y34="","",INDEX('Per Line'!$A$2:$A$1001,$Y34)&amp;"")</f>
        <v/>
      </c>
      <c r="E34">
        <f>IF($Y34="","",INDEX('Per Line'!$B$2:$B$1001,$Y34))</f>
        <v/>
      </c>
      <c r="F34">
        <f>IF($Y34="","",INDEX('Per Line'!$G$2:$G$1001,$Y34)&amp;"")</f>
        <v/>
      </c>
      <c r="G34" s="11">
        <f>IF($Y34="","",INDEX('Per Line'!$H$2:$H$1001,$Y34))</f>
        <v/>
      </c>
      <c r="H34">
        <f>IF($Y34="","",INDEX('Per Line'!$K$2:$K$1001,$Y34)&amp;"")</f>
        <v/>
      </c>
      <c r="I34">
        <f>IF($Y34="","",INDEX('Per Line'!$L$2:$L$1001,$Y34)&amp;"")</f>
        <v/>
      </c>
      <c r="J34">
        <f>IF($Y34="","",INDEX('Per Line'!$M$2:$M$1001,$Y34)&amp;"")</f>
        <v/>
      </c>
      <c r="K34">
        <f>IF($Y34="","",INDEX('Per Line'!$Q$2:$Q$1001,$Y34))</f>
        <v/>
      </c>
      <c r="L34" s="7">
        <f>IF($Y34="","",K34*W34/100)</f>
        <v/>
      </c>
      <c r="M34">
        <f>IF($Y34="","",INDEX('Per Line'!$AD$2:$AD$1001,$Y34)&amp;"")</f>
        <v/>
      </c>
      <c r="N34" s="7">
        <f>IF($Y34="","",SUMIFS('Per Line'!$Z$2:$Z$1001,'Per Line'!$E$2:$E$1001,$B34,'Per Line'!$AR$2:$AR$1001,1))</f>
        <v/>
      </c>
      <c r="O34">
        <f>IF($Y34="","",Settings!$C$7)</f>
        <v/>
      </c>
      <c r="P34" s="7">
        <f>IF($Y34="","",SUMIFS('Per Line'!$Z$2:$Z$1001,'Per Line'!$E$2:$E$1001,$B34,'Per Line'!$AQ$2:$AQ$1001,0,'Per Line'!$AR$2:$AR$1001,0))</f>
        <v/>
      </c>
      <c r="Q34" s="7">
        <f>IF($Y34="","",P34*O34)</f>
        <v/>
      </c>
      <c r="R34">
        <f>IF($Y34="","",Settings!$C$6)</f>
        <v/>
      </c>
      <c r="S34" s="7">
        <f>IF($Y34="","",SUMIFS('Per Line'!$Z$2:$Z$1001,'Per Line'!$E$2:$E$1001,$B34,'Per Line'!$AQ$2:$AQ$1001,1,'Per Line'!$AR$2:$AR$1001,0))</f>
        <v/>
      </c>
      <c r="T34" s="7">
        <f>IF($Y34="","",S34*R34)</f>
        <v/>
      </c>
      <c r="U34" s="7">
        <f>IF($Y34="","",T34+Q34)</f>
        <v/>
      </c>
      <c r="V34" s="7">
        <f>IF($Y34="","",W34-U34)</f>
        <v/>
      </c>
      <c r="W34" s="7">
        <f>IF($Y34="","",P34+S34+N34)</f>
        <v/>
      </c>
      <c r="X34" s="7">
        <f>IF($Y34="","",W34-U34-L34)</f>
        <v/>
      </c>
      <c r="Y34" s="13">
        <f>IF(ROWS($Y$2:$Y34)&lt;=MAX('Per Line'!$AP$2:$AP$1001),MATCH(ROWS($Y$2:$Y34),'Per Line'!$AP$2:$AP$1001,0),"")</f>
        <v/>
      </c>
    </row>
    <row r="35">
      <c r="A35" s="12" t="n"/>
      <c r="B35">
        <f>IF($Y35="","",INDEX('Per Line'!$E$2:$E$1001,$Y35)&amp;"")</f>
        <v/>
      </c>
      <c r="C35">
        <f>IF($Y35="","",INDEX('Per Line'!$F$2:$F$1001,$Y35)&amp;"")</f>
        <v/>
      </c>
      <c r="D35">
        <f>IF($Y35="","",INDEX('Per Line'!$A$2:$A$1001,$Y35)&amp;"")</f>
        <v/>
      </c>
      <c r="E35">
        <f>IF($Y35="","",INDEX('Per Line'!$B$2:$B$1001,$Y35))</f>
        <v/>
      </c>
      <c r="F35">
        <f>IF($Y35="","",INDEX('Per Line'!$G$2:$G$1001,$Y35)&amp;"")</f>
        <v/>
      </c>
      <c r="G35" s="11">
        <f>IF($Y35="","",INDEX('Per Line'!$H$2:$H$1001,$Y35))</f>
        <v/>
      </c>
      <c r="H35">
        <f>IF($Y35="","",INDEX('Per Line'!$K$2:$K$1001,$Y35)&amp;"")</f>
        <v/>
      </c>
      <c r="I35">
        <f>IF($Y35="","",INDEX('Per Line'!$L$2:$L$1001,$Y35)&amp;"")</f>
        <v/>
      </c>
      <c r="J35">
        <f>IF($Y35="","",INDEX('Per Line'!$M$2:$M$1001,$Y35)&amp;"")</f>
        <v/>
      </c>
      <c r="K35">
        <f>IF($Y35="","",INDEX('Per Line'!$Q$2:$Q$1001,$Y35))</f>
        <v/>
      </c>
      <c r="L35" s="7">
        <f>IF($Y35="","",K35*W35/100)</f>
        <v/>
      </c>
      <c r="M35">
        <f>IF($Y35="","",INDEX('Per Line'!$AD$2:$AD$1001,$Y35)&amp;"")</f>
        <v/>
      </c>
      <c r="N35" s="7">
        <f>IF($Y35="","",SUMIFS('Per Line'!$Z$2:$Z$1001,'Per Line'!$E$2:$E$1001,$B35,'Per Line'!$AR$2:$AR$1001,1))</f>
        <v/>
      </c>
      <c r="O35">
        <f>IF($Y35="","",Settings!$C$7)</f>
        <v/>
      </c>
      <c r="P35" s="7">
        <f>IF($Y35="","",SUMIFS('Per Line'!$Z$2:$Z$1001,'Per Line'!$E$2:$E$1001,$B35,'Per Line'!$AQ$2:$AQ$1001,0,'Per Line'!$AR$2:$AR$1001,0))</f>
        <v/>
      </c>
      <c r="Q35" s="7">
        <f>IF($Y35="","",P35*O35)</f>
        <v/>
      </c>
      <c r="R35">
        <f>IF($Y35="","",Settings!$C$6)</f>
        <v/>
      </c>
      <c r="S35" s="7">
        <f>IF($Y35="","",SUMIFS('Per Line'!$Z$2:$Z$1001,'Per Line'!$E$2:$E$1001,$B35,'Per Line'!$AQ$2:$AQ$1001,1,'Per Line'!$AR$2:$AR$1001,0))</f>
        <v/>
      </c>
      <c r="T35" s="7">
        <f>IF($Y35="","",S35*R35)</f>
        <v/>
      </c>
      <c r="U35" s="7">
        <f>IF($Y35="","",T35+Q35)</f>
        <v/>
      </c>
      <c r="V35" s="7">
        <f>IF($Y35="","",W35-U35)</f>
        <v/>
      </c>
      <c r="W35" s="7">
        <f>IF($Y35="","",P35+S35+N35)</f>
        <v/>
      </c>
      <c r="X35" s="7">
        <f>IF($Y35="","",W35-U35-L35)</f>
        <v/>
      </c>
      <c r="Y35" s="13">
        <f>IF(ROWS($Y$2:$Y35)&lt;=MAX('Per Line'!$AP$2:$AP$1001),MATCH(ROWS($Y$2:$Y35),'Per Line'!$AP$2:$AP$1001,0),"")</f>
        <v/>
      </c>
    </row>
    <row r="36">
      <c r="A36" s="12" t="n"/>
      <c r="B36">
        <f>IF($Y36="","",INDEX('Per Line'!$E$2:$E$1001,$Y36)&amp;"")</f>
        <v/>
      </c>
      <c r="C36">
        <f>IF($Y36="","",INDEX('Per Line'!$F$2:$F$1001,$Y36)&amp;"")</f>
        <v/>
      </c>
      <c r="D36">
        <f>IF($Y36="","",INDEX('Per Line'!$A$2:$A$1001,$Y36)&amp;"")</f>
        <v/>
      </c>
      <c r="E36">
        <f>IF($Y36="","",INDEX('Per Line'!$B$2:$B$1001,$Y36))</f>
        <v/>
      </c>
      <c r="F36">
        <f>IF($Y36="","",INDEX('Per Line'!$G$2:$G$1001,$Y36)&amp;"")</f>
        <v/>
      </c>
      <c r="G36" s="11">
        <f>IF($Y36="","",INDEX('Per Line'!$H$2:$H$1001,$Y36))</f>
        <v/>
      </c>
      <c r="H36">
        <f>IF($Y36="","",INDEX('Per Line'!$K$2:$K$1001,$Y36)&amp;"")</f>
        <v/>
      </c>
      <c r="I36">
        <f>IF($Y36="","",INDEX('Per Line'!$L$2:$L$1001,$Y36)&amp;"")</f>
        <v/>
      </c>
      <c r="J36">
        <f>IF($Y36="","",INDEX('Per Line'!$M$2:$M$1001,$Y36)&amp;"")</f>
        <v/>
      </c>
      <c r="K36">
        <f>IF($Y36="","",INDEX('Per Line'!$Q$2:$Q$1001,$Y36))</f>
        <v/>
      </c>
      <c r="L36" s="7">
        <f>IF($Y36="","",K36*W36/100)</f>
        <v/>
      </c>
      <c r="M36">
        <f>IF($Y36="","",INDEX('Per Line'!$AD$2:$AD$1001,$Y36)&amp;"")</f>
        <v/>
      </c>
      <c r="N36" s="7">
        <f>IF($Y36="","",SUMIFS('Per Line'!$Z$2:$Z$1001,'Per Line'!$E$2:$E$1001,$B36,'Per Line'!$AR$2:$AR$1001,1))</f>
        <v/>
      </c>
      <c r="O36">
        <f>IF($Y36="","",Settings!$C$7)</f>
        <v/>
      </c>
      <c r="P36" s="7">
        <f>IF($Y36="","",SUMIFS('Per Line'!$Z$2:$Z$1001,'Per Line'!$E$2:$E$1001,$B36,'Per Line'!$AQ$2:$AQ$1001,0,'Per Line'!$AR$2:$AR$1001,0))</f>
        <v/>
      </c>
      <c r="Q36" s="7">
        <f>IF($Y36="","",P36*O36)</f>
        <v/>
      </c>
      <c r="R36">
        <f>IF($Y36="","",Settings!$C$6)</f>
        <v/>
      </c>
      <c r="S36" s="7">
        <f>IF($Y36="","",SUMIFS('Per Line'!$Z$2:$Z$1001,'Per Line'!$E$2:$E$1001,$B36,'Per Line'!$AQ$2:$AQ$1001,1,'Per Line'!$AR$2:$AR$1001,0))</f>
        <v/>
      </c>
      <c r="T36" s="7">
        <f>IF($Y36="","",S36*R36)</f>
        <v/>
      </c>
      <c r="U36" s="7">
        <f>IF($Y36="","",T36+Q36)</f>
        <v/>
      </c>
      <c r="V36" s="7">
        <f>IF($Y36="","",W36-U36)</f>
        <v/>
      </c>
      <c r="W36" s="7">
        <f>IF($Y36="","",P36+S36+N36)</f>
        <v/>
      </c>
      <c r="X36" s="7">
        <f>IF($Y36="","",W36-U36-L36)</f>
        <v/>
      </c>
      <c r="Y36" s="13">
        <f>IF(ROWS($Y$2:$Y36)&lt;=MAX('Per Line'!$AP$2:$AP$1001),MATCH(ROWS($Y$2:$Y36),'Per Line'!$AP$2:$AP$1001,0),"")</f>
        <v/>
      </c>
    </row>
    <row r="37">
      <c r="A37" s="12" t="n"/>
      <c r="B37">
        <f>IF($Y37="","",INDEX('Per Line'!$E$2:$E$1001,$Y37)&amp;"")</f>
        <v/>
      </c>
      <c r="C37">
        <f>IF($Y37="","",INDEX('Per Line'!$F$2:$F$1001,$Y37)&amp;"")</f>
        <v/>
      </c>
      <c r="D37">
        <f>IF($Y37="","",INDEX('Per Line'!$A$2:$A$1001,$Y37)&amp;"")</f>
        <v/>
      </c>
      <c r="E37">
        <f>IF($Y37="","",INDEX('Per Line'!$B$2:$B$1001,$Y37))</f>
        <v/>
      </c>
      <c r="F37">
        <f>IF($Y37="","",INDEX('Per Line'!$G$2:$G$1001,$Y37)&amp;"")</f>
        <v/>
      </c>
      <c r="G37" s="11">
        <f>IF($Y37="","",INDEX('Per Line'!$H$2:$H$1001,$Y37))</f>
        <v/>
      </c>
      <c r="H37">
        <f>IF($Y37="","",INDEX('Per Line'!$K$2:$K$1001,$Y37)&amp;"")</f>
        <v/>
      </c>
      <c r="I37">
        <f>IF($Y37="","",INDEX('Per Line'!$L$2:$L$1001,$Y37)&amp;"")</f>
        <v/>
      </c>
      <c r="J37">
        <f>IF($Y37="","",INDEX('Per Line'!$M$2:$M$1001,$Y37)&amp;"")</f>
        <v/>
      </c>
      <c r="K37">
        <f>IF($Y37="","",INDEX('Per Line'!$Q$2:$Q$1001,$Y37))</f>
        <v/>
      </c>
      <c r="L37" s="7">
        <f>IF($Y37="","",K37*W37/100)</f>
        <v/>
      </c>
      <c r="M37">
        <f>IF($Y37="","",INDEX('Per Line'!$AD$2:$AD$1001,$Y37)&amp;"")</f>
        <v/>
      </c>
      <c r="N37" s="7">
        <f>IF($Y37="","",SUMIFS('Per Line'!$Z$2:$Z$1001,'Per Line'!$E$2:$E$1001,$B37,'Per Line'!$AR$2:$AR$1001,1))</f>
        <v/>
      </c>
      <c r="O37">
        <f>IF($Y37="","",Settings!$C$7)</f>
        <v/>
      </c>
      <c r="P37" s="7">
        <f>IF($Y37="","",SUMIFS('Per Line'!$Z$2:$Z$1001,'Per Line'!$E$2:$E$1001,$B37,'Per Line'!$AQ$2:$AQ$1001,0,'Per Line'!$AR$2:$AR$1001,0))</f>
        <v/>
      </c>
      <c r="Q37" s="7">
        <f>IF($Y37="","",P37*O37)</f>
        <v/>
      </c>
      <c r="R37">
        <f>IF($Y37="","",Settings!$C$6)</f>
        <v/>
      </c>
      <c r="S37" s="7">
        <f>IF($Y37="","",SUMIFS('Per Line'!$Z$2:$Z$1001,'Per Line'!$E$2:$E$1001,$B37,'Per Line'!$AQ$2:$AQ$1001,1,'Per Line'!$AR$2:$AR$1001,0))</f>
        <v/>
      </c>
      <c r="T37" s="7">
        <f>IF($Y37="","",S37*R37)</f>
        <v/>
      </c>
      <c r="U37" s="7">
        <f>IF($Y37="","",T37+Q37)</f>
        <v/>
      </c>
      <c r="V37" s="7">
        <f>IF($Y37="","",W37-U37)</f>
        <v/>
      </c>
      <c r="W37" s="7">
        <f>IF($Y37="","",P37+S37+N37)</f>
        <v/>
      </c>
      <c r="X37" s="7">
        <f>IF($Y37="","",W37-U37-L37)</f>
        <v/>
      </c>
      <c r="Y37" s="13">
        <f>IF(ROWS($Y$2:$Y37)&lt;=MAX('Per Line'!$AP$2:$AP$1001),MATCH(ROWS($Y$2:$Y37),'Per Line'!$AP$2:$AP$1001,0),"")</f>
        <v/>
      </c>
    </row>
    <row r="38">
      <c r="A38" s="12" t="n"/>
      <c r="B38">
        <f>IF($Y38="","",INDEX('Per Line'!$E$2:$E$1001,$Y38)&amp;"")</f>
        <v/>
      </c>
      <c r="C38">
        <f>IF($Y38="","",INDEX('Per Line'!$F$2:$F$1001,$Y38)&amp;"")</f>
        <v/>
      </c>
      <c r="D38">
        <f>IF($Y38="","",INDEX('Per Line'!$A$2:$A$1001,$Y38)&amp;"")</f>
        <v/>
      </c>
      <c r="E38">
        <f>IF($Y38="","",INDEX('Per Line'!$B$2:$B$1001,$Y38))</f>
        <v/>
      </c>
      <c r="F38">
        <f>IF($Y38="","",INDEX('Per Line'!$G$2:$G$1001,$Y38)&amp;"")</f>
        <v/>
      </c>
      <c r="G38" s="11">
        <f>IF($Y38="","",INDEX('Per Line'!$H$2:$H$1001,$Y38))</f>
        <v/>
      </c>
      <c r="H38">
        <f>IF($Y38="","",INDEX('Per Line'!$K$2:$K$1001,$Y38)&amp;"")</f>
        <v/>
      </c>
      <c r="I38">
        <f>IF($Y38="","",INDEX('Per Line'!$L$2:$L$1001,$Y38)&amp;"")</f>
        <v/>
      </c>
      <c r="J38">
        <f>IF($Y38="","",INDEX('Per Line'!$M$2:$M$1001,$Y38)&amp;"")</f>
        <v/>
      </c>
      <c r="K38">
        <f>IF($Y38="","",INDEX('Per Line'!$Q$2:$Q$1001,$Y38))</f>
        <v/>
      </c>
      <c r="L38" s="7">
        <f>IF($Y38="","",K38*W38/100)</f>
        <v/>
      </c>
      <c r="M38">
        <f>IF($Y38="","",INDEX('Per Line'!$AD$2:$AD$1001,$Y38)&amp;"")</f>
        <v/>
      </c>
      <c r="N38" s="7">
        <f>IF($Y38="","",SUMIFS('Per Line'!$Z$2:$Z$1001,'Per Line'!$E$2:$E$1001,$B38,'Per Line'!$AR$2:$AR$1001,1))</f>
        <v/>
      </c>
      <c r="O38">
        <f>IF($Y38="","",Settings!$C$7)</f>
        <v/>
      </c>
      <c r="P38" s="7">
        <f>IF($Y38="","",SUMIFS('Per Line'!$Z$2:$Z$1001,'Per Line'!$E$2:$E$1001,$B38,'Per Line'!$AQ$2:$AQ$1001,0,'Per Line'!$AR$2:$AR$1001,0))</f>
        <v/>
      </c>
      <c r="Q38" s="7">
        <f>IF($Y38="","",P38*O38)</f>
        <v/>
      </c>
      <c r="R38">
        <f>IF($Y38="","",Settings!$C$6)</f>
        <v/>
      </c>
      <c r="S38" s="7">
        <f>IF($Y38="","",SUMIFS('Per Line'!$Z$2:$Z$1001,'Per Line'!$E$2:$E$1001,$B38,'Per Line'!$AQ$2:$AQ$1001,1,'Per Line'!$AR$2:$AR$1001,0))</f>
        <v/>
      </c>
      <c r="T38" s="7">
        <f>IF($Y38="","",S38*R38)</f>
        <v/>
      </c>
      <c r="U38" s="7">
        <f>IF($Y38="","",T38+Q38)</f>
        <v/>
      </c>
      <c r="V38" s="7">
        <f>IF($Y38="","",W38-U38)</f>
        <v/>
      </c>
      <c r="W38" s="7">
        <f>IF($Y38="","",P38+S38+N38)</f>
        <v/>
      </c>
      <c r="X38" s="7">
        <f>IF($Y38="","",W38-U38-L38)</f>
        <v/>
      </c>
      <c r="Y38" s="13">
        <f>IF(ROWS($Y$2:$Y38)&lt;=MAX('Per Line'!$AP$2:$AP$1001),MATCH(ROWS($Y$2:$Y38),'Per Line'!$AP$2:$AP$1001,0),"")</f>
        <v/>
      </c>
    </row>
    <row r="39">
      <c r="A39" s="12" t="n"/>
      <c r="B39">
        <f>IF($Y39="","",INDEX('Per Line'!$E$2:$E$1001,$Y39)&amp;"")</f>
        <v/>
      </c>
      <c r="C39">
        <f>IF($Y39="","",INDEX('Per Line'!$F$2:$F$1001,$Y39)&amp;"")</f>
        <v/>
      </c>
      <c r="D39">
        <f>IF($Y39="","",INDEX('Per Line'!$A$2:$A$1001,$Y39)&amp;"")</f>
        <v/>
      </c>
      <c r="E39">
        <f>IF($Y39="","",INDEX('Per Line'!$B$2:$B$1001,$Y39))</f>
        <v/>
      </c>
      <c r="F39">
        <f>IF($Y39="","",INDEX('Per Line'!$G$2:$G$1001,$Y39)&amp;"")</f>
        <v/>
      </c>
      <c r="G39" s="11">
        <f>IF($Y39="","",INDEX('Per Line'!$H$2:$H$1001,$Y39))</f>
        <v/>
      </c>
      <c r="H39">
        <f>IF($Y39="","",INDEX('Per Line'!$K$2:$K$1001,$Y39)&amp;"")</f>
        <v/>
      </c>
      <c r="I39">
        <f>IF($Y39="","",INDEX('Per Line'!$L$2:$L$1001,$Y39)&amp;"")</f>
        <v/>
      </c>
      <c r="J39">
        <f>IF($Y39="","",INDEX('Per Line'!$M$2:$M$1001,$Y39)&amp;"")</f>
        <v/>
      </c>
      <c r="K39">
        <f>IF($Y39="","",INDEX('Per Line'!$Q$2:$Q$1001,$Y39))</f>
        <v/>
      </c>
      <c r="L39" s="7">
        <f>IF($Y39="","",K39*W39/100)</f>
        <v/>
      </c>
      <c r="M39">
        <f>IF($Y39="","",INDEX('Per Line'!$AD$2:$AD$1001,$Y39)&amp;"")</f>
        <v/>
      </c>
      <c r="N39" s="7">
        <f>IF($Y39="","",SUMIFS('Per Line'!$Z$2:$Z$1001,'Per Line'!$E$2:$E$1001,$B39,'Per Line'!$AR$2:$AR$1001,1))</f>
        <v/>
      </c>
      <c r="O39">
        <f>IF($Y39="","",Settings!$C$7)</f>
        <v/>
      </c>
      <c r="P39" s="7">
        <f>IF($Y39="","",SUMIFS('Per Line'!$Z$2:$Z$1001,'Per Line'!$E$2:$E$1001,$B39,'Per Line'!$AQ$2:$AQ$1001,0,'Per Line'!$AR$2:$AR$1001,0))</f>
        <v/>
      </c>
      <c r="Q39" s="7">
        <f>IF($Y39="","",P39*O39)</f>
        <v/>
      </c>
      <c r="R39">
        <f>IF($Y39="","",Settings!$C$6)</f>
        <v/>
      </c>
      <c r="S39" s="7">
        <f>IF($Y39="","",SUMIFS('Per Line'!$Z$2:$Z$1001,'Per Line'!$E$2:$E$1001,$B39,'Per Line'!$AQ$2:$AQ$1001,1,'Per Line'!$AR$2:$AR$1001,0))</f>
        <v/>
      </c>
      <c r="T39" s="7">
        <f>IF($Y39="","",S39*R39)</f>
        <v/>
      </c>
      <c r="U39" s="7">
        <f>IF($Y39="","",T39+Q39)</f>
        <v/>
      </c>
      <c r="V39" s="7">
        <f>IF($Y39="","",W39-U39)</f>
        <v/>
      </c>
      <c r="W39" s="7">
        <f>IF($Y39="","",P39+S39+N39)</f>
        <v/>
      </c>
      <c r="X39" s="7">
        <f>IF($Y39="","",W39-U39-L39)</f>
        <v/>
      </c>
      <c r="Y39" s="13">
        <f>IF(ROWS($Y$2:$Y39)&lt;=MAX('Per Line'!$AP$2:$AP$1001),MATCH(ROWS($Y$2:$Y39),'Per Line'!$AP$2:$AP$1001,0),"")</f>
        <v/>
      </c>
    </row>
    <row r="40">
      <c r="A40" s="12" t="n"/>
      <c r="B40">
        <f>IF($Y40="","",INDEX('Per Line'!$E$2:$E$1001,$Y40)&amp;"")</f>
        <v/>
      </c>
      <c r="C40">
        <f>IF($Y40="","",INDEX('Per Line'!$F$2:$F$1001,$Y40)&amp;"")</f>
        <v/>
      </c>
      <c r="D40">
        <f>IF($Y40="","",INDEX('Per Line'!$A$2:$A$1001,$Y40)&amp;"")</f>
        <v/>
      </c>
      <c r="E40">
        <f>IF($Y40="","",INDEX('Per Line'!$B$2:$B$1001,$Y40))</f>
        <v/>
      </c>
      <c r="F40">
        <f>IF($Y40="","",INDEX('Per Line'!$G$2:$G$1001,$Y40)&amp;"")</f>
        <v/>
      </c>
      <c r="G40" s="11">
        <f>IF($Y40="","",INDEX('Per Line'!$H$2:$H$1001,$Y40))</f>
        <v/>
      </c>
      <c r="H40">
        <f>IF($Y40="","",INDEX('Per Line'!$K$2:$K$1001,$Y40)&amp;"")</f>
        <v/>
      </c>
      <c r="I40">
        <f>IF($Y40="","",INDEX('Per Line'!$L$2:$L$1001,$Y40)&amp;"")</f>
        <v/>
      </c>
      <c r="J40">
        <f>IF($Y40="","",INDEX('Per Line'!$M$2:$M$1001,$Y40)&amp;"")</f>
        <v/>
      </c>
      <c r="K40">
        <f>IF($Y40="","",INDEX('Per Line'!$Q$2:$Q$1001,$Y40))</f>
        <v/>
      </c>
      <c r="L40" s="7">
        <f>IF($Y40="","",K40*W40/100)</f>
        <v/>
      </c>
      <c r="M40">
        <f>IF($Y40="","",INDEX('Per Line'!$AD$2:$AD$1001,$Y40)&amp;"")</f>
        <v/>
      </c>
      <c r="N40" s="7">
        <f>IF($Y40="","",SUMIFS('Per Line'!$Z$2:$Z$1001,'Per Line'!$E$2:$E$1001,$B40,'Per Line'!$AR$2:$AR$1001,1))</f>
        <v/>
      </c>
      <c r="O40">
        <f>IF($Y40="","",Settings!$C$7)</f>
        <v/>
      </c>
      <c r="P40" s="7">
        <f>IF($Y40="","",SUMIFS('Per Line'!$Z$2:$Z$1001,'Per Line'!$E$2:$E$1001,$B40,'Per Line'!$AQ$2:$AQ$1001,0,'Per Line'!$AR$2:$AR$1001,0))</f>
        <v/>
      </c>
      <c r="Q40" s="7">
        <f>IF($Y40="","",P40*O40)</f>
        <v/>
      </c>
      <c r="R40">
        <f>IF($Y40="","",Settings!$C$6)</f>
        <v/>
      </c>
      <c r="S40" s="7">
        <f>IF($Y40="","",SUMIFS('Per Line'!$Z$2:$Z$1001,'Per Line'!$E$2:$E$1001,$B40,'Per Line'!$AQ$2:$AQ$1001,1,'Per Line'!$AR$2:$AR$1001,0))</f>
        <v/>
      </c>
      <c r="T40" s="7">
        <f>IF($Y40="","",S40*R40)</f>
        <v/>
      </c>
      <c r="U40" s="7">
        <f>IF($Y40="","",T40+Q40)</f>
        <v/>
      </c>
      <c r="V40" s="7">
        <f>IF($Y40="","",W40-U40)</f>
        <v/>
      </c>
      <c r="W40" s="7">
        <f>IF($Y40="","",P40+S40+N40)</f>
        <v/>
      </c>
      <c r="X40" s="7">
        <f>IF($Y40="","",W40-U40-L40)</f>
        <v/>
      </c>
      <c r="Y40" s="13">
        <f>IF(ROWS($Y$2:$Y40)&lt;=MAX('Per Line'!$AP$2:$AP$1001),MATCH(ROWS($Y$2:$Y40),'Per Line'!$AP$2:$AP$1001,0),"")</f>
        <v/>
      </c>
    </row>
    <row r="41">
      <c r="A41" s="12" t="n"/>
      <c r="B41">
        <f>IF($Y41="","",INDEX('Per Line'!$E$2:$E$1001,$Y41)&amp;"")</f>
        <v/>
      </c>
      <c r="C41">
        <f>IF($Y41="","",INDEX('Per Line'!$F$2:$F$1001,$Y41)&amp;"")</f>
        <v/>
      </c>
      <c r="D41">
        <f>IF($Y41="","",INDEX('Per Line'!$A$2:$A$1001,$Y41)&amp;"")</f>
        <v/>
      </c>
      <c r="E41">
        <f>IF($Y41="","",INDEX('Per Line'!$B$2:$B$1001,$Y41))</f>
        <v/>
      </c>
      <c r="F41">
        <f>IF($Y41="","",INDEX('Per Line'!$G$2:$G$1001,$Y41)&amp;"")</f>
        <v/>
      </c>
      <c r="G41" s="11">
        <f>IF($Y41="","",INDEX('Per Line'!$H$2:$H$1001,$Y41))</f>
        <v/>
      </c>
      <c r="H41">
        <f>IF($Y41="","",INDEX('Per Line'!$K$2:$K$1001,$Y41)&amp;"")</f>
        <v/>
      </c>
      <c r="I41">
        <f>IF($Y41="","",INDEX('Per Line'!$L$2:$L$1001,$Y41)&amp;"")</f>
        <v/>
      </c>
      <c r="J41">
        <f>IF($Y41="","",INDEX('Per Line'!$M$2:$M$1001,$Y41)&amp;"")</f>
        <v/>
      </c>
      <c r="K41">
        <f>IF($Y41="","",INDEX('Per Line'!$Q$2:$Q$1001,$Y41))</f>
        <v/>
      </c>
      <c r="L41" s="7">
        <f>IF($Y41="","",K41*W41/100)</f>
        <v/>
      </c>
      <c r="M41">
        <f>IF($Y41="","",INDEX('Per Line'!$AD$2:$AD$1001,$Y41)&amp;"")</f>
        <v/>
      </c>
      <c r="N41" s="7">
        <f>IF($Y41="","",SUMIFS('Per Line'!$Z$2:$Z$1001,'Per Line'!$E$2:$E$1001,$B41,'Per Line'!$AR$2:$AR$1001,1))</f>
        <v/>
      </c>
      <c r="O41">
        <f>IF($Y41="","",Settings!$C$7)</f>
        <v/>
      </c>
      <c r="P41" s="7">
        <f>IF($Y41="","",SUMIFS('Per Line'!$Z$2:$Z$1001,'Per Line'!$E$2:$E$1001,$B41,'Per Line'!$AQ$2:$AQ$1001,0,'Per Line'!$AR$2:$AR$1001,0))</f>
        <v/>
      </c>
      <c r="Q41" s="7">
        <f>IF($Y41="","",P41*O41)</f>
        <v/>
      </c>
      <c r="R41">
        <f>IF($Y41="","",Settings!$C$6)</f>
        <v/>
      </c>
      <c r="S41" s="7">
        <f>IF($Y41="","",SUMIFS('Per Line'!$Z$2:$Z$1001,'Per Line'!$E$2:$E$1001,$B41,'Per Line'!$AQ$2:$AQ$1001,1,'Per Line'!$AR$2:$AR$1001,0))</f>
        <v/>
      </c>
      <c r="T41" s="7">
        <f>IF($Y41="","",S41*R41)</f>
        <v/>
      </c>
      <c r="U41" s="7">
        <f>IF($Y41="","",T41+Q41)</f>
        <v/>
      </c>
      <c r="V41" s="7">
        <f>IF($Y41="","",W41-U41)</f>
        <v/>
      </c>
      <c r="W41" s="7">
        <f>IF($Y41="","",P41+S41+N41)</f>
        <v/>
      </c>
      <c r="X41" s="7">
        <f>IF($Y41="","",W41-U41-L41)</f>
        <v/>
      </c>
      <c r="Y41" s="13">
        <f>IF(ROWS($Y$2:$Y41)&lt;=MAX('Per Line'!$AP$2:$AP$1001),MATCH(ROWS($Y$2:$Y41),'Per Line'!$AP$2:$AP$1001,0),"")</f>
        <v/>
      </c>
    </row>
    <row r="42">
      <c r="A42" s="12" t="n"/>
      <c r="B42">
        <f>IF($Y42="","",INDEX('Per Line'!$E$2:$E$1001,$Y42)&amp;"")</f>
        <v/>
      </c>
      <c r="C42">
        <f>IF($Y42="","",INDEX('Per Line'!$F$2:$F$1001,$Y42)&amp;"")</f>
        <v/>
      </c>
      <c r="D42">
        <f>IF($Y42="","",INDEX('Per Line'!$A$2:$A$1001,$Y42)&amp;"")</f>
        <v/>
      </c>
      <c r="E42">
        <f>IF($Y42="","",INDEX('Per Line'!$B$2:$B$1001,$Y42))</f>
        <v/>
      </c>
      <c r="F42">
        <f>IF($Y42="","",INDEX('Per Line'!$G$2:$G$1001,$Y42)&amp;"")</f>
        <v/>
      </c>
      <c r="G42" s="11">
        <f>IF($Y42="","",INDEX('Per Line'!$H$2:$H$1001,$Y42))</f>
        <v/>
      </c>
      <c r="H42">
        <f>IF($Y42="","",INDEX('Per Line'!$K$2:$K$1001,$Y42)&amp;"")</f>
        <v/>
      </c>
      <c r="I42">
        <f>IF($Y42="","",INDEX('Per Line'!$L$2:$L$1001,$Y42)&amp;"")</f>
        <v/>
      </c>
      <c r="J42">
        <f>IF($Y42="","",INDEX('Per Line'!$M$2:$M$1001,$Y42)&amp;"")</f>
        <v/>
      </c>
      <c r="K42">
        <f>IF($Y42="","",INDEX('Per Line'!$Q$2:$Q$1001,$Y42))</f>
        <v/>
      </c>
      <c r="L42" s="7">
        <f>IF($Y42="","",K42*W42/100)</f>
        <v/>
      </c>
      <c r="M42">
        <f>IF($Y42="","",INDEX('Per Line'!$AD$2:$AD$1001,$Y42)&amp;"")</f>
        <v/>
      </c>
      <c r="N42" s="7">
        <f>IF($Y42="","",SUMIFS('Per Line'!$Z$2:$Z$1001,'Per Line'!$E$2:$E$1001,$B42,'Per Line'!$AR$2:$AR$1001,1))</f>
        <v/>
      </c>
      <c r="O42">
        <f>IF($Y42="","",Settings!$C$7)</f>
        <v/>
      </c>
      <c r="P42" s="7">
        <f>IF($Y42="","",SUMIFS('Per Line'!$Z$2:$Z$1001,'Per Line'!$E$2:$E$1001,$B42,'Per Line'!$AQ$2:$AQ$1001,0,'Per Line'!$AR$2:$AR$1001,0))</f>
        <v/>
      </c>
      <c r="Q42" s="7">
        <f>IF($Y42="","",P42*O42)</f>
        <v/>
      </c>
      <c r="R42">
        <f>IF($Y42="","",Settings!$C$6)</f>
        <v/>
      </c>
      <c r="S42" s="7">
        <f>IF($Y42="","",SUMIFS('Per Line'!$Z$2:$Z$1001,'Per Line'!$E$2:$E$1001,$B42,'Per Line'!$AQ$2:$AQ$1001,1,'Per Line'!$AR$2:$AR$1001,0))</f>
        <v/>
      </c>
      <c r="T42" s="7">
        <f>IF($Y42="","",S42*R42)</f>
        <v/>
      </c>
      <c r="U42" s="7">
        <f>IF($Y42="","",T42+Q42)</f>
        <v/>
      </c>
      <c r="V42" s="7">
        <f>IF($Y42="","",W42-U42)</f>
        <v/>
      </c>
      <c r="W42" s="7">
        <f>IF($Y42="","",P42+S42+N42)</f>
        <v/>
      </c>
      <c r="X42" s="7">
        <f>IF($Y42="","",W42-U42-L42)</f>
        <v/>
      </c>
      <c r="Y42" s="13">
        <f>IF(ROWS($Y$2:$Y42)&lt;=MAX('Per Line'!$AP$2:$AP$1001),MATCH(ROWS($Y$2:$Y42),'Per Line'!$AP$2:$AP$1001,0),"")</f>
        <v/>
      </c>
    </row>
    <row r="43">
      <c r="A43" s="12" t="n"/>
      <c r="B43">
        <f>IF($Y43="","",INDEX('Per Line'!$E$2:$E$1001,$Y43)&amp;"")</f>
        <v/>
      </c>
      <c r="C43">
        <f>IF($Y43="","",INDEX('Per Line'!$F$2:$F$1001,$Y43)&amp;"")</f>
        <v/>
      </c>
      <c r="D43">
        <f>IF($Y43="","",INDEX('Per Line'!$A$2:$A$1001,$Y43)&amp;"")</f>
        <v/>
      </c>
      <c r="E43">
        <f>IF($Y43="","",INDEX('Per Line'!$B$2:$B$1001,$Y43))</f>
        <v/>
      </c>
      <c r="F43">
        <f>IF($Y43="","",INDEX('Per Line'!$G$2:$G$1001,$Y43)&amp;"")</f>
        <v/>
      </c>
      <c r="G43" s="11">
        <f>IF($Y43="","",INDEX('Per Line'!$H$2:$H$1001,$Y43))</f>
        <v/>
      </c>
      <c r="H43">
        <f>IF($Y43="","",INDEX('Per Line'!$K$2:$K$1001,$Y43)&amp;"")</f>
        <v/>
      </c>
      <c r="I43">
        <f>IF($Y43="","",INDEX('Per Line'!$L$2:$L$1001,$Y43)&amp;"")</f>
        <v/>
      </c>
      <c r="J43">
        <f>IF($Y43="","",INDEX('Per Line'!$M$2:$M$1001,$Y43)&amp;"")</f>
        <v/>
      </c>
      <c r="K43">
        <f>IF($Y43="","",INDEX('Per Line'!$Q$2:$Q$1001,$Y43))</f>
        <v/>
      </c>
      <c r="L43" s="7">
        <f>IF($Y43="","",K43*W43/100)</f>
        <v/>
      </c>
      <c r="M43">
        <f>IF($Y43="","",INDEX('Per Line'!$AD$2:$AD$1001,$Y43)&amp;"")</f>
        <v/>
      </c>
      <c r="N43" s="7">
        <f>IF($Y43="","",SUMIFS('Per Line'!$Z$2:$Z$1001,'Per Line'!$E$2:$E$1001,$B43,'Per Line'!$AR$2:$AR$1001,1))</f>
        <v/>
      </c>
      <c r="O43">
        <f>IF($Y43="","",Settings!$C$7)</f>
        <v/>
      </c>
      <c r="P43" s="7">
        <f>IF($Y43="","",SUMIFS('Per Line'!$Z$2:$Z$1001,'Per Line'!$E$2:$E$1001,$B43,'Per Line'!$AQ$2:$AQ$1001,0,'Per Line'!$AR$2:$AR$1001,0))</f>
        <v/>
      </c>
      <c r="Q43" s="7">
        <f>IF($Y43="","",P43*O43)</f>
        <v/>
      </c>
      <c r="R43">
        <f>IF($Y43="","",Settings!$C$6)</f>
        <v/>
      </c>
      <c r="S43" s="7">
        <f>IF($Y43="","",SUMIFS('Per Line'!$Z$2:$Z$1001,'Per Line'!$E$2:$E$1001,$B43,'Per Line'!$AQ$2:$AQ$1001,1,'Per Line'!$AR$2:$AR$1001,0))</f>
        <v/>
      </c>
      <c r="T43" s="7">
        <f>IF($Y43="","",S43*R43)</f>
        <v/>
      </c>
      <c r="U43" s="7">
        <f>IF($Y43="","",T43+Q43)</f>
        <v/>
      </c>
      <c r="V43" s="7">
        <f>IF($Y43="","",W43-U43)</f>
        <v/>
      </c>
      <c r="W43" s="7">
        <f>IF($Y43="","",P43+S43+N43)</f>
        <v/>
      </c>
      <c r="X43" s="7">
        <f>IF($Y43="","",W43-U43-L43)</f>
        <v/>
      </c>
      <c r="Y43" s="13">
        <f>IF(ROWS($Y$2:$Y43)&lt;=MAX('Per Line'!$AP$2:$AP$1001),MATCH(ROWS($Y$2:$Y43),'Per Line'!$AP$2:$AP$1001,0),"")</f>
        <v/>
      </c>
    </row>
    <row r="44">
      <c r="A44" s="12" t="n"/>
      <c r="B44">
        <f>IF($Y44="","",INDEX('Per Line'!$E$2:$E$1001,$Y44)&amp;"")</f>
        <v/>
      </c>
      <c r="C44">
        <f>IF($Y44="","",INDEX('Per Line'!$F$2:$F$1001,$Y44)&amp;"")</f>
        <v/>
      </c>
      <c r="D44">
        <f>IF($Y44="","",INDEX('Per Line'!$A$2:$A$1001,$Y44)&amp;"")</f>
        <v/>
      </c>
      <c r="E44">
        <f>IF($Y44="","",INDEX('Per Line'!$B$2:$B$1001,$Y44))</f>
        <v/>
      </c>
      <c r="F44">
        <f>IF($Y44="","",INDEX('Per Line'!$G$2:$G$1001,$Y44)&amp;"")</f>
        <v/>
      </c>
      <c r="G44" s="11">
        <f>IF($Y44="","",INDEX('Per Line'!$H$2:$H$1001,$Y44))</f>
        <v/>
      </c>
      <c r="H44">
        <f>IF($Y44="","",INDEX('Per Line'!$K$2:$K$1001,$Y44)&amp;"")</f>
        <v/>
      </c>
      <c r="I44">
        <f>IF($Y44="","",INDEX('Per Line'!$L$2:$L$1001,$Y44)&amp;"")</f>
        <v/>
      </c>
      <c r="J44">
        <f>IF($Y44="","",INDEX('Per Line'!$M$2:$M$1001,$Y44)&amp;"")</f>
        <v/>
      </c>
      <c r="K44">
        <f>IF($Y44="","",INDEX('Per Line'!$Q$2:$Q$1001,$Y44))</f>
        <v/>
      </c>
      <c r="L44" s="7">
        <f>IF($Y44="","",K44*W44/100)</f>
        <v/>
      </c>
      <c r="M44">
        <f>IF($Y44="","",INDEX('Per Line'!$AD$2:$AD$1001,$Y44)&amp;"")</f>
        <v/>
      </c>
      <c r="N44" s="7">
        <f>IF($Y44="","",SUMIFS('Per Line'!$Z$2:$Z$1001,'Per Line'!$E$2:$E$1001,$B44,'Per Line'!$AR$2:$AR$1001,1))</f>
        <v/>
      </c>
      <c r="O44">
        <f>IF($Y44="","",Settings!$C$7)</f>
        <v/>
      </c>
      <c r="P44" s="7">
        <f>IF($Y44="","",SUMIFS('Per Line'!$Z$2:$Z$1001,'Per Line'!$E$2:$E$1001,$B44,'Per Line'!$AQ$2:$AQ$1001,0,'Per Line'!$AR$2:$AR$1001,0))</f>
        <v/>
      </c>
      <c r="Q44" s="7">
        <f>IF($Y44="","",P44*O44)</f>
        <v/>
      </c>
      <c r="R44">
        <f>IF($Y44="","",Settings!$C$6)</f>
        <v/>
      </c>
      <c r="S44" s="7">
        <f>IF($Y44="","",SUMIFS('Per Line'!$Z$2:$Z$1001,'Per Line'!$E$2:$E$1001,$B44,'Per Line'!$AQ$2:$AQ$1001,1,'Per Line'!$AR$2:$AR$1001,0))</f>
        <v/>
      </c>
      <c r="T44" s="7">
        <f>IF($Y44="","",S44*R44)</f>
        <v/>
      </c>
      <c r="U44" s="7">
        <f>IF($Y44="","",T44+Q44)</f>
        <v/>
      </c>
      <c r="V44" s="7">
        <f>IF($Y44="","",W44-U44)</f>
        <v/>
      </c>
      <c r="W44" s="7">
        <f>IF($Y44="","",P44+S44+N44)</f>
        <v/>
      </c>
      <c r="X44" s="7">
        <f>IF($Y44="","",W44-U44-L44)</f>
        <v/>
      </c>
      <c r="Y44" s="13">
        <f>IF(ROWS($Y$2:$Y44)&lt;=MAX('Per Line'!$AP$2:$AP$1001),MATCH(ROWS($Y$2:$Y44),'Per Line'!$AP$2:$AP$1001,0),"")</f>
        <v/>
      </c>
    </row>
    <row r="45">
      <c r="A45" s="12" t="n"/>
      <c r="B45">
        <f>IF($Y45="","",INDEX('Per Line'!$E$2:$E$1001,$Y45)&amp;"")</f>
        <v/>
      </c>
      <c r="C45">
        <f>IF($Y45="","",INDEX('Per Line'!$F$2:$F$1001,$Y45)&amp;"")</f>
        <v/>
      </c>
      <c r="D45">
        <f>IF($Y45="","",INDEX('Per Line'!$A$2:$A$1001,$Y45)&amp;"")</f>
        <v/>
      </c>
      <c r="E45">
        <f>IF($Y45="","",INDEX('Per Line'!$B$2:$B$1001,$Y45))</f>
        <v/>
      </c>
      <c r="F45">
        <f>IF($Y45="","",INDEX('Per Line'!$G$2:$G$1001,$Y45)&amp;"")</f>
        <v/>
      </c>
      <c r="G45" s="11">
        <f>IF($Y45="","",INDEX('Per Line'!$H$2:$H$1001,$Y45))</f>
        <v/>
      </c>
      <c r="H45">
        <f>IF($Y45="","",INDEX('Per Line'!$K$2:$K$1001,$Y45)&amp;"")</f>
        <v/>
      </c>
      <c r="I45">
        <f>IF($Y45="","",INDEX('Per Line'!$L$2:$L$1001,$Y45)&amp;"")</f>
        <v/>
      </c>
      <c r="J45">
        <f>IF($Y45="","",INDEX('Per Line'!$M$2:$M$1001,$Y45)&amp;"")</f>
        <v/>
      </c>
      <c r="K45">
        <f>IF($Y45="","",INDEX('Per Line'!$Q$2:$Q$1001,$Y45))</f>
        <v/>
      </c>
      <c r="L45" s="7">
        <f>IF($Y45="","",K45*W45/100)</f>
        <v/>
      </c>
      <c r="M45">
        <f>IF($Y45="","",INDEX('Per Line'!$AD$2:$AD$1001,$Y45)&amp;"")</f>
        <v/>
      </c>
      <c r="N45" s="7">
        <f>IF($Y45="","",SUMIFS('Per Line'!$Z$2:$Z$1001,'Per Line'!$E$2:$E$1001,$B45,'Per Line'!$AR$2:$AR$1001,1))</f>
        <v/>
      </c>
      <c r="O45">
        <f>IF($Y45="","",Settings!$C$7)</f>
        <v/>
      </c>
      <c r="P45" s="7">
        <f>IF($Y45="","",SUMIFS('Per Line'!$Z$2:$Z$1001,'Per Line'!$E$2:$E$1001,$B45,'Per Line'!$AQ$2:$AQ$1001,0,'Per Line'!$AR$2:$AR$1001,0))</f>
        <v/>
      </c>
      <c r="Q45" s="7">
        <f>IF($Y45="","",P45*O45)</f>
        <v/>
      </c>
      <c r="R45">
        <f>IF($Y45="","",Settings!$C$6)</f>
        <v/>
      </c>
      <c r="S45" s="7">
        <f>IF($Y45="","",SUMIFS('Per Line'!$Z$2:$Z$1001,'Per Line'!$E$2:$E$1001,$B45,'Per Line'!$AQ$2:$AQ$1001,1,'Per Line'!$AR$2:$AR$1001,0))</f>
        <v/>
      </c>
      <c r="T45" s="7">
        <f>IF($Y45="","",S45*R45)</f>
        <v/>
      </c>
      <c r="U45" s="7">
        <f>IF($Y45="","",T45+Q45)</f>
        <v/>
      </c>
      <c r="V45" s="7">
        <f>IF($Y45="","",W45-U45)</f>
        <v/>
      </c>
      <c r="W45" s="7">
        <f>IF($Y45="","",P45+S45+N45)</f>
        <v/>
      </c>
      <c r="X45" s="7">
        <f>IF($Y45="","",W45-U45-L45)</f>
        <v/>
      </c>
      <c r="Y45" s="13">
        <f>IF(ROWS($Y$2:$Y45)&lt;=MAX('Per Line'!$AP$2:$AP$1001),MATCH(ROWS($Y$2:$Y45),'Per Line'!$AP$2:$AP$1001,0),"")</f>
        <v/>
      </c>
    </row>
    <row r="46">
      <c r="A46" s="12" t="n"/>
      <c r="B46">
        <f>IF($Y46="","",INDEX('Per Line'!$E$2:$E$1001,$Y46)&amp;"")</f>
        <v/>
      </c>
      <c r="C46">
        <f>IF($Y46="","",INDEX('Per Line'!$F$2:$F$1001,$Y46)&amp;"")</f>
        <v/>
      </c>
      <c r="D46">
        <f>IF($Y46="","",INDEX('Per Line'!$A$2:$A$1001,$Y46)&amp;"")</f>
        <v/>
      </c>
      <c r="E46">
        <f>IF($Y46="","",INDEX('Per Line'!$B$2:$B$1001,$Y46))</f>
        <v/>
      </c>
      <c r="F46">
        <f>IF($Y46="","",INDEX('Per Line'!$G$2:$G$1001,$Y46)&amp;"")</f>
        <v/>
      </c>
      <c r="G46" s="11">
        <f>IF($Y46="","",INDEX('Per Line'!$H$2:$H$1001,$Y46))</f>
        <v/>
      </c>
      <c r="H46">
        <f>IF($Y46="","",INDEX('Per Line'!$K$2:$K$1001,$Y46)&amp;"")</f>
        <v/>
      </c>
      <c r="I46">
        <f>IF($Y46="","",INDEX('Per Line'!$L$2:$L$1001,$Y46)&amp;"")</f>
        <v/>
      </c>
      <c r="J46">
        <f>IF($Y46="","",INDEX('Per Line'!$M$2:$M$1001,$Y46)&amp;"")</f>
        <v/>
      </c>
      <c r="K46">
        <f>IF($Y46="","",INDEX('Per Line'!$Q$2:$Q$1001,$Y46))</f>
        <v/>
      </c>
      <c r="L46" s="7">
        <f>IF($Y46="","",K46*W46/100)</f>
        <v/>
      </c>
      <c r="M46">
        <f>IF($Y46="","",INDEX('Per Line'!$AD$2:$AD$1001,$Y46)&amp;"")</f>
        <v/>
      </c>
      <c r="N46" s="7">
        <f>IF($Y46="","",SUMIFS('Per Line'!$Z$2:$Z$1001,'Per Line'!$E$2:$E$1001,$B46,'Per Line'!$AR$2:$AR$1001,1))</f>
        <v/>
      </c>
      <c r="O46">
        <f>IF($Y46="","",Settings!$C$7)</f>
        <v/>
      </c>
      <c r="P46" s="7">
        <f>IF($Y46="","",SUMIFS('Per Line'!$Z$2:$Z$1001,'Per Line'!$E$2:$E$1001,$B46,'Per Line'!$AQ$2:$AQ$1001,0,'Per Line'!$AR$2:$AR$1001,0))</f>
        <v/>
      </c>
      <c r="Q46" s="7">
        <f>IF($Y46="","",P46*O46)</f>
        <v/>
      </c>
      <c r="R46">
        <f>IF($Y46="","",Settings!$C$6)</f>
        <v/>
      </c>
      <c r="S46" s="7">
        <f>IF($Y46="","",SUMIFS('Per Line'!$Z$2:$Z$1001,'Per Line'!$E$2:$E$1001,$B46,'Per Line'!$AQ$2:$AQ$1001,1,'Per Line'!$AR$2:$AR$1001,0))</f>
        <v/>
      </c>
      <c r="T46" s="7">
        <f>IF($Y46="","",S46*R46)</f>
        <v/>
      </c>
      <c r="U46" s="7">
        <f>IF($Y46="","",T46+Q46)</f>
        <v/>
      </c>
      <c r="V46" s="7">
        <f>IF($Y46="","",W46-U46)</f>
        <v/>
      </c>
      <c r="W46" s="7">
        <f>IF($Y46="","",P46+S46+N46)</f>
        <v/>
      </c>
      <c r="X46" s="7">
        <f>IF($Y46="","",W46-U46-L46)</f>
        <v/>
      </c>
      <c r="Y46" s="13">
        <f>IF(ROWS($Y$2:$Y46)&lt;=MAX('Per Line'!$AP$2:$AP$1001),MATCH(ROWS($Y$2:$Y46),'Per Line'!$AP$2:$AP$1001,0),"")</f>
        <v/>
      </c>
    </row>
    <row r="47">
      <c r="A47" s="12" t="n"/>
      <c r="B47">
        <f>IF($Y47="","",INDEX('Per Line'!$E$2:$E$1001,$Y47)&amp;"")</f>
        <v/>
      </c>
      <c r="C47">
        <f>IF($Y47="","",INDEX('Per Line'!$F$2:$F$1001,$Y47)&amp;"")</f>
        <v/>
      </c>
      <c r="D47">
        <f>IF($Y47="","",INDEX('Per Line'!$A$2:$A$1001,$Y47)&amp;"")</f>
        <v/>
      </c>
      <c r="E47">
        <f>IF($Y47="","",INDEX('Per Line'!$B$2:$B$1001,$Y47))</f>
        <v/>
      </c>
      <c r="F47">
        <f>IF($Y47="","",INDEX('Per Line'!$G$2:$G$1001,$Y47)&amp;"")</f>
        <v/>
      </c>
      <c r="G47" s="11">
        <f>IF($Y47="","",INDEX('Per Line'!$H$2:$H$1001,$Y47))</f>
        <v/>
      </c>
      <c r="H47">
        <f>IF($Y47="","",INDEX('Per Line'!$K$2:$K$1001,$Y47)&amp;"")</f>
        <v/>
      </c>
      <c r="I47">
        <f>IF($Y47="","",INDEX('Per Line'!$L$2:$L$1001,$Y47)&amp;"")</f>
        <v/>
      </c>
      <c r="J47">
        <f>IF($Y47="","",INDEX('Per Line'!$M$2:$M$1001,$Y47)&amp;"")</f>
        <v/>
      </c>
      <c r="K47">
        <f>IF($Y47="","",INDEX('Per Line'!$Q$2:$Q$1001,$Y47))</f>
        <v/>
      </c>
      <c r="L47" s="7">
        <f>IF($Y47="","",K47*W47/100)</f>
        <v/>
      </c>
      <c r="M47">
        <f>IF($Y47="","",INDEX('Per Line'!$AD$2:$AD$1001,$Y47)&amp;"")</f>
        <v/>
      </c>
      <c r="N47" s="7">
        <f>IF($Y47="","",SUMIFS('Per Line'!$Z$2:$Z$1001,'Per Line'!$E$2:$E$1001,$B47,'Per Line'!$AR$2:$AR$1001,1))</f>
        <v/>
      </c>
      <c r="O47">
        <f>IF($Y47="","",Settings!$C$7)</f>
        <v/>
      </c>
      <c r="P47" s="7">
        <f>IF($Y47="","",SUMIFS('Per Line'!$Z$2:$Z$1001,'Per Line'!$E$2:$E$1001,$B47,'Per Line'!$AQ$2:$AQ$1001,0,'Per Line'!$AR$2:$AR$1001,0))</f>
        <v/>
      </c>
      <c r="Q47" s="7">
        <f>IF($Y47="","",P47*O47)</f>
        <v/>
      </c>
      <c r="R47">
        <f>IF($Y47="","",Settings!$C$6)</f>
        <v/>
      </c>
      <c r="S47" s="7">
        <f>IF($Y47="","",SUMIFS('Per Line'!$Z$2:$Z$1001,'Per Line'!$E$2:$E$1001,$B47,'Per Line'!$AQ$2:$AQ$1001,1,'Per Line'!$AR$2:$AR$1001,0))</f>
        <v/>
      </c>
      <c r="T47" s="7">
        <f>IF($Y47="","",S47*R47)</f>
        <v/>
      </c>
      <c r="U47" s="7">
        <f>IF($Y47="","",T47+Q47)</f>
        <v/>
      </c>
      <c r="V47" s="7">
        <f>IF($Y47="","",W47-U47)</f>
        <v/>
      </c>
      <c r="W47" s="7">
        <f>IF($Y47="","",P47+S47+N47)</f>
        <v/>
      </c>
      <c r="X47" s="7">
        <f>IF($Y47="","",W47-U47-L47)</f>
        <v/>
      </c>
      <c r="Y47" s="13">
        <f>IF(ROWS($Y$2:$Y47)&lt;=MAX('Per Line'!$AP$2:$AP$1001),MATCH(ROWS($Y$2:$Y47),'Per Line'!$AP$2:$AP$1001,0),"")</f>
        <v/>
      </c>
    </row>
    <row r="48">
      <c r="A48" s="12" t="n"/>
      <c r="B48">
        <f>IF($Y48="","",INDEX('Per Line'!$E$2:$E$1001,$Y48)&amp;"")</f>
        <v/>
      </c>
      <c r="C48">
        <f>IF($Y48="","",INDEX('Per Line'!$F$2:$F$1001,$Y48)&amp;"")</f>
        <v/>
      </c>
      <c r="D48">
        <f>IF($Y48="","",INDEX('Per Line'!$A$2:$A$1001,$Y48)&amp;"")</f>
        <v/>
      </c>
      <c r="E48">
        <f>IF($Y48="","",INDEX('Per Line'!$B$2:$B$1001,$Y48))</f>
        <v/>
      </c>
      <c r="F48">
        <f>IF($Y48="","",INDEX('Per Line'!$G$2:$G$1001,$Y48)&amp;"")</f>
        <v/>
      </c>
      <c r="G48" s="11">
        <f>IF($Y48="","",INDEX('Per Line'!$H$2:$H$1001,$Y48))</f>
        <v/>
      </c>
      <c r="H48">
        <f>IF($Y48="","",INDEX('Per Line'!$K$2:$K$1001,$Y48)&amp;"")</f>
        <v/>
      </c>
      <c r="I48">
        <f>IF($Y48="","",INDEX('Per Line'!$L$2:$L$1001,$Y48)&amp;"")</f>
        <v/>
      </c>
      <c r="J48">
        <f>IF($Y48="","",INDEX('Per Line'!$M$2:$M$1001,$Y48)&amp;"")</f>
        <v/>
      </c>
      <c r="K48">
        <f>IF($Y48="","",INDEX('Per Line'!$Q$2:$Q$1001,$Y48))</f>
        <v/>
      </c>
      <c r="L48" s="7">
        <f>IF($Y48="","",K48*W48/100)</f>
        <v/>
      </c>
      <c r="M48">
        <f>IF($Y48="","",INDEX('Per Line'!$AD$2:$AD$1001,$Y48)&amp;"")</f>
        <v/>
      </c>
      <c r="N48" s="7">
        <f>IF($Y48="","",SUMIFS('Per Line'!$Z$2:$Z$1001,'Per Line'!$E$2:$E$1001,$B48,'Per Line'!$AR$2:$AR$1001,1))</f>
        <v/>
      </c>
      <c r="O48">
        <f>IF($Y48="","",Settings!$C$7)</f>
        <v/>
      </c>
      <c r="P48" s="7">
        <f>IF($Y48="","",SUMIFS('Per Line'!$Z$2:$Z$1001,'Per Line'!$E$2:$E$1001,$B48,'Per Line'!$AQ$2:$AQ$1001,0,'Per Line'!$AR$2:$AR$1001,0))</f>
        <v/>
      </c>
      <c r="Q48" s="7">
        <f>IF($Y48="","",P48*O48)</f>
        <v/>
      </c>
      <c r="R48">
        <f>IF($Y48="","",Settings!$C$6)</f>
        <v/>
      </c>
      <c r="S48" s="7">
        <f>IF($Y48="","",SUMIFS('Per Line'!$Z$2:$Z$1001,'Per Line'!$E$2:$E$1001,$B48,'Per Line'!$AQ$2:$AQ$1001,1,'Per Line'!$AR$2:$AR$1001,0))</f>
        <v/>
      </c>
      <c r="T48" s="7">
        <f>IF($Y48="","",S48*R48)</f>
        <v/>
      </c>
      <c r="U48" s="7">
        <f>IF($Y48="","",T48+Q48)</f>
        <v/>
      </c>
      <c r="V48" s="7">
        <f>IF($Y48="","",W48-U48)</f>
        <v/>
      </c>
      <c r="W48" s="7">
        <f>IF($Y48="","",P48+S48+N48)</f>
        <v/>
      </c>
      <c r="X48" s="7">
        <f>IF($Y48="","",W48-U48-L48)</f>
        <v/>
      </c>
      <c r="Y48" s="13">
        <f>IF(ROWS($Y$2:$Y48)&lt;=MAX('Per Line'!$AP$2:$AP$1001),MATCH(ROWS($Y$2:$Y48),'Per Line'!$AP$2:$AP$1001,0),"")</f>
        <v/>
      </c>
    </row>
    <row r="49">
      <c r="A49" s="12" t="n"/>
      <c r="B49">
        <f>IF($Y49="","",INDEX('Per Line'!$E$2:$E$1001,$Y49)&amp;"")</f>
        <v/>
      </c>
      <c r="C49">
        <f>IF($Y49="","",INDEX('Per Line'!$F$2:$F$1001,$Y49)&amp;"")</f>
        <v/>
      </c>
      <c r="D49">
        <f>IF($Y49="","",INDEX('Per Line'!$A$2:$A$1001,$Y49)&amp;"")</f>
        <v/>
      </c>
      <c r="E49">
        <f>IF($Y49="","",INDEX('Per Line'!$B$2:$B$1001,$Y49))</f>
        <v/>
      </c>
      <c r="F49">
        <f>IF($Y49="","",INDEX('Per Line'!$G$2:$G$1001,$Y49)&amp;"")</f>
        <v/>
      </c>
      <c r="G49" s="11">
        <f>IF($Y49="","",INDEX('Per Line'!$H$2:$H$1001,$Y49))</f>
        <v/>
      </c>
      <c r="H49">
        <f>IF($Y49="","",INDEX('Per Line'!$K$2:$K$1001,$Y49)&amp;"")</f>
        <v/>
      </c>
      <c r="I49">
        <f>IF($Y49="","",INDEX('Per Line'!$L$2:$L$1001,$Y49)&amp;"")</f>
        <v/>
      </c>
      <c r="J49">
        <f>IF($Y49="","",INDEX('Per Line'!$M$2:$M$1001,$Y49)&amp;"")</f>
        <v/>
      </c>
      <c r="K49">
        <f>IF($Y49="","",INDEX('Per Line'!$Q$2:$Q$1001,$Y49))</f>
        <v/>
      </c>
      <c r="L49" s="7">
        <f>IF($Y49="","",K49*W49/100)</f>
        <v/>
      </c>
      <c r="M49">
        <f>IF($Y49="","",INDEX('Per Line'!$AD$2:$AD$1001,$Y49)&amp;"")</f>
        <v/>
      </c>
      <c r="N49" s="7">
        <f>IF($Y49="","",SUMIFS('Per Line'!$Z$2:$Z$1001,'Per Line'!$E$2:$E$1001,$B49,'Per Line'!$AR$2:$AR$1001,1))</f>
        <v/>
      </c>
      <c r="O49">
        <f>IF($Y49="","",Settings!$C$7)</f>
        <v/>
      </c>
      <c r="P49" s="7">
        <f>IF($Y49="","",SUMIFS('Per Line'!$Z$2:$Z$1001,'Per Line'!$E$2:$E$1001,$B49,'Per Line'!$AQ$2:$AQ$1001,0,'Per Line'!$AR$2:$AR$1001,0))</f>
        <v/>
      </c>
      <c r="Q49" s="7">
        <f>IF($Y49="","",P49*O49)</f>
        <v/>
      </c>
      <c r="R49">
        <f>IF($Y49="","",Settings!$C$6)</f>
        <v/>
      </c>
      <c r="S49" s="7">
        <f>IF($Y49="","",SUMIFS('Per Line'!$Z$2:$Z$1001,'Per Line'!$E$2:$E$1001,$B49,'Per Line'!$AQ$2:$AQ$1001,1,'Per Line'!$AR$2:$AR$1001,0))</f>
        <v/>
      </c>
      <c r="T49" s="7">
        <f>IF($Y49="","",S49*R49)</f>
        <v/>
      </c>
      <c r="U49" s="7">
        <f>IF($Y49="","",T49+Q49)</f>
        <v/>
      </c>
      <c r="V49" s="7">
        <f>IF($Y49="","",W49-U49)</f>
        <v/>
      </c>
      <c r="W49" s="7">
        <f>IF($Y49="","",P49+S49+N49)</f>
        <v/>
      </c>
      <c r="X49" s="7">
        <f>IF($Y49="","",W49-U49-L49)</f>
        <v/>
      </c>
      <c r="Y49" s="13">
        <f>IF(ROWS($Y$2:$Y49)&lt;=MAX('Per Line'!$AP$2:$AP$1001),MATCH(ROWS($Y$2:$Y49),'Per Line'!$AP$2:$AP$1001,0),"")</f>
        <v/>
      </c>
    </row>
    <row r="50">
      <c r="A50" s="12" t="n"/>
      <c r="B50">
        <f>IF($Y50="","",INDEX('Per Line'!$E$2:$E$1001,$Y50)&amp;"")</f>
        <v/>
      </c>
      <c r="C50">
        <f>IF($Y50="","",INDEX('Per Line'!$F$2:$F$1001,$Y50)&amp;"")</f>
        <v/>
      </c>
      <c r="D50">
        <f>IF($Y50="","",INDEX('Per Line'!$A$2:$A$1001,$Y50)&amp;"")</f>
        <v/>
      </c>
      <c r="E50">
        <f>IF($Y50="","",INDEX('Per Line'!$B$2:$B$1001,$Y50))</f>
        <v/>
      </c>
      <c r="F50">
        <f>IF($Y50="","",INDEX('Per Line'!$G$2:$G$1001,$Y50)&amp;"")</f>
        <v/>
      </c>
      <c r="G50" s="11">
        <f>IF($Y50="","",INDEX('Per Line'!$H$2:$H$1001,$Y50))</f>
        <v/>
      </c>
      <c r="H50">
        <f>IF($Y50="","",INDEX('Per Line'!$K$2:$K$1001,$Y50)&amp;"")</f>
        <v/>
      </c>
      <c r="I50">
        <f>IF($Y50="","",INDEX('Per Line'!$L$2:$L$1001,$Y50)&amp;"")</f>
        <v/>
      </c>
      <c r="J50">
        <f>IF($Y50="","",INDEX('Per Line'!$M$2:$M$1001,$Y50)&amp;"")</f>
        <v/>
      </c>
      <c r="K50">
        <f>IF($Y50="","",INDEX('Per Line'!$Q$2:$Q$1001,$Y50))</f>
        <v/>
      </c>
      <c r="L50" s="7">
        <f>IF($Y50="","",K50*W50/100)</f>
        <v/>
      </c>
      <c r="M50">
        <f>IF($Y50="","",INDEX('Per Line'!$AD$2:$AD$1001,$Y50)&amp;"")</f>
        <v/>
      </c>
      <c r="N50" s="7">
        <f>IF($Y50="","",SUMIFS('Per Line'!$Z$2:$Z$1001,'Per Line'!$E$2:$E$1001,$B50,'Per Line'!$AR$2:$AR$1001,1))</f>
        <v/>
      </c>
      <c r="O50">
        <f>IF($Y50="","",Settings!$C$7)</f>
        <v/>
      </c>
      <c r="P50" s="7">
        <f>IF($Y50="","",SUMIFS('Per Line'!$Z$2:$Z$1001,'Per Line'!$E$2:$E$1001,$B50,'Per Line'!$AQ$2:$AQ$1001,0,'Per Line'!$AR$2:$AR$1001,0))</f>
        <v/>
      </c>
      <c r="Q50" s="7">
        <f>IF($Y50="","",P50*O50)</f>
        <v/>
      </c>
      <c r="R50">
        <f>IF($Y50="","",Settings!$C$6)</f>
        <v/>
      </c>
      <c r="S50" s="7">
        <f>IF($Y50="","",SUMIFS('Per Line'!$Z$2:$Z$1001,'Per Line'!$E$2:$E$1001,$B50,'Per Line'!$AQ$2:$AQ$1001,1,'Per Line'!$AR$2:$AR$1001,0))</f>
        <v/>
      </c>
      <c r="T50" s="7">
        <f>IF($Y50="","",S50*R50)</f>
        <v/>
      </c>
      <c r="U50" s="7">
        <f>IF($Y50="","",T50+Q50)</f>
        <v/>
      </c>
      <c r="V50" s="7">
        <f>IF($Y50="","",W50-U50)</f>
        <v/>
      </c>
      <c r="W50" s="7">
        <f>IF($Y50="","",P50+S50+N50)</f>
        <v/>
      </c>
      <c r="X50" s="7">
        <f>IF($Y50="","",W50-U50-L50)</f>
        <v/>
      </c>
      <c r="Y50" s="13">
        <f>IF(ROWS($Y$2:$Y50)&lt;=MAX('Per Line'!$AP$2:$AP$1001),MATCH(ROWS($Y$2:$Y50),'Per Line'!$AP$2:$AP$1001,0),"")</f>
        <v/>
      </c>
    </row>
    <row r="51">
      <c r="A51" s="12" t="n"/>
      <c r="B51">
        <f>IF($Y51="","",INDEX('Per Line'!$E$2:$E$1001,$Y51)&amp;"")</f>
        <v/>
      </c>
      <c r="C51">
        <f>IF($Y51="","",INDEX('Per Line'!$F$2:$F$1001,$Y51)&amp;"")</f>
        <v/>
      </c>
      <c r="D51">
        <f>IF($Y51="","",INDEX('Per Line'!$A$2:$A$1001,$Y51)&amp;"")</f>
        <v/>
      </c>
      <c r="E51">
        <f>IF($Y51="","",INDEX('Per Line'!$B$2:$B$1001,$Y51))</f>
        <v/>
      </c>
      <c r="F51">
        <f>IF($Y51="","",INDEX('Per Line'!$G$2:$G$1001,$Y51)&amp;"")</f>
        <v/>
      </c>
      <c r="G51" s="11">
        <f>IF($Y51="","",INDEX('Per Line'!$H$2:$H$1001,$Y51))</f>
        <v/>
      </c>
      <c r="H51">
        <f>IF($Y51="","",INDEX('Per Line'!$K$2:$K$1001,$Y51)&amp;"")</f>
        <v/>
      </c>
      <c r="I51">
        <f>IF($Y51="","",INDEX('Per Line'!$L$2:$L$1001,$Y51)&amp;"")</f>
        <v/>
      </c>
      <c r="J51">
        <f>IF($Y51="","",INDEX('Per Line'!$M$2:$M$1001,$Y51)&amp;"")</f>
        <v/>
      </c>
      <c r="K51">
        <f>IF($Y51="","",INDEX('Per Line'!$Q$2:$Q$1001,$Y51))</f>
        <v/>
      </c>
      <c r="L51" s="7">
        <f>IF($Y51="","",K51*W51/100)</f>
        <v/>
      </c>
      <c r="M51">
        <f>IF($Y51="","",INDEX('Per Line'!$AD$2:$AD$1001,$Y51)&amp;"")</f>
        <v/>
      </c>
      <c r="N51" s="7">
        <f>IF($Y51="","",SUMIFS('Per Line'!$Z$2:$Z$1001,'Per Line'!$E$2:$E$1001,$B51,'Per Line'!$AR$2:$AR$1001,1))</f>
        <v/>
      </c>
      <c r="O51">
        <f>IF($Y51="","",Settings!$C$7)</f>
        <v/>
      </c>
      <c r="P51" s="7">
        <f>IF($Y51="","",SUMIFS('Per Line'!$Z$2:$Z$1001,'Per Line'!$E$2:$E$1001,$B51,'Per Line'!$AQ$2:$AQ$1001,0,'Per Line'!$AR$2:$AR$1001,0))</f>
        <v/>
      </c>
      <c r="Q51" s="7">
        <f>IF($Y51="","",P51*O51)</f>
        <v/>
      </c>
      <c r="R51">
        <f>IF($Y51="","",Settings!$C$6)</f>
        <v/>
      </c>
      <c r="S51" s="7">
        <f>IF($Y51="","",SUMIFS('Per Line'!$Z$2:$Z$1001,'Per Line'!$E$2:$E$1001,$B51,'Per Line'!$AQ$2:$AQ$1001,1,'Per Line'!$AR$2:$AR$1001,0))</f>
        <v/>
      </c>
      <c r="T51" s="7">
        <f>IF($Y51="","",S51*R51)</f>
        <v/>
      </c>
      <c r="U51" s="7">
        <f>IF($Y51="","",T51+Q51)</f>
        <v/>
      </c>
      <c r="V51" s="7">
        <f>IF($Y51="","",W51-U51)</f>
        <v/>
      </c>
      <c r="W51" s="7">
        <f>IF($Y51="","",P51+S51+N51)</f>
        <v/>
      </c>
      <c r="X51" s="7">
        <f>IF($Y51="","",W51-U51-L51)</f>
        <v/>
      </c>
      <c r="Y51" s="13">
        <f>IF(ROWS($Y$2:$Y51)&lt;=MAX('Per Line'!$AP$2:$AP$1001),MATCH(ROWS($Y$2:$Y51),'Per Line'!$AP$2:$AP$1001,0),"")</f>
        <v/>
      </c>
    </row>
    <row r="52">
      <c r="A52" s="12" t="n"/>
      <c r="B52">
        <f>IF($Y52="","",INDEX('Per Line'!$E$2:$E$1001,$Y52)&amp;"")</f>
        <v/>
      </c>
      <c r="C52">
        <f>IF($Y52="","",INDEX('Per Line'!$F$2:$F$1001,$Y52)&amp;"")</f>
        <v/>
      </c>
      <c r="D52">
        <f>IF($Y52="","",INDEX('Per Line'!$A$2:$A$1001,$Y52)&amp;"")</f>
        <v/>
      </c>
      <c r="E52">
        <f>IF($Y52="","",INDEX('Per Line'!$B$2:$B$1001,$Y52))</f>
        <v/>
      </c>
      <c r="F52">
        <f>IF($Y52="","",INDEX('Per Line'!$G$2:$G$1001,$Y52)&amp;"")</f>
        <v/>
      </c>
      <c r="G52" s="11">
        <f>IF($Y52="","",INDEX('Per Line'!$H$2:$H$1001,$Y52))</f>
        <v/>
      </c>
      <c r="H52">
        <f>IF($Y52="","",INDEX('Per Line'!$K$2:$K$1001,$Y52)&amp;"")</f>
        <v/>
      </c>
      <c r="I52">
        <f>IF($Y52="","",INDEX('Per Line'!$L$2:$L$1001,$Y52)&amp;"")</f>
        <v/>
      </c>
      <c r="J52">
        <f>IF($Y52="","",INDEX('Per Line'!$M$2:$M$1001,$Y52)&amp;"")</f>
        <v/>
      </c>
      <c r="K52">
        <f>IF($Y52="","",INDEX('Per Line'!$Q$2:$Q$1001,$Y52))</f>
        <v/>
      </c>
      <c r="L52" s="7">
        <f>IF($Y52="","",K52*W52/100)</f>
        <v/>
      </c>
      <c r="M52">
        <f>IF($Y52="","",INDEX('Per Line'!$AD$2:$AD$1001,$Y52)&amp;"")</f>
        <v/>
      </c>
      <c r="N52" s="7">
        <f>IF($Y52="","",SUMIFS('Per Line'!$Z$2:$Z$1001,'Per Line'!$E$2:$E$1001,$B52,'Per Line'!$AR$2:$AR$1001,1))</f>
        <v/>
      </c>
      <c r="O52">
        <f>IF($Y52="","",Settings!$C$7)</f>
        <v/>
      </c>
      <c r="P52" s="7">
        <f>IF($Y52="","",SUMIFS('Per Line'!$Z$2:$Z$1001,'Per Line'!$E$2:$E$1001,$B52,'Per Line'!$AQ$2:$AQ$1001,0,'Per Line'!$AR$2:$AR$1001,0))</f>
        <v/>
      </c>
      <c r="Q52" s="7">
        <f>IF($Y52="","",P52*O52)</f>
        <v/>
      </c>
      <c r="R52">
        <f>IF($Y52="","",Settings!$C$6)</f>
        <v/>
      </c>
      <c r="S52" s="7">
        <f>IF($Y52="","",SUMIFS('Per Line'!$Z$2:$Z$1001,'Per Line'!$E$2:$E$1001,$B52,'Per Line'!$AQ$2:$AQ$1001,1,'Per Line'!$AR$2:$AR$1001,0))</f>
        <v/>
      </c>
      <c r="T52" s="7">
        <f>IF($Y52="","",S52*R52)</f>
        <v/>
      </c>
      <c r="U52" s="7">
        <f>IF($Y52="","",T52+Q52)</f>
        <v/>
      </c>
      <c r="V52" s="7">
        <f>IF($Y52="","",W52-U52)</f>
        <v/>
      </c>
      <c r="W52" s="7">
        <f>IF($Y52="","",P52+S52+N52)</f>
        <v/>
      </c>
      <c r="X52" s="7">
        <f>IF($Y52="","",W52-U52-L52)</f>
        <v/>
      </c>
      <c r="Y52" s="13">
        <f>IF(ROWS($Y$2:$Y52)&lt;=MAX('Per Line'!$AP$2:$AP$1001),MATCH(ROWS($Y$2:$Y52),'Per Line'!$AP$2:$AP$1001,0),"")</f>
        <v/>
      </c>
    </row>
    <row r="53">
      <c r="A53" s="12" t="n"/>
      <c r="B53">
        <f>IF($Y53="","",INDEX('Per Line'!$E$2:$E$1001,$Y53)&amp;"")</f>
        <v/>
      </c>
      <c r="C53">
        <f>IF($Y53="","",INDEX('Per Line'!$F$2:$F$1001,$Y53)&amp;"")</f>
        <v/>
      </c>
      <c r="D53">
        <f>IF($Y53="","",INDEX('Per Line'!$A$2:$A$1001,$Y53)&amp;"")</f>
        <v/>
      </c>
      <c r="E53">
        <f>IF($Y53="","",INDEX('Per Line'!$B$2:$B$1001,$Y53))</f>
        <v/>
      </c>
      <c r="F53">
        <f>IF($Y53="","",INDEX('Per Line'!$G$2:$G$1001,$Y53)&amp;"")</f>
        <v/>
      </c>
      <c r="G53" s="11">
        <f>IF($Y53="","",INDEX('Per Line'!$H$2:$H$1001,$Y53))</f>
        <v/>
      </c>
      <c r="H53">
        <f>IF($Y53="","",INDEX('Per Line'!$K$2:$K$1001,$Y53)&amp;"")</f>
        <v/>
      </c>
      <c r="I53">
        <f>IF($Y53="","",INDEX('Per Line'!$L$2:$L$1001,$Y53)&amp;"")</f>
        <v/>
      </c>
      <c r="J53">
        <f>IF($Y53="","",INDEX('Per Line'!$M$2:$M$1001,$Y53)&amp;"")</f>
        <v/>
      </c>
      <c r="K53">
        <f>IF($Y53="","",INDEX('Per Line'!$Q$2:$Q$1001,$Y53))</f>
        <v/>
      </c>
      <c r="L53" s="7">
        <f>IF($Y53="","",K53*W53/100)</f>
        <v/>
      </c>
      <c r="M53">
        <f>IF($Y53="","",INDEX('Per Line'!$AD$2:$AD$1001,$Y53)&amp;"")</f>
        <v/>
      </c>
      <c r="N53" s="7">
        <f>IF($Y53="","",SUMIFS('Per Line'!$Z$2:$Z$1001,'Per Line'!$E$2:$E$1001,$B53,'Per Line'!$AR$2:$AR$1001,1))</f>
        <v/>
      </c>
      <c r="O53">
        <f>IF($Y53="","",Settings!$C$7)</f>
        <v/>
      </c>
      <c r="P53" s="7">
        <f>IF($Y53="","",SUMIFS('Per Line'!$Z$2:$Z$1001,'Per Line'!$E$2:$E$1001,$B53,'Per Line'!$AQ$2:$AQ$1001,0,'Per Line'!$AR$2:$AR$1001,0))</f>
        <v/>
      </c>
      <c r="Q53" s="7">
        <f>IF($Y53="","",P53*O53)</f>
        <v/>
      </c>
      <c r="R53">
        <f>IF($Y53="","",Settings!$C$6)</f>
        <v/>
      </c>
      <c r="S53" s="7">
        <f>IF($Y53="","",SUMIFS('Per Line'!$Z$2:$Z$1001,'Per Line'!$E$2:$E$1001,$B53,'Per Line'!$AQ$2:$AQ$1001,1,'Per Line'!$AR$2:$AR$1001,0))</f>
        <v/>
      </c>
      <c r="T53" s="7">
        <f>IF($Y53="","",S53*R53)</f>
        <v/>
      </c>
      <c r="U53" s="7">
        <f>IF($Y53="","",T53+Q53)</f>
        <v/>
      </c>
      <c r="V53" s="7">
        <f>IF($Y53="","",W53-U53)</f>
        <v/>
      </c>
      <c r="W53" s="7">
        <f>IF($Y53="","",P53+S53+N53)</f>
        <v/>
      </c>
      <c r="X53" s="7">
        <f>IF($Y53="","",W53-U53-L53)</f>
        <v/>
      </c>
      <c r="Y53" s="13">
        <f>IF(ROWS($Y$2:$Y53)&lt;=MAX('Per Line'!$AP$2:$AP$1001),MATCH(ROWS($Y$2:$Y53),'Per Line'!$AP$2:$AP$1001,0),"")</f>
        <v/>
      </c>
    </row>
    <row r="54">
      <c r="A54" s="12" t="n"/>
      <c r="B54">
        <f>IF($Y54="","",INDEX('Per Line'!$E$2:$E$1001,$Y54)&amp;"")</f>
        <v/>
      </c>
      <c r="C54">
        <f>IF($Y54="","",INDEX('Per Line'!$F$2:$F$1001,$Y54)&amp;"")</f>
        <v/>
      </c>
      <c r="D54">
        <f>IF($Y54="","",INDEX('Per Line'!$A$2:$A$1001,$Y54)&amp;"")</f>
        <v/>
      </c>
      <c r="E54">
        <f>IF($Y54="","",INDEX('Per Line'!$B$2:$B$1001,$Y54))</f>
        <v/>
      </c>
      <c r="F54">
        <f>IF($Y54="","",INDEX('Per Line'!$G$2:$G$1001,$Y54)&amp;"")</f>
        <v/>
      </c>
      <c r="G54" s="11">
        <f>IF($Y54="","",INDEX('Per Line'!$H$2:$H$1001,$Y54))</f>
        <v/>
      </c>
      <c r="H54">
        <f>IF($Y54="","",INDEX('Per Line'!$K$2:$K$1001,$Y54)&amp;"")</f>
        <v/>
      </c>
      <c r="I54">
        <f>IF($Y54="","",INDEX('Per Line'!$L$2:$L$1001,$Y54)&amp;"")</f>
        <v/>
      </c>
      <c r="J54">
        <f>IF($Y54="","",INDEX('Per Line'!$M$2:$M$1001,$Y54)&amp;"")</f>
        <v/>
      </c>
      <c r="K54">
        <f>IF($Y54="","",INDEX('Per Line'!$Q$2:$Q$1001,$Y54))</f>
        <v/>
      </c>
      <c r="L54" s="7">
        <f>IF($Y54="","",K54*W54/100)</f>
        <v/>
      </c>
      <c r="M54">
        <f>IF($Y54="","",INDEX('Per Line'!$AD$2:$AD$1001,$Y54)&amp;"")</f>
        <v/>
      </c>
      <c r="N54" s="7">
        <f>IF($Y54="","",SUMIFS('Per Line'!$Z$2:$Z$1001,'Per Line'!$E$2:$E$1001,$B54,'Per Line'!$AR$2:$AR$1001,1))</f>
        <v/>
      </c>
      <c r="O54">
        <f>IF($Y54="","",Settings!$C$7)</f>
        <v/>
      </c>
      <c r="P54" s="7">
        <f>IF($Y54="","",SUMIFS('Per Line'!$Z$2:$Z$1001,'Per Line'!$E$2:$E$1001,$B54,'Per Line'!$AQ$2:$AQ$1001,0,'Per Line'!$AR$2:$AR$1001,0))</f>
        <v/>
      </c>
      <c r="Q54" s="7">
        <f>IF($Y54="","",P54*O54)</f>
        <v/>
      </c>
      <c r="R54">
        <f>IF($Y54="","",Settings!$C$6)</f>
        <v/>
      </c>
      <c r="S54" s="7">
        <f>IF($Y54="","",SUMIFS('Per Line'!$Z$2:$Z$1001,'Per Line'!$E$2:$E$1001,$B54,'Per Line'!$AQ$2:$AQ$1001,1,'Per Line'!$AR$2:$AR$1001,0))</f>
        <v/>
      </c>
      <c r="T54" s="7">
        <f>IF($Y54="","",S54*R54)</f>
        <v/>
      </c>
      <c r="U54" s="7">
        <f>IF($Y54="","",T54+Q54)</f>
        <v/>
      </c>
      <c r="V54" s="7">
        <f>IF($Y54="","",W54-U54)</f>
        <v/>
      </c>
      <c r="W54" s="7">
        <f>IF($Y54="","",P54+S54+N54)</f>
        <v/>
      </c>
      <c r="X54" s="7">
        <f>IF($Y54="","",W54-U54-L54)</f>
        <v/>
      </c>
      <c r="Y54" s="13">
        <f>IF(ROWS($Y$2:$Y54)&lt;=MAX('Per Line'!$AP$2:$AP$1001),MATCH(ROWS($Y$2:$Y54),'Per Line'!$AP$2:$AP$1001,0),"")</f>
        <v/>
      </c>
    </row>
    <row r="55">
      <c r="A55" s="12" t="n"/>
      <c r="B55">
        <f>IF($Y55="","",INDEX('Per Line'!$E$2:$E$1001,$Y55)&amp;"")</f>
        <v/>
      </c>
      <c r="C55">
        <f>IF($Y55="","",INDEX('Per Line'!$F$2:$F$1001,$Y55)&amp;"")</f>
        <v/>
      </c>
      <c r="D55">
        <f>IF($Y55="","",INDEX('Per Line'!$A$2:$A$1001,$Y55)&amp;"")</f>
        <v/>
      </c>
      <c r="E55">
        <f>IF($Y55="","",INDEX('Per Line'!$B$2:$B$1001,$Y55))</f>
        <v/>
      </c>
      <c r="F55">
        <f>IF($Y55="","",INDEX('Per Line'!$G$2:$G$1001,$Y55)&amp;"")</f>
        <v/>
      </c>
      <c r="G55" s="11">
        <f>IF($Y55="","",INDEX('Per Line'!$H$2:$H$1001,$Y55))</f>
        <v/>
      </c>
      <c r="H55">
        <f>IF($Y55="","",INDEX('Per Line'!$K$2:$K$1001,$Y55)&amp;"")</f>
        <v/>
      </c>
      <c r="I55">
        <f>IF($Y55="","",INDEX('Per Line'!$L$2:$L$1001,$Y55)&amp;"")</f>
        <v/>
      </c>
      <c r="J55">
        <f>IF($Y55="","",INDEX('Per Line'!$M$2:$M$1001,$Y55)&amp;"")</f>
        <v/>
      </c>
      <c r="K55">
        <f>IF($Y55="","",INDEX('Per Line'!$Q$2:$Q$1001,$Y55))</f>
        <v/>
      </c>
      <c r="L55" s="7">
        <f>IF($Y55="","",K55*W55/100)</f>
        <v/>
      </c>
      <c r="M55">
        <f>IF($Y55="","",INDEX('Per Line'!$AD$2:$AD$1001,$Y55)&amp;"")</f>
        <v/>
      </c>
      <c r="N55" s="7">
        <f>IF($Y55="","",SUMIFS('Per Line'!$Z$2:$Z$1001,'Per Line'!$E$2:$E$1001,$B55,'Per Line'!$AR$2:$AR$1001,1))</f>
        <v/>
      </c>
      <c r="O55">
        <f>IF($Y55="","",Settings!$C$7)</f>
        <v/>
      </c>
      <c r="P55" s="7">
        <f>IF($Y55="","",SUMIFS('Per Line'!$Z$2:$Z$1001,'Per Line'!$E$2:$E$1001,$B55,'Per Line'!$AQ$2:$AQ$1001,0,'Per Line'!$AR$2:$AR$1001,0))</f>
        <v/>
      </c>
      <c r="Q55" s="7">
        <f>IF($Y55="","",P55*O55)</f>
        <v/>
      </c>
      <c r="R55">
        <f>IF($Y55="","",Settings!$C$6)</f>
        <v/>
      </c>
      <c r="S55" s="7">
        <f>IF($Y55="","",SUMIFS('Per Line'!$Z$2:$Z$1001,'Per Line'!$E$2:$E$1001,$B55,'Per Line'!$AQ$2:$AQ$1001,1,'Per Line'!$AR$2:$AR$1001,0))</f>
        <v/>
      </c>
      <c r="T55" s="7">
        <f>IF($Y55="","",S55*R55)</f>
        <v/>
      </c>
      <c r="U55" s="7">
        <f>IF($Y55="","",T55+Q55)</f>
        <v/>
      </c>
      <c r="V55" s="7">
        <f>IF($Y55="","",W55-U55)</f>
        <v/>
      </c>
      <c r="W55" s="7">
        <f>IF($Y55="","",P55+S55+N55)</f>
        <v/>
      </c>
      <c r="X55" s="7">
        <f>IF($Y55="","",W55-U55-L55)</f>
        <v/>
      </c>
      <c r="Y55" s="13">
        <f>IF(ROWS($Y$2:$Y55)&lt;=MAX('Per Line'!$AP$2:$AP$1001),MATCH(ROWS($Y$2:$Y55),'Per Line'!$AP$2:$AP$1001,0),"")</f>
        <v/>
      </c>
    </row>
    <row r="56">
      <c r="A56" s="12" t="n"/>
      <c r="B56">
        <f>IF($Y56="","",INDEX('Per Line'!$E$2:$E$1001,$Y56)&amp;"")</f>
        <v/>
      </c>
      <c r="C56">
        <f>IF($Y56="","",INDEX('Per Line'!$F$2:$F$1001,$Y56)&amp;"")</f>
        <v/>
      </c>
      <c r="D56">
        <f>IF($Y56="","",INDEX('Per Line'!$A$2:$A$1001,$Y56)&amp;"")</f>
        <v/>
      </c>
      <c r="E56">
        <f>IF($Y56="","",INDEX('Per Line'!$B$2:$B$1001,$Y56))</f>
        <v/>
      </c>
      <c r="F56">
        <f>IF($Y56="","",INDEX('Per Line'!$G$2:$G$1001,$Y56)&amp;"")</f>
        <v/>
      </c>
      <c r="G56" s="11">
        <f>IF($Y56="","",INDEX('Per Line'!$H$2:$H$1001,$Y56))</f>
        <v/>
      </c>
      <c r="H56">
        <f>IF($Y56="","",INDEX('Per Line'!$K$2:$K$1001,$Y56)&amp;"")</f>
        <v/>
      </c>
      <c r="I56">
        <f>IF($Y56="","",INDEX('Per Line'!$L$2:$L$1001,$Y56)&amp;"")</f>
        <v/>
      </c>
      <c r="J56">
        <f>IF($Y56="","",INDEX('Per Line'!$M$2:$M$1001,$Y56)&amp;"")</f>
        <v/>
      </c>
      <c r="K56">
        <f>IF($Y56="","",INDEX('Per Line'!$Q$2:$Q$1001,$Y56))</f>
        <v/>
      </c>
      <c r="L56" s="7">
        <f>IF($Y56="","",K56*W56/100)</f>
        <v/>
      </c>
      <c r="M56">
        <f>IF($Y56="","",INDEX('Per Line'!$AD$2:$AD$1001,$Y56)&amp;"")</f>
        <v/>
      </c>
      <c r="N56" s="7">
        <f>IF($Y56="","",SUMIFS('Per Line'!$Z$2:$Z$1001,'Per Line'!$E$2:$E$1001,$B56,'Per Line'!$AR$2:$AR$1001,1))</f>
        <v/>
      </c>
      <c r="O56">
        <f>IF($Y56="","",Settings!$C$7)</f>
        <v/>
      </c>
      <c r="P56" s="7">
        <f>IF($Y56="","",SUMIFS('Per Line'!$Z$2:$Z$1001,'Per Line'!$E$2:$E$1001,$B56,'Per Line'!$AQ$2:$AQ$1001,0,'Per Line'!$AR$2:$AR$1001,0))</f>
        <v/>
      </c>
      <c r="Q56" s="7">
        <f>IF($Y56="","",P56*O56)</f>
        <v/>
      </c>
      <c r="R56">
        <f>IF($Y56="","",Settings!$C$6)</f>
        <v/>
      </c>
      <c r="S56" s="7">
        <f>IF($Y56="","",SUMIFS('Per Line'!$Z$2:$Z$1001,'Per Line'!$E$2:$E$1001,$B56,'Per Line'!$AQ$2:$AQ$1001,1,'Per Line'!$AR$2:$AR$1001,0))</f>
        <v/>
      </c>
      <c r="T56" s="7">
        <f>IF($Y56="","",S56*R56)</f>
        <v/>
      </c>
      <c r="U56" s="7">
        <f>IF($Y56="","",T56+Q56)</f>
        <v/>
      </c>
      <c r="V56" s="7">
        <f>IF($Y56="","",W56-U56)</f>
        <v/>
      </c>
      <c r="W56" s="7">
        <f>IF($Y56="","",P56+S56+N56)</f>
        <v/>
      </c>
      <c r="X56" s="7">
        <f>IF($Y56="","",W56-U56-L56)</f>
        <v/>
      </c>
      <c r="Y56" s="13">
        <f>IF(ROWS($Y$2:$Y56)&lt;=MAX('Per Line'!$AP$2:$AP$1001),MATCH(ROWS($Y$2:$Y56),'Per Line'!$AP$2:$AP$1001,0),"")</f>
        <v/>
      </c>
    </row>
    <row r="57">
      <c r="A57" s="12" t="n"/>
      <c r="B57">
        <f>IF($Y57="","",INDEX('Per Line'!$E$2:$E$1001,$Y57)&amp;"")</f>
        <v/>
      </c>
      <c r="C57">
        <f>IF($Y57="","",INDEX('Per Line'!$F$2:$F$1001,$Y57)&amp;"")</f>
        <v/>
      </c>
      <c r="D57">
        <f>IF($Y57="","",INDEX('Per Line'!$A$2:$A$1001,$Y57)&amp;"")</f>
        <v/>
      </c>
      <c r="E57">
        <f>IF($Y57="","",INDEX('Per Line'!$B$2:$B$1001,$Y57))</f>
        <v/>
      </c>
      <c r="F57">
        <f>IF($Y57="","",INDEX('Per Line'!$G$2:$G$1001,$Y57)&amp;"")</f>
        <v/>
      </c>
      <c r="G57" s="11">
        <f>IF($Y57="","",INDEX('Per Line'!$H$2:$H$1001,$Y57))</f>
        <v/>
      </c>
      <c r="H57">
        <f>IF($Y57="","",INDEX('Per Line'!$K$2:$K$1001,$Y57)&amp;"")</f>
        <v/>
      </c>
      <c r="I57">
        <f>IF($Y57="","",INDEX('Per Line'!$L$2:$L$1001,$Y57)&amp;"")</f>
        <v/>
      </c>
      <c r="J57">
        <f>IF($Y57="","",INDEX('Per Line'!$M$2:$M$1001,$Y57)&amp;"")</f>
        <v/>
      </c>
      <c r="K57">
        <f>IF($Y57="","",INDEX('Per Line'!$Q$2:$Q$1001,$Y57))</f>
        <v/>
      </c>
      <c r="L57" s="7">
        <f>IF($Y57="","",K57*W57/100)</f>
        <v/>
      </c>
      <c r="M57">
        <f>IF($Y57="","",INDEX('Per Line'!$AD$2:$AD$1001,$Y57)&amp;"")</f>
        <v/>
      </c>
      <c r="N57" s="7">
        <f>IF($Y57="","",SUMIFS('Per Line'!$Z$2:$Z$1001,'Per Line'!$E$2:$E$1001,$B57,'Per Line'!$AR$2:$AR$1001,1))</f>
        <v/>
      </c>
      <c r="O57">
        <f>IF($Y57="","",Settings!$C$7)</f>
        <v/>
      </c>
      <c r="P57" s="7">
        <f>IF($Y57="","",SUMIFS('Per Line'!$Z$2:$Z$1001,'Per Line'!$E$2:$E$1001,$B57,'Per Line'!$AQ$2:$AQ$1001,0,'Per Line'!$AR$2:$AR$1001,0))</f>
        <v/>
      </c>
      <c r="Q57" s="7">
        <f>IF($Y57="","",P57*O57)</f>
        <v/>
      </c>
      <c r="R57">
        <f>IF($Y57="","",Settings!$C$6)</f>
        <v/>
      </c>
      <c r="S57" s="7">
        <f>IF($Y57="","",SUMIFS('Per Line'!$Z$2:$Z$1001,'Per Line'!$E$2:$E$1001,$B57,'Per Line'!$AQ$2:$AQ$1001,1,'Per Line'!$AR$2:$AR$1001,0))</f>
        <v/>
      </c>
      <c r="T57" s="7">
        <f>IF($Y57="","",S57*R57)</f>
        <v/>
      </c>
      <c r="U57" s="7">
        <f>IF($Y57="","",T57+Q57)</f>
        <v/>
      </c>
      <c r="V57" s="7">
        <f>IF($Y57="","",W57-U57)</f>
        <v/>
      </c>
      <c r="W57" s="7">
        <f>IF($Y57="","",P57+S57+N57)</f>
        <v/>
      </c>
      <c r="X57" s="7">
        <f>IF($Y57="","",W57-U57-L57)</f>
        <v/>
      </c>
      <c r="Y57" s="13">
        <f>IF(ROWS($Y$2:$Y57)&lt;=MAX('Per Line'!$AP$2:$AP$1001),MATCH(ROWS($Y$2:$Y57),'Per Line'!$AP$2:$AP$1001,0),"")</f>
        <v/>
      </c>
    </row>
    <row r="58">
      <c r="A58" s="12" t="n"/>
      <c r="B58">
        <f>IF($Y58="","",INDEX('Per Line'!$E$2:$E$1001,$Y58)&amp;"")</f>
        <v/>
      </c>
      <c r="C58">
        <f>IF($Y58="","",INDEX('Per Line'!$F$2:$F$1001,$Y58)&amp;"")</f>
        <v/>
      </c>
      <c r="D58">
        <f>IF($Y58="","",INDEX('Per Line'!$A$2:$A$1001,$Y58)&amp;"")</f>
        <v/>
      </c>
      <c r="E58">
        <f>IF($Y58="","",INDEX('Per Line'!$B$2:$B$1001,$Y58))</f>
        <v/>
      </c>
      <c r="F58">
        <f>IF($Y58="","",INDEX('Per Line'!$G$2:$G$1001,$Y58)&amp;"")</f>
        <v/>
      </c>
      <c r="G58" s="11">
        <f>IF($Y58="","",INDEX('Per Line'!$H$2:$H$1001,$Y58))</f>
        <v/>
      </c>
      <c r="H58">
        <f>IF($Y58="","",INDEX('Per Line'!$K$2:$K$1001,$Y58)&amp;"")</f>
        <v/>
      </c>
      <c r="I58">
        <f>IF($Y58="","",INDEX('Per Line'!$L$2:$L$1001,$Y58)&amp;"")</f>
        <v/>
      </c>
      <c r="J58">
        <f>IF($Y58="","",INDEX('Per Line'!$M$2:$M$1001,$Y58)&amp;"")</f>
        <v/>
      </c>
      <c r="K58">
        <f>IF($Y58="","",INDEX('Per Line'!$Q$2:$Q$1001,$Y58))</f>
        <v/>
      </c>
      <c r="L58" s="7">
        <f>IF($Y58="","",K58*W58/100)</f>
        <v/>
      </c>
      <c r="M58">
        <f>IF($Y58="","",INDEX('Per Line'!$AD$2:$AD$1001,$Y58)&amp;"")</f>
        <v/>
      </c>
      <c r="N58" s="7">
        <f>IF($Y58="","",SUMIFS('Per Line'!$Z$2:$Z$1001,'Per Line'!$E$2:$E$1001,$B58,'Per Line'!$AR$2:$AR$1001,1))</f>
        <v/>
      </c>
      <c r="O58">
        <f>IF($Y58="","",Settings!$C$7)</f>
        <v/>
      </c>
      <c r="P58" s="7">
        <f>IF($Y58="","",SUMIFS('Per Line'!$Z$2:$Z$1001,'Per Line'!$E$2:$E$1001,$B58,'Per Line'!$AQ$2:$AQ$1001,0,'Per Line'!$AR$2:$AR$1001,0))</f>
        <v/>
      </c>
      <c r="Q58" s="7">
        <f>IF($Y58="","",P58*O58)</f>
        <v/>
      </c>
      <c r="R58">
        <f>IF($Y58="","",Settings!$C$6)</f>
        <v/>
      </c>
      <c r="S58" s="7">
        <f>IF($Y58="","",SUMIFS('Per Line'!$Z$2:$Z$1001,'Per Line'!$E$2:$E$1001,$B58,'Per Line'!$AQ$2:$AQ$1001,1,'Per Line'!$AR$2:$AR$1001,0))</f>
        <v/>
      </c>
      <c r="T58" s="7">
        <f>IF($Y58="","",S58*R58)</f>
        <v/>
      </c>
      <c r="U58" s="7">
        <f>IF($Y58="","",T58+Q58)</f>
        <v/>
      </c>
      <c r="V58" s="7">
        <f>IF($Y58="","",W58-U58)</f>
        <v/>
      </c>
      <c r="W58" s="7">
        <f>IF($Y58="","",P58+S58+N58)</f>
        <v/>
      </c>
      <c r="X58" s="7">
        <f>IF($Y58="","",W58-U58-L58)</f>
        <v/>
      </c>
      <c r="Y58" s="13">
        <f>IF(ROWS($Y$2:$Y58)&lt;=MAX('Per Line'!$AP$2:$AP$1001),MATCH(ROWS($Y$2:$Y58),'Per Line'!$AP$2:$AP$1001,0),"")</f>
        <v/>
      </c>
    </row>
    <row r="59">
      <c r="A59" s="12" t="n"/>
      <c r="B59">
        <f>IF($Y59="","",INDEX('Per Line'!$E$2:$E$1001,$Y59)&amp;"")</f>
        <v/>
      </c>
      <c r="C59">
        <f>IF($Y59="","",INDEX('Per Line'!$F$2:$F$1001,$Y59)&amp;"")</f>
        <v/>
      </c>
      <c r="D59">
        <f>IF($Y59="","",INDEX('Per Line'!$A$2:$A$1001,$Y59)&amp;"")</f>
        <v/>
      </c>
      <c r="E59">
        <f>IF($Y59="","",INDEX('Per Line'!$B$2:$B$1001,$Y59))</f>
        <v/>
      </c>
      <c r="F59">
        <f>IF($Y59="","",INDEX('Per Line'!$G$2:$G$1001,$Y59)&amp;"")</f>
        <v/>
      </c>
      <c r="G59" s="11">
        <f>IF($Y59="","",INDEX('Per Line'!$H$2:$H$1001,$Y59))</f>
        <v/>
      </c>
      <c r="H59">
        <f>IF($Y59="","",INDEX('Per Line'!$K$2:$K$1001,$Y59)&amp;"")</f>
        <v/>
      </c>
      <c r="I59">
        <f>IF($Y59="","",INDEX('Per Line'!$L$2:$L$1001,$Y59)&amp;"")</f>
        <v/>
      </c>
      <c r="J59">
        <f>IF($Y59="","",INDEX('Per Line'!$M$2:$M$1001,$Y59)&amp;"")</f>
        <v/>
      </c>
      <c r="K59">
        <f>IF($Y59="","",INDEX('Per Line'!$Q$2:$Q$1001,$Y59))</f>
        <v/>
      </c>
      <c r="L59" s="7">
        <f>IF($Y59="","",K59*W59/100)</f>
        <v/>
      </c>
      <c r="M59">
        <f>IF($Y59="","",INDEX('Per Line'!$AD$2:$AD$1001,$Y59)&amp;"")</f>
        <v/>
      </c>
      <c r="N59" s="7">
        <f>IF($Y59="","",SUMIFS('Per Line'!$Z$2:$Z$1001,'Per Line'!$E$2:$E$1001,$B59,'Per Line'!$AR$2:$AR$1001,1))</f>
        <v/>
      </c>
      <c r="O59">
        <f>IF($Y59="","",Settings!$C$7)</f>
        <v/>
      </c>
      <c r="P59" s="7">
        <f>IF($Y59="","",SUMIFS('Per Line'!$Z$2:$Z$1001,'Per Line'!$E$2:$E$1001,$B59,'Per Line'!$AQ$2:$AQ$1001,0,'Per Line'!$AR$2:$AR$1001,0))</f>
        <v/>
      </c>
      <c r="Q59" s="7">
        <f>IF($Y59="","",P59*O59)</f>
        <v/>
      </c>
      <c r="R59">
        <f>IF($Y59="","",Settings!$C$6)</f>
        <v/>
      </c>
      <c r="S59" s="7">
        <f>IF($Y59="","",SUMIFS('Per Line'!$Z$2:$Z$1001,'Per Line'!$E$2:$E$1001,$B59,'Per Line'!$AQ$2:$AQ$1001,1,'Per Line'!$AR$2:$AR$1001,0))</f>
        <v/>
      </c>
      <c r="T59" s="7">
        <f>IF($Y59="","",S59*R59)</f>
        <v/>
      </c>
      <c r="U59" s="7">
        <f>IF($Y59="","",T59+Q59)</f>
        <v/>
      </c>
      <c r="V59" s="7">
        <f>IF($Y59="","",W59-U59)</f>
        <v/>
      </c>
      <c r="W59" s="7">
        <f>IF($Y59="","",P59+S59+N59)</f>
        <v/>
      </c>
      <c r="X59" s="7">
        <f>IF($Y59="","",W59-U59-L59)</f>
        <v/>
      </c>
      <c r="Y59" s="13">
        <f>IF(ROWS($Y$2:$Y59)&lt;=MAX('Per Line'!$AP$2:$AP$1001),MATCH(ROWS($Y$2:$Y59),'Per Line'!$AP$2:$AP$1001,0),"")</f>
        <v/>
      </c>
    </row>
    <row r="60">
      <c r="A60" s="12" t="n"/>
      <c r="B60">
        <f>IF($Y60="","",INDEX('Per Line'!$E$2:$E$1001,$Y60)&amp;"")</f>
        <v/>
      </c>
      <c r="C60">
        <f>IF($Y60="","",INDEX('Per Line'!$F$2:$F$1001,$Y60)&amp;"")</f>
        <v/>
      </c>
      <c r="D60">
        <f>IF($Y60="","",INDEX('Per Line'!$A$2:$A$1001,$Y60)&amp;"")</f>
        <v/>
      </c>
      <c r="E60">
        <f>IF($Y60="","",INDEX('Per Line'!$B$2:$B$1001,$Y60))</f>
        <v/>
      </c>
      <c r="F60">
        <f>IF($Y60="","",INDEX('Per Line'!$G$2:$G$1001,$Y60)&amp;"")</f>
        <v/>
      </c>
      <c r="G60" s="11">
        <f>IF($Y60="","",INDEX('Per Line'!$H$2:$H$1001,$Y60))</f>
        <v/>
      </c>
      <c r="H60">
        <f>IF($Y60="","",INDEX('Per Line'!$K$2:$K$1001,$Y60)&amp;"")</f>
        <v/>
      </c>
      <c r="I60">
        <f>IF($Y60="","",INDEX('Per Line'!$L$2:$L$1001,$Y60)&amp;"")</f>
        <v/>
      </c>
      <c r="J60">
        <f>IF($Y60="","",INDEX('Per Line'!$M$2:$M$1001,$Y60)&amp;"")</f>
        <v/>
      </c>
      <c r="K60">
        <f>IF($Y60="","",INDEX('Per Line'!$Q$2:$Q$1001,$Y60))</f>
        <v/>
      </c>
      <c r="L60" s="7">
        <f>IF($Y60="","",K60*W60/100)</f>
        <v/>
      </c>
      <c r="M60">
        <f>IF($Y60="","",INDEX('Per Line'!$AD$2:$AD$1001,$Y60)&amp;"")</f>
        <v/>
      </c>
      <c r="N60" s="7">
        <f>IF($Y60="","",SUMIFS('Per Line'!$Z$2:$Z$1001,'Per Line'!$E$2:$E$1001,$B60,'Per Line'!$AR$2:$AR$1001,1))</f>
        <v/>
      </c>
      <c r="O60">
        <f>IF($Y60="","",Settings!$C$7)</f>
        <v/>
      </c>
      <c r="P60" s="7">
        <f>IF($Y60="","",SUMIFS('Per Line'!$Z$2:$Z$1001,'Per Line'!$E$2:$E$1001,$B60,'Per Line'!$AQ$2:$AQ$1001,0,'Per Line'!$AR$2:$AR$1001,0))</f>
        <v/>
      </c>
      <c r="Q60" s="7">
        <f>IF($Y60="","",P60*O60)</f>
        <v/>
      </c>
      <c r="R60">
        <f>IF($Y60="","",Settings!$C$6)</f>
        <v/>
      </c>
      <c r="S60" s="7">
        <f>IF($Y60="","",SUMIFS('Per Line'!$Z$2:$Z$1001,'Per Line'!$E$2:$E$1001,$B60,'Per Line'!$AQ$2:$AQ$1001,1,'Per Line'!$AR$2:$AR$1001,0))</f>
        <v/>
      </c>
      <c r="T60" s="7">
        <f>IF($Y60="","",S60*R60)</f>
        <v/>
      </c>
      <c r="U60" s="7">
        <f>IF($Y60="","",T60+Q60)</f>
        <v/>
      </c>
      <c r="V60" s="7">
        <f>IF($Y60="","",W60-U60)</f>
        <v/>
      </c>
      <c r="W60" s="7">
        <f>IF($Y60="","",P60+S60+N60)</f>
        <v/>
      </c>
      <c r="X60" s="7">
        <f>IF($Y60="","",W60-U60-L60)</f>
        <v/>
      </c>
      <c r="Y60" s="13">
        <f>IF(ROWS($Y$2:$Y60)&lt;=MAX('Per Line'!$AP$2:$AP$1001),MATCH(ROWS($Y$2:$Y60),'Per Line'!$AP$2:$AP$1001,0),"")</f>
        <v/>
      </c>
    </row>
    <row r="61">
      <c r="A61" s="12" t="n"/>
      <c r="B61">
        <f>IF($Y61="","",INDEX('Per Line'!$E$2:$E$1001,$Y61)&amp;"")</f>
        <v/>
      </c>
      <c r="C61">
        <f>IF($Y61="","",INDEX('Per Line'!$F$2:$F$1001,$Y61)&amp;"")</f>
        <v/>
      </c>
      <c r="D61">
        <f>IF($Y61="","",INDEX('Per Line'!$A$2:$A$1001,$Y61)&amp;"")</f>
        <v/>
      </c>
      <c r="E61">
        <f>IF($Y61="","",INDEX('Per Line'!$B$2:$B$1001,$Y61))</f>
        <v/>
      </c>
      <c r="F61">
        <f>IF($Y61="","",INDEX('Per Line'!$G$2:$G$1001,$Y61)&amp;"")</f>
        <v/>
      </c>
      <c r="G61" s="11">
        <f>IF($Y61="","",INDEX('Per Line'!$H$2:$H$1001,$Y61))</f>
        <v/>
      </c>
      <c r="H61">
        <f>IF($Y61="","",INDEX('Per Line'!$K$2:$K$1001,$Y61)&amp;"")</f>
        <v/>
      </c>
      <c r="I61">
        <f>IF($Y61="","",INDEX('Per Line'!$L$2:$L$1001,$Y61)&amp;"")</f>
        <v/>
      </c>
      <c r="J61">
        <f>IF($Y61="","",INDEX('Per Line'!$M$2:$M$1001,$Y61)&amp;"")</f>
        <v/>
      </c>
      <c r="K61">
        <f>IF($Y61="","",INDEX('Per Line'!$Q$2:$Q$1001,$Y61))</f>
        <v/>
      </c>
      <c r="L61" s="7">
        <f>IF($Y61="","",K61*W61/100)</f>
        <v/>
      </c>
      <c r="M61">
        <f>IF($Y61="","",INDEX('Per Line'!$AD$2:$AD$1001,$Y61)&amp;"")</f>
        <v/>
      </c>
      <c r="N61" s="7">
        <f>IF($Y61="","",SUMIFS('Per Line'!$Z$2:$Z$1001,'Per Line'!$E$2:$E$1001,$B61,'Per Line'!$AR$2:$AR$1001,1))</f>
        <v/>
      </c>
      <c r="O61">
        <f>IF($Y61="","",Settings!$C$7)</f>
        <v/>
      </c>
      <c r="P61" s="7">
        <f>IF($Y61="","",SUMIFS('Per Line'!$Z$2:$Z$1001,'Per Line'!$E$2:$E$1001,$B61,'Per Line'!$AQ$2:$AQ$1001,0,'Per Line'!$AR$2:$AR$1001,0))</f>
        <v/>
      </c>
      <c r="Q61" s="7">
        <f>IF($Y61="","",P61*O61)</f>
        <v/>
      </c>
      <c r="R61">
        <f>IF($Y61="","",Settings!$C$6)</f>
        <v/>
      </c>
      <c r="S61" s="7">
        <f>IF($Y61="","",SUMIFS('Per Line'!$Z$2:$Z$1001,'Per Line'!$E$2:$E$1001,$B61,'Per Line'!$AQ$2:$AQ$1001,1,'Per Line'!$AR$2:$AR$1001,0))</f>
        <v/>
      </c>
      <c r="T61" s="7">
        <f>IF($Y61="","",S61*R61)</f>
        <v/>
      </c>
      <c r="U61" s="7">
        <f>IF($Y61="","",T61+Q61)</f>
        <v/>
      </c>
      <c r="V61" s="7">
        <f>IF($Y61="","",W61-U61)</f>
        <v/>
      </c>
      <c r="W61" s="7">
        <f>IF($Y61="","",P61+S61+N61)</f>
        <v/>
      </c>
      <c r="X61" s="7">
        <f>IF($Y61="","",W61-U61-L61)</f>
        <v/>
      </c>
      <c r="Y61" s="13">
        <f>IF(ROWS($Y$2:$Y61)&lt;=MAX('Per Line'!$AP$2:$AP$1001),MATCH(ROWS($Y$2:$Y61),'Per Line'!$AP$2:$AP$1001,0),"")</f>
        <v/>
      </c>
    </row>
    <row r="62">
      <c r="A62" s="12" t="n"/>
      <c r="B62">
        <f>IF($Y62="","",INDEX('Per Line'!$E$2:$E$1001,$Y62)&amp;"")</f>
        <v/>
      </c>
      <c r="C62">
        <f>IF($Y62="","",INDEX('Per Line'!$F$2:$F$1001,$Y62)&amp;"")</f>
        <v/>
      </c>
      <c r="D62">
        <f>IF($Y62="","",INDEX('Per Line'!$A$2:$A$1001,$Y62)&amp;"")</f>
        <v/>
      </c>
      <c r="E62">
        <f>IF($Y62="","",INDEX('Per Line'!$B$2:$B$1001,$Y62))</f>
        <v/>
      </c>
      <c r="F62">
        <f>IF($Y62="","",INDEX('Per Line'!$G$2:$G$1001,$Y62)&amp;"")</f>
        <v/>
      </c>
      <c r="G62" s="11">
        <f>IF($Y62="","",INDEX('Per Line'!$H$2:$H$1001,$Y62))</f>
        <v/>
      </c>
      <c r="H62">
        <f>IF($Y62="","",INDEX('Per Line'!$K$2:$K$1001,$Y62)&amp;"")</f>
        <v/>
      </c>
      <c r="I62">
        <f>IF($Y62="","",INDEX('Per Line'!$L$2:$L$1001,$Y62)&amp;"")</f>
        <v/>
      </c>
      <c r="J62">
        <f>IF($Y62="","",INDEX('Per Line'!$M$2:$M$1001,$Y62)&amp;"")</f>
        <v/>
      </c>
      <c r="K62">
        <f>IF($Y62="","",INDEX('Per Line'!$Q$2:$Q$1001,$Y62))</f>
        <v/>
      </c>
      <c r="L62" s="7">
        <f>IF($Y62="","",K62*W62/100)</f>
        <v/>
      </c>
      <c r="M62">
        <f>IF($Y62="","",INDEX('Per Line'!$AD$2:$AD$1001,$Y62)&amp;"")</f>
        <v/>
      </c>
      <c r="N62" s="7">
        <f>IF($Y62="","",SUMIFS('Per Line'!$Z$2:$Z$1001,'Per Line'!$E$2:$E$1001,$B62,'Per Line'!$AR$2:$AR$1001,1))</f>
        <v/>
      </c>
      <c r="O62">
        <f>IF($Y62="","",Settings!$C$7)</f>
        <v/>
      </c>
      <c r="P62" s="7">
        <f>IF($Y62="","",SUMIFS('Per Line'!$Z$2:$Z$1001,'Per Line'!$E$2:$E$1001,$B62,'Per Line'!$AQ$2:$AQ$1001,0,'Per Line'!$AR$2:$AR$1001,0))</f>
        <v/>
      </c>
      <c r="Q62" s="7">
        <f>IF($Y62="","",P62*O62)</f>
        <v/>
      </c>
      <c r="R62">
        <f>IF($Y62="","",Settings!$C$6)</f>
        <v/>
      </c>
      <c r="S62" s="7">
        <f>IF($Y62="","",SUMIFS('Per Line'!$Z$2:$Z$1001,'Per Line'!$E$2:$E$1001,$B62,'Per Line'!$AQ$2:$AQ$1001,1,'Per Line'!$AR$2:$AR$1001,0))</f>
        <v/>
      </c>
      <c r="T62" s="7">
        <f>IF($Y62="","",S62*R62)</f>
        <v/>
      </c>
      <c r="U62" s="7">
        <f>IF($Y62="","",T62+Q62)</f>
        <v/>
      </c>
      <c r="V62" s="7">
        <f>IF($Y62="","",W62-U62)</f>
        <v/>
      </c>
      <c r="W62" s="7">
        <f>IF($Y62="","",P62+S62+N62)</f>
        <v/>
      </c>
      <c r="X62" s="7">
        <f>IF($Y62="","",W62-U62-L62)</f>
        <v/>
      </c>
      <c r="Y62" s="13">
        <f>IF(ROWS($Y$2:$Y62)&lt;=MAX('Per Line'!$AP$2:$AP$1001),MATCH(ROWS($Y$2:$Y62),'Per Line'!$AP$2:$AP$1001,0),"")</f>
        <v/>
      </c>
    </row>
    <row r="63">
      <c r="A63" s="12" t="n"/>
      <c r="B63">
        <f>IF($Y63="","",INDEX('Per Line'!$E$2:$E$1001,$Y63)&amp;"")</f>
        <v/>
      </c>
      <c r="C63">
        <f>IF($Y63="","",INDEX('Per Line'!$F$2:$F$1001,$Y63)&amp;"")</f>
        <v/>
      </c>
      <c r="D63">
        <f>IF($Y63="","",INDEX('Per Line'!$A$2:$A$1001,$Y63)&amp;"")</f>
        <v/>
      </c>
      <c r="E63">
        <f>IF($Y63="","",INDEX('Per Line'!$B$2:$B$1001,$Y63))</f>
        <v/>
      </c>
      <c r="F63">
        <f>IF($Y63="","",INDEX('Per Line'!$G$2:$G$1001,$Y63)&amp;"")</f>
        <v/>
      </c>
      <c r="G63" s="11">
        <f>IF($Y63="","",INDEX('Per Line'!$H$2:$H$1001,$Y63))</f>
        <v/>
      </c>
      <c r="H63">
        <f>IF($Y63="","",INDEX('Per Line'!$K$2:$K$1001,$Y63)&amp;"")</f>
        <v/>
      </c>
      <c r="I63">
        <f>IF($Y63="","",INDEX('Per Line'!$L$2:$L$1001,$Y63)&amp;"")</f>
        <v/>
      </c>
      <c r="J63">
        <f>IF($Y63="","",INDEX('Per Line'!$M$2:$M$1001,$Y63)&amp;"")</f>
        <v/>
      </c>
      <c r="K63">
        <f>IF($Y63="","",INDEX('Per Line'!$Q$2:$Q$1001,$Y63))</f>
        <v/>
      </c>
      <c r="L63" s="7">
        <f>IF($Y63="","",K63*W63/100)</f>
        <v/>
      </c>
      <c r="M63">
        <f>IF($Y63="","",INDEX('Per Line'!$AD$2:$AD$1001,$Y63)&amp;"")</f>
        <v/>
      </c>
      <c r="N63" s="7">
        <f>IF($Y63="","",SUMIFS('Per Line'!$Z$2:$Z$1001,'Per Line'!$E$2:$E$1001,$B63,'Per Line'!$AR$2:$AR$1001,1))</f>
        <v/>
      </c>
      <c r="O63">
        <f>IF($Y63="","",Settings!$C$7)</f>
        <v/>
      </c>
      <c r="P63" s="7">
        <f>IF($Y63="","",SUMIFS('Per Line'!$Z$2:$Z$1001,'Per Line'!$E$2:$E$1001,$B63,'Per Line'!$AQ$2:$AQ$1001,0,'Per Line'!$AR$2:$AR$1001,0))</f>
        <v/>
      </c>
      <c r="Q63" s="7">
        <f>IF($Y63="","",P63*O63)</f>
        <v/>
      </c>
      <c r="R63">
        <f>IF($Y63="","",Settings!$C$6)</f>
        <v/>
      </c>
      <c r="S63" s="7">
        <f>IF($Y63="","",SUMIFS('Per Line'!$Z$2:$Z$1001,'Per Line'!$E$2:$E$1001,$B63,'Per Line'!$AQ$2:$AQ$1001,1,'Per Line'!$AR$2:$AR$1001,0))</f>
        <v/>
      </c>
      <c r="T63" s="7">
        <f>IF($Y63="","",S63*R63)</f>
        <v/>
      </c>
      <c r="U63" s="7">
        <f>IF($Y63="","",T63+Q63)</f>
        <v/>
      </c>
      <c r="V63" s="7">
        <f>IF($Y63="","",W63-U63)</f>
        <v/>
      </c>
      <c r="W63" s="7">
        <f>IF($Y63="","",P63+S63+N63)</f>
        <v/>
      </c>
      <c r="X63" s="7">
        <f>IF($Y63="","",W63-U63-L63)</f>
        <v/>
      </c>
      <c r="Y63" s="13">
        <f>IF(ROWS($Y$2:$Y63)&lt;=MAX('Per Line'!$AP$2:$AP$1001),MATCH(ROWS($Y$2:$Y63),'Per Line'!$AP$2:$AP$1001,0),"")</f>
        <v/>
      </c>
    </row>
    <row r="64">
      <c r="A64" s="12" t="n"/>
      <c r="B64">
        <f>IF($Y64="","",INDEX('Per Line'!$E$2:$E$1001,$Y64)&amp;"")</f>
        <v/>
      </c>
      <c r="C64">
        <f>IF($Y64="","",INDEX('Per Line'!$F$2:$F$1001,$Y64)&amp;"")</f>
        <v/>
      </c>
      <c r="D64">
        <f>IF($Y64="","",INDEX('Per Line'!$A$2:$A$1001,$Y64)&amp;"")</f>
        <v/>
      </c>
      <c r="E64">
        <f>IF($Y64="","",INDEX('Per Line'!$B$2:$B$1001,$Y64))</f>
        <v/>
      </c>
      <c r="F64">
        <f>IF($Y64="","",INDEX('Per Line'!$G$2:$G$1001,$Y64)&amp;"")</f>
        <v/>
      </c>
      <c r="G64" s="11">
        <f>IF($Y64="","",INDEX('Per Line'!$H$2:$H$1001,$Y64))</f>
        <v/>
      </c>
      <c r="H64">
        <f>IF($Y64="","",INDEX('Per Line'!$K$2:$K$1001,$Y64)&amp;"")</f>
        <v/>
      </c>
      <c r="I64">
        <f>IF($Y64="","",INDEX('Per Line'!$L$2:$L$1001,$Y64)&amp;"")</f>
        <v/>
      </c>
      <c r="J64">
        <f>IF($Y64="","",INDEX('Per Line'!$M$2:$M$1001,$Y64)&amp;"")</f>
        <v/>
      </c>
      <c r="K64">
        <f>IF($Y64="","",INDEX('Per Line'!$Q$2:$Q$1001,$Y64))</f>
        <v/>
      </c>
      <c r="L64" s="7">
        <f>IF($Y64="","",K64*W64/100)</f>
        <v/>
      </c>
      <c r="M64">
        <f>IF($Y64="","",INDEX('Per Line'!$AD$2:$AD$1001,$Y64)&amp;"")</f>
        <v/>
      </c>
      <c r="N64" s="7">
        <f>IF($Y64="","",SUMIFS('Per Line'!$Z$2:$Z$1001,'Per Line'!$E$2:$E$1001,$B64,'Per Line'!$AR$2:$AR$1001,1))</f>
        <v/>
      </c>
      <c r="O64">
        <f>IF($Y64="","",Settings!$C$7)</f>
        <v/>
      </c>
      <c r="P64" s="7">
        <f>IF($Y64="","",SUMIFS('Per Line'!$Z$2:$Z$1001,'Per Line'!$E$2:$E$1001,$B64,'Per Line'!$AQ$2:$AQ$1001,0,'Per Line'!$AR$2:$AR$1001,0))</f>
        <v/>
      </c>
      <c r="Q64" s="7">
        <f>IF($Y64="","",P64*O64)</f>
        <v/>
      </c>
      <c r="R64">
        <f>IF($Y64="","",Settings!$C$6)</f>
        <v/>
      </c>
      <c r="S64" s="7">
        <f>IF($Y64="","",SUMIFS('Per Line'!$Z$2:$Z$1001,'Per Line'!$E$2:$E$1001,$B64,'Per Line'!$AQ$2:$AQ$1001,1,'Per Line'!$AR$2:$AR$1001,0))</f>
        <v/>
      </c>
      <c r="T64" s="7">
        <f>IF($Y64="","",S64*R64)</f>
        <v/>
      </c>
      <c r="U64" s="7">
        <f>IF($Y64="","",T64+Q64)</f>
        <v/>
      </c>
      <c r="V64" s="7">
        <f>IF($Y64="","",W64-U64)</f>
        <v/>
      </c>
      <c r="W64" s="7">
        <f>IF($Y64="","",P64+S64+N64)</f>
        <v/>
      </c>
      <c r="X64" s="7">
        <f>IF($Y64="","",W64-U64-L64)</f>
        <v/>
      </c>
      <c r="Y64" s="13">
        <f>IF(ROWS($Y$2:$Y64)&lt;=MAX('Per Line'!$AP$2:$AP$1001),MATCH(ROWS($Y$2:$Y64),'Per Line'!$AP$2:$AP$1001,0),"")</f>
        <v/>
      </c>
    </row>
    <row r="65">
      <c r="A65" s="12" t="n"/>
      <c r="B65">
        <f>IF($Y65="","",INDEX('Per Line'!$E$2:$E$1001,$Y65)&amp;"")</f>
        <v/>
      </c>
      <c r="C65">
        <f>IF($Y65="","",INDEX('Per Line'!$F$2:$F$1001,$Y65)&amp;"")</f>
        <v/>
      </c>
      <c r="D65">
        <f>IF($Y65="","",INDEX('Per Line'!$A$2:$A$1001,$Y65)&amp;"")</f>
        <v/>
      </c>
      <c r="E65">
        <f>IF($Y65="","",INDEX('Per Line'!$B$2:$B$1001,$Y65))</f>
        <v/>
      </c>
      <c r="F65">
        <f>IF($Y65="","",INDEX('Per Line'!$G$2:$G$1001,$Y65)&amp;"")</f>
        <v/>
      </c>
      <c r="G65" s="11">
        <f>IF($Y65="","",INDEX('Per Line'!$H$2:$H$1001,$Y65))</f>
        <v/>
      </c>
      <c r="H65">
        <f>IF($Y65="","",INDEX('Per Line'!$K$2:$K$1001,$Y65)&amp;"")</f>
        <v/>
      </c>
      <c r="I65">
        <f>IF($Y65="","",INDEX('Per Line'!$L$2:$L$1001,$Y65)&amp;"")</f>
        <v/>
      </c>
      <c r="J65">
        <f>IF($Y65="","",INDEX('Per Line'!$M$2:$M$1001,$Y65)&amp;"")</f>
        <v/>
      </c>
      <c r="K65">
        <f>IF($Y65="","",INDEX('Per Line'!$Q$2:$Q$1001,$Y65))</f>
        <v/>
      </c>
      <c r="L65" s="7">
        <f>IF($Y65="","",K65*W65/100)</f>
        <v/>
      </c>
      <c r="M65">
        <f>IF($Y65="","",INDEX('Per Line'!$AD$2:$AD$1001,$Y65)&amp;"")</f>
        <v/>
      </c>
      <c r="N65" s="7">
        <f>IF($Y65="","",SUMIFS('Per Line'!$Z$2:$Z$1001,'Per Line'!$E$2:$E$1001,$B65,'Per Line'!$AR$2:$AR$1001,1))</f>
        <v/>
      </c>
      <c r="O65">
        <f>IF($Y65="","",Settings!$C$7)</f>
        <v/>
      </c>
      <c r="P65" s="7">
        <f>IF($Y65="","",SUMIFS('Per Line'!$Z$2:$Z$1001,'Per Line'!$E$2:$E$1001,$B65,'Per Line'!$AQ$2:$AQ$1001,0,'Per Line'!$AR$2:$AR$1001,0))</f>
        <v/>
      </c>
      <c r="Q65" s="7">
        <f>IF($Y65="","",P65*O65)</f>
        <v/>
      </c>
      <c r="R65">
        <f>IF($Y65="","",Settings!$C$6)</f>
        <v/>
      </c>
      <c r="S65" s="7">
        <f>IF($Y65="","",SUMIFS('Per Line'!$Z$2:$Z$1001,'Per Line'!$E$2:$E$1001,$B65,'Per Line'!$AQ$2:$AQ$1001,1,'Per Line'!$AR$2:$AR$1001,0))</f>
        <v/>
      </c>
      <c r="T65" s="7">
        <f>IF($Y65="","",S65*R65)</f>
        <v/>
      </c>
      <c r="U65" s="7">
        <f>IF($Y65="","",T65+Q65)</f>
        <v/>
      </c>
      <c r="V65" s="7">
        <f>IF($Y65="","",W65-U65)</f>
        <v/>
      </c>
      <c r="W65" s="7">
        <f>IF($Y65="","",P65+S65+N65)</f>
        <v/>
      </c>
      <c r="X65" s="7">
        <f>IF($Y65="","",W65-U65-L65)</f>
        <v/>
      </c>
      <c r="Y65" s="13">
        <f>IF(ROWS($Y$2:$Y65)&lt;=MAX('Per Line'!$AP$2:$AP$1001),MATCH(ROWS($Y$2:$Y65),'Per Line'!$AP$2:$AP$1001,0),"")</f>
        <v/>
      </c>
    </row>
    <row r="66">
      <c r="A66" s="12" t="n"/>
      <c r="B66">
        <f>IF($Y66="","",INDEX('Per Line'!$E$2:$E$1001,$Y66)&amp;"")</f>
        <v/>
      </c>
      <c r="C66">
        <f>IF($Y66="","",INDEX('Per Line'!$F$2:$F$1001,$Y66)&amp;"")</f>
        <v/>
      </c>
      <c r="D66">
        <f>IF($Y66="","",INDEX('Per Line'!$A$2:$A$1001,$Y66)&amp;"")</f>
        <v/>
      </c>
      <c r="E66">
        <f>IF($Y66="","",INDEX('Per Line'!$B$2:$B$1001,$Y66))</f>
        <v/>
      </c>
      <c r="F66">
        <f>IF($Y66="","",INDEX('Per Line'!$G$2:$G$1001,$Y66)&amp;"")</f>
        <v/>
      </c>
      <c r="G66" s="11">
        <f>IF($Y66="","",INDEX('Per Line'!$H$2:$H$1001,$Y66))</f>
        <v/>
      </c>
      <c r="H66">
        <f>IF($Y66="","",INDEX('Per Line'!$K$2:$K$1001,$Y66)&amp;"")</f>
        <v/>
      </c>
      <c r="I66">
        <f>IF($Y66="","",INDEX('Per Line'!$L$2:$L$1001,$Y66)&amp;"")</f>
        <v/>
      </c>
      <c r="J66">
        <f>IF($Y66="","",INDEX('Per Line'!$M$2:$M$1001,$Y66)&amp;"")</f>
        <v/>
      </c>
      <c r="K66">
        <f>IF($Y66="","",INDEX('Per Line'!$Q$2:$Q$1001,$Y66))</f>
        <v/>
      </c>
      <c r="L66" s="7">
        <f>IF($Y66="","",K66*W66/100)</f>
        <v/>
      </c>
      <c r="M66">
        <f>IF($Y66="","",INDEX('Per Line'!$AD$2:$AD$1001,$Y66)&amp;"")</f>
        <v/>
      </c>
      <c r="N66" s="7">
        <f>IF($Y66="","",SUMIFS('Per Line'!$Z$2:$Z$1001,'Per Line'!$E$2:$E$1001,$B66,'Per Line'!$AR$2:$AR$1001,1))</f>
        <v/>
      </c>
      <c r="O66">
        <f>IF($Y66="","",Settings!$C$7)</f>
        <v/>
      </c>
      <c r="P66" s="7">
        <f>IF($Y66="","",SUMIFS('Per Line'!$Z$2:$Z$1001,'Per Line'!$E$2:$E$1001,$B66,'Per Line'!$AQ$2:$AQ$1001,0,'Per Line'!$AR$2:$AR$1001,0))</f>
        <v/>
      </c>
      <c r="Q66" s="7">
        <f>IF($Y66="","",P66*O66)</f>
        <v/>
      </c>
      <c r="R66">
        <f>IF($Y66="","",Settings!$C$6)</f>
        <v/>
      </c>
      <c r="S66" s="7">
        <f>IF($Y66="","",SUMIFS('Per Line'!$Z$2:$Z$1001,'Per Line'!$E$2:$E$1001,$B66,'Per Line'!$AQ$2:$AQ$1001,1,'Per Line'!$AR$2:$AR$1001,0))</f>
        <v/>
      </c>
      <c r="T66" s="7">
        <f>IF($Y66="","",S66*R66)</f>
        <v/>
      </c>
      <c r="U66" s="7">
        <f>IF($Y66="","",T66+Q66)</f>
        <v/>
      </c>
      <c r="V66" s="7">
        <f>IF($Y66="","",W66-U66)</f>
        <v/>
      </c>
      <c r="W66" s="7">
        <f>IF($Y66="","",P66+S66+N66)</f>
        <v/>
      </c>
      <c r="X66" s="7">
        <f>IF($Y66="","",W66-U66-L66)</f>
        <v/>
      </c>
      <c r="Y66" s="13">
        <f>IF(ROWS($Y$2:$Y66)&lt;=MAX('Per Line'!$AP$2:$AP$1001),MATCH(ROWS($Y$2:$Y66),'Per Line'!$AP$2:$AP$1001,0),"")</f>
        <v/>
      </c>
    </row>
    <row r="67">
      <c r="A67" s="12" t="n"/>
      <c r="B67">
        <f>IF($Y67="","",INDEX('Per Line'!$E$2:$E$1001,$Y67)&amp;"")</f>
        <v/>
      </c>
      <c r="C67">
        <f>IF($Y67="","",INDEX('Per Line'!$F$2:$F$1001,$Y67)&amp;"")</f>
        <v/>
      </c>
      <c r="D67">
        <f>IF($Y67="","",INDEX('Per Line'!$A$2:$A$1001,$Y67)&amp;"")</f>
        <v/>
      </c>
      <c r="E67">
        <f>IF($Y67="","",INDEX('Per Line'!$B$2:$B$1001,$Y67))</f>
        <v/>
      </c>
      <c r="F67">
        <f>IF($Y67="","",INDEX('Per Line'!$G$2:$G$1001,$Y67)&amp;"")</f>
        <v/>
      </c>
      <c r="G67" s="11">
        <f>IF($Y67="","",INDEX('Per Line'!$H$2:$H$1001,$Y67))</f>
        <v/>
      </c>
      <c r="H67">
        <f>IF($Y67="","",INDEX('Per Line'!$K$2:$K$1001,$Y67)&amp;"")</f>
        <v/>
      </c>
      <c r="I67">
        <f>IF($Y67="","",INDEX('Per Line'!$L$2:$L$1001,$Y67)&amp;"")</f>
        <v/>
      </c>
      <c r="J67">
        <f>IF($Y67="","",INDEX('Per Line'!$M$2:$M$1001,$Y67)&amp;"")</f>
        <v/>
      </c>
      <c r="K67">
        <f>IF($Y67="","",INDEX('Per Line'!$Q$2:$Q$1001,$Y67))</f>
        <v/>
      </c>
      <c r="L67" s="7">
        <f>IF($Y67="","",K67*W67/100)</f>
        <v/>
      </c>
      <c r="M67">
        <f>IF($Y67="","",INDEX('Per Line'!$AD$2:$AD$1001,$Y67)&amp;"")</f>
        <v/>
      </c>
      <c r="N67" s="7">
        <f>IF($Y67="","",SUMIFS('Per Line'!$Z$2:$Z$1001,'Per Line'!$E$2:$E$1001,$B67,'Per Line'!$AR$2:$AR$1001,1))</f>
        <v/>
      </c>
      <c r="O67">
        <f>IF($Y67="","",Settings!$C$7)</f>
        <v/>
      </c>
      <c r="P67" s="7">
        <f>IF($Y67="","",SUMIFS('Per Line'!$Z$2:$Z$1001,'Per Line'!$E$2:$E$1001,$B67,'Per Line'!$AQ$2:$AQ$1001,0,'Per Line'!$AR$2:$AR$1001,0))</f>
        <v/>
      </c>
      <c r="Q67" s="7">
        <f>IF($Y67="","",P67*O67)</f>
        <v/>
      </c>
      <c r="R67">
        <f>IF($Y67="","",Settings!$C$6)</f>
        <v/>
      </c>
      <c r="S67" s="7">
        <f>IF($Y67="","",SUMIFS('Per Line'!$Z$2:$Z$1001,'Per Line'!$E$2:$E$1001,$B67,'Per Line'!$AQ$2:$AQ$1001,1,'Per Line'!$AR$2:$AR$1001,0))</f>
        <v/>
      </c>
      <c r="T67" s="7">
        <f>IF($Y67="","",S67*R67)</f>
        <v/>
      </c>
      <c r="U67" s="7">
        <f>IF($Y67="","",T67+Q67)</f>
        <v/>
      </c>
      <c r="V67" s="7">
        <f>IF($Y67="","",W67-U67)</f>
        <v/>
      </c>
      <c r="W67" s="7">
        <f>IF($Y67="","",P67+S67+N67)</f>
        <v/>
      </c>
      <c r="X67" s="7">
        <f>IF($Y67="","",W67-U67-L67)</f>
        <v/>
      </c>
      <c r="Y67" s="13">
        <f>IF(ROWS($Y$2:$Y67)&lt;=MAX('Per Line'!$AP$2:$AP$1001),MATCH(ROWS($Y$2:$Y67),'Per Line'!$AP$2:$AP$1001,0),"")</f>
        <v/>
      </c>
    </row>
    <row r="68">
      <c r="A68" s="12" t="n"/>
      <c r="B68">
        <f>IF($Y68="","",INDEX('Per Line'!$E$2:$E$1001,$Y68)&amp;"")</f>
        <v/>
      </c>
      <c r="C68">
        <f>IF($Y68="","",INDEX('Per Line'!$F$2:$F$1001,$Y68)&amp;"")</f>
        <v/>
      </c>
      <c r="D68">
        <f>IF($Y68="","",INDEX('Per Line'!$A$2:$A$1001,$Y68)&amp;"")</f>
        <v/>
      </c>
      <c r="E68">
        <f>IF($Y68="","",INDEX('Per Line'!$B$2:$B$1001,$Y68))</f>
        <v/>
      </c>
      <c r="F68">
        <f>IF($Y68="","",INDEX('Per Line'!$G$2:$G$1001,$Y68)&amp;"")</f>
        <v/>
      </c>
      <c r="G68" s="11">
        <f>IF($Y68="","",INDEX('Per Line'!$H$2:$H$1001,$Y68))</f>
        <v/>
      </c>
      <c r="H68">
        <f>IF($Y68="","",INDEX('Per Line'!$K$2:$K$1001,$Y68)&amp;"")</f>
        <v/>
      </c>
      <c r="I68">
        <f>IF($Y68="","",INDEX('Per Line'!$L$2:$L$1001,$Y68)&amp;"")</f>
        <v/>
      </c>
      <c r="J68">
        <f>IF($Y68="","",INDEX('Per Line'!$M$2:$M$1001,$Y68)&amp;"")</f>
        <v/>
      </c>
      <c r="K68">
        <f>IF($Y68="","",INDEX('Per Line'!$Q$2:$Q$1001,$Y68))</f>
        <v/>
      </c>
      <c r="L68" s="7">
        <f>IF($Y68="","",K68*W68/100)</f>
        <v/>
      </c>
      <c r="M68">
        <f>IF($Y68="","",INDEX('Per Line'!$AD$2:$AD$1001,$Y68)&amp;"")</f>
        <v/>
      </c>
      <c r="N68" s="7">
        <f>IF($Y68="","",SUMIFS('Per Line'!$Z$2:$Z$1001,'Per Line'!$E$2:$E$1001,$B68,'Per Line'!$AR$2:$AR$1001,1))</f>
        <v/>
      </c>
      <c r="O68">
        <f>IF($Y68="","",Settings!$C$7)</f>
        <v/>
      </c>
      <c r="P68" s="7">
        <f>IF($Y68="","",SUMIFS('Per Line'!$Z$2:$Z$1001,'Per Line'!$E$2:$E$1001,$B68,'Per Line'!$AQ$2:$AQ$1001,0,'Per Line'!$AR$2:$AR$1001,0))</f>
        <v/>
      </c>
      <c r="Q68" s="7">
        <f>IF($Y68="","",P68*O68)</f>
        <v/>
      </c>
      <c r="R68">
        <f>IF($Y68="","",Settings!$C$6)</f>
        <v/>
      </c>
      <c r="S68" s="7">
        <f>IF($Y68="","",SUMIFS('Per Line'!$Z$2:$Z$1001,'Per Line'!$E$2:$E$1001,$B68,'Per Line'!$AQ$2:$AQ$1001,1,'Per Line'!$AR$2:$AR$1001,0))</f>
        <v/>
      </c>
      <c r="T68" s="7">
        <f>IF($Y68="","",S68*R68)</f>
        <v/>
      </c>
      <c r="U68" s="7">
        <f>IF($Y68="","",T68+Q68)</f>
        <v/>
      </c>
      <c r="V68" s="7">
        <f>IF($Y68="","",W68-U68)</f>
        <v/>
      </c>
      <c r="W68" s="7">
        <f>IF($Y68="","",P68+S68+N68)</f>
        <v/>
      </c>
      <c r="X68" s="7">
        <f>IF($Y68="","",W68-U68-L68)</f>
        <v/>
      </c>
      <c r="Y68" s="13">
        <f>IF(ROWS($Y$2:$Y68)&lt;=MAX('Per Line'!$AP$2:$AP$1001),MATCH(ROWS($Y$2:$Y68),'Per Line'!$AP$2:$AP$1001,0),"")</f>
        <v/>
      </c>
    </row>
    <row r="69">
      <c r="A69" s="12" t="n"/>
      <c r="B69">
        <f>IF($Y69="","",INDEX('Per Line'!$E$2:$E$1001,$Y69)&amp;"")</f>
        <v/>
      </c>
      <c r="C69">
        <f>IF($Y69="","",INDEX('Per Line'!$F$2:$F$1001,$Y69)&amp;"")</f>
        <v/>
      </c>
      <c r="D69">
        <f>IF($Y69="","",INDEX('Per Line'!$A$2:$A$1001,$Y69)&amp;"")</f>
        <v/>
      </c>
      <c r="E69">
        <f>IF($Y69="","",INDEX('Per Line'!$B$2:$B$1001,$Y69))</f>
        <v/>
      </c>
      <c r="F69">
        <f>IF($Y69="","",INDEX('Per Line'!$G$2:$G$1001,$Y69)&amp;"")</f>
        <v/>
      </c>
      <c r="G69" s="11">
        <f>IF($Y69="","",INDEX('Per Line'!$H$2:$H$1001,$Y69))</f>
        <v/>
      </c>
      <c r="H69">
        <f>IF($Y69="","",INDEX('Per Line'!$K$2:$K$1001,$Y69)&amp;"")</f>
        <v/>
      </c>
      <c r="I69">
        <f>IF($Y69="","",INDEX('Per Line'!$L$2:$L$1001,$Y69)&amp;"")</f>
        <v/>
      </c>
      <c r="J69">
        <f>IF($Y69="","",INDEX('Per Line'!$M$2:$M$1001,$Y69)&amp;"")</f>
        <v/>
      </c>
      <c r="K69">
        <f>IF($Y69="","",INDEX('Per Line'!$Q$2:$Q$1001,$Y69))</f>
        <v/>
      </c>
      <c r="L69" s="7">
        <f>IF($Y69="","",K69*W69/100)</f>
        <v/>
      </c>
      <c r="M69">
        <f>IF($Y69="","",INDEX('Per Line'!$AD$2:$AD$1001,$Y69)&amp;"")</f>
        <v/>
      </c>
      <c r="N69" s="7">
        <f>IF($Y69="","",SUMIFS('Per Line'!$Z$2:$Z$1001,'Per Line'!$E$2:$E$1001,$B69,'Per Line'!$AR$2:$AR$1001,1))</f>
        <v/>
      </c>
      <c r="O69">
        <f>IF($Y69="","",Settings!$C$7)</f>
        <v/>
      </c>
      <c r="P69" s="7">
        <f>IF($Y69="","",SUMIFS('Per Line'!$Z$2:$Z$1001,'Per Line'!$E$2:$E$1001,$B69,'Per Line'!$AQ$2:$AQ$1001,0,'Per Line'!$AR$2:$AR$1001,0))</f>
        <v/>
      </c>
      <c r="Q69" s="7">
        <f>IF($Y69="","",P69*O69)</f>
        <v/>
      </c>
      <c r="R69">
        <f>IF($Y69="","",Settings!$C$6)</f>
        <v/>
      </c>
      <c r="S69" s="7">
        <f>IF($Y69="","",SUMIFS('Per Line'!$Z$2:$Z$1001,'Per Line'!$E$2:$E$1001,$B69,'Per Line'!$AQ$2:$AQ$1001,1,'Per Line'!$AR$2:$AR$1001,0))</f>
        <v/>
      </c>
      <c r="T69" s="7">
        <f>IF($Y69="","",S69*R69)</f>
        <v/>
      </c>
      <c r="U69" s="7">
        <f>IF($Y69="","",T69+Q69)</f>
        <v/>
      </c>
      <c r="V69" s="7">
        <f>IF($Y69="","",W69-U69)</f>
        <v/>
      </c>
      <c r="W69" s="7">
        <f>IF($Y69="","",P69+S69+N69)</f>
        <v/>
      </c>
      <c r="X69" s="7">
        <f>IF($Y69="","",W69-U69-L69)</f>
        <v/>
      </c>
      <c r="Y69" s="13">
        <f>IF(ROWS($Y$2:$Y69)&lt;=MAX('Per Line'!$AP$2:$AP$1001),MATCH(ROWS($Y$2:$Y69),'Per Line'!$AP$2:$AP$1001,0),"")</f>
        <v/>
      </c>
    </row>
    <row r="70">
      <c r="A70" s="12" t="n"/>
      <c r="B70">
        <f>IF($Y70="","",INDEX('Per Line'!$E$2:$E$1001,$Y70)&amp;"")</f>
        <v/>
      </c>
      <c r="C70">
        <f>IF($Y70="","",INDEX('Per Line'!$F$2:$F$1001,$Y70)&amp;"")</f>
        <v/>
      </c>
      <c r="D70">
        <f>IF($Y70="","",INDEX('Per Line'!$A$2:$A$1001,$Y70)&amp;"")</f>
        <v/>
      </c>
      <c r="E70">
        <f>IF($Y70="","",INDEX('Per Line'!$B$2:$B$1001,$Y70))</f>
        <v/>
      </c>
      <c r="F70">
        <f>IF($Y70="","",INDEX('Per Line'!$G$2:$G$1001,$Y70)&amp;"")</f>
        <v/>
      </c>
      <c r="G70" s="11">
        <f>IF($Y70="","",INDEX('Per Line'!$H$2:$H$1001,$Y70))</f>
        <v/>
      </c>
      <c r="H70">
        <f>IF($Y70="","",INDEX('Per Line'!$K$2:$K$1001,$Y70)&amp;"")</f>
        <v/>
      </c>
      <c r="I70">
        <f>IF($Y70="","",INDEX('Per Line'!$L$2:$L$1001,$Y70)&amp;"")</f>
        <v/>
      </c>
      <c r="J70">
        <f>IF($Y70="","",INDEX('Per Line'!$M$2:$M$1001,$Y70)&amp;"")</f>
        <v/>
      </c>
      <c r="K70">
        <f>IF($Y70="","",INDEX('Per Line'!$Q$2:$Q$1001,$Y70))</f>
        <v/>
      </c>
      <c r="L70" s="7">
        <f>IF($Y70="","",K70*W70/100)</f>
        <v/>
      </c>
      <c r="M70">
        <f>IF($Y70="","",INDEX('Per Line'!$AD$2:$AD$1001,$Y70)&amp;"")</f>
        <v/>
      </c>
      <c r="N70" s="7">
        <f>IF($Y70="","",SUMIFS('Per Line'!$Z$2:$Z$1001,'Per Line'!$E$2:$E$1001,$B70,'Per Line'!$AR$2:$AR$1001,1))</f>
        <v/>
      </c>
      <c r="O70">
        <f>IF($Y70="","",Settings!$C$7)</f>
        <v/>
      </c>
      <c r="P70" s="7">
        <f>IF($Y70="","",SUMIFS('Per Line'!$Z$2:$Z$1001,'Per Line'!$E$2:$E$1001,$B70,'Per Line'!$AQ$2:$AQ$1001,0,'Per Line'!$AR$2:$AR$1001,0))</f>
        <v/>
      </c>
      <c r="Q70" s="7">
        <f>IF($Y70="","",P70*O70)</f>
        <v/>
      </c>
      <c r="R70">
        <f>IF($Y70="","",Settings!$C$6)</f>
        <v/>
      </c>
      <c r="S70" s="7">
        <f>IF($Y70="","",SUMIFS('Per Line'!$Z$2:$Z$1001,'Per Line'!$E$2:$E$1001,$B70,'Per Line'!$AQ$2:$AQ$1001,1,'Per Line'!$AR$2:$AR$1001,0))</f>
        <v/>
      </c>
      <c r="T70" s="7">
        <f>IF($Y70="","",S70*R70)</f>
        <v/>
      </c>
      <c r="U70" s="7">
        <f>IF($Y70="","",T70+Q70)</f>
        <v/>
      </c>
      <c r="V70" s="7">
        <f>IF($Y70="","",W70-U70)</f>
        <v/>
      </c>
      <c r="W70" s="7">
        <f>IF($Y70="","",P70+S70+N70)</f>
        <v/>
      </c>
      <c r="X70" s="7">
        <f>IF($Y70="","",W70-U70-L70)</f>
        <v/>
      </c>
      <c r="Y70" s="13">
        <f>IF(ROWS($Y$2:$Y70)&lt;=MAX('Per Line'!$AP$2:$AP$1001),MATCH(ROWS($Y$2:$Y70),'Per Line'!$AP$2:$AP$1001,0),"")</f>
        <v/>
      </c>
    </row>
    <row r="71">
      <c r="A71" s="12" t="n"/>
      <c r="B71">
        <f>IF($Y71="","",INDEX('Per Line'!$E$2:$E$1001,$Y71)&amp;"")</f>
        <v/>
      </c>
      <c r="C71">
        <f>IF($Y71="","",INDEX('Per Line'!$F$2:$F$1001,$Y71)&amp;"")</f>
        <v/>
      </c>
      <c r="D71">
        <f>IF($Y71="","",INDEX('Per Line'!$A$2:$A$1001,$Y71)&amp;"")</f>
        <v/>
      </c>
      <c r="E71">
        <f>IF($Y71="","",INDEX('Per Line'!$B$2:$B$1001,$Y71))</f>
        <v/>
      </c>
      <c r="F71">
        <f>IF($Y71="","",INDEX('Per Line'!$G$2:$G$1001,$Y71)&amp;"")</f>
        <v/>
      </c>
      <c r="G71" s="11">
        <f>IF($Y71="","",INDEX('Per Line'!$H$2:$H$1001,$Y71))</f>
        <v/>
      </c>
      <c r="H71">
        <f>IF($Y71="","",INDEX('Per Line'!$K$2:$K$1001,$Y71)&amp;"")</f>
        <v/>
      </c>
      <c r="I71">
        <f>IF($Y71="","",INDEX('Per Line'!$L$2:$L$1001,$Y71)&amp;"")</f>
        <v/>
      </c>
      <c r="J71">
        <f>IF($Y71="","",INDEX('Per Line'!$M$2:$M$1001,$Y71)&amp;"")</f>
        <v/>
      </c>
      <c r="K71">
        <f>IF($Y71="","",INDEX('Per Line'!$Q$2:$Q$1001,$Y71))</f>
        <v/>
      </c>
      <c r="L71" s="7">
        <f>IF($Y71="","",K71*W71/100)</f>
        <v/>
      </c>
      <c r="M71">
        <f>IF($Y71="","",INDEX('Per Line'!$AD$2:$AD$1001,$Y71)&amp;"")</f>
        <v/>
      </c>
      <c r="N71" s="7">
        <f>IF($Y71="","",SUMIFS('Per Line'!$Z$2:$Z$1001,'Per Line'!$E$2:$E$1001,$B71,'Per Line'!$AR$2:$AR$1001,1))</f>
        <v/>
      </c>
      <c r="O71">
        <f>IF($Y71="","",Settings!$C$7)</f>
        <v/>
      </c>
      <c r="P71" s="7">
        <f>IF($Y71="","",SUMIFS('Per Line'!$Z$2:$Z$1001,'Per Line'!$E$2:$E$1001,$B71,'Per Line'!$AQ$2:$AQ$1001,0,'Per Line'!$AR$2:$AR$1001,0))</f>
        <v/>
      </c>
      <c r="Q71" s="7">
        <f>IF($Y71="","",P71*O71)</f>
        <v/>
      </c>
      <c r="R71">
        <f>IF($Y71="","",Settings!$C$6)</f>
        <v/>
      </c>
      <c r="S71" s="7">
        <f>IF($Y71="","",SUMIFS('Per Line'!$Z$2:$Z$1001,'Per Line'!$E$2:$E$1001,$B71,'Per Line'!$AQ$2:$AQ$1001,1,'Per Line'!$AR$2:$AR$1001,0))</f>
        <v/>
      </c>
      <c r="T71" s="7">
        <f>IF($Y71="","",S71*R71)</f>
        <v/>
      </c>
      <c r="U71" s="7">
        <f>IF($Y71="","",T71+Q71)</f>
        <v/>
      </c>
      <c r="V71" s="7">
        <f>IF($Y71="","",W71-U71)</f>
        <v/>
      </c>
      <c r="W71" s="7">
        <f>IF($Y71="","",P71+S71+N71)</f>
        <v/>
      </c>
      <c r="X71" s="7">
        <f>IF($Y71="","",W71-U71-L71)</f>
        <v/>
      </c>
      <c r="Y71" s="13">
        <f>IF(ROWS($Y$2:$Y71)&lt;=MAX('Per Line'!$AP$2:$AP$1001),MATCH(ROWS($Y$2:$Y71),'Per Line'!$AP$2:$AP$1001,0),"")</f>
        <v/>
      </c>
    </row>
    <row r="72">
      <c r="A72" s="12" t="n"/>
      <c r="B72">
        <f>IF($Y72="","",INDEX('Per Line'!$E$2:$E$1001,$Y72)&amp;"")</f>
        <v/>
      </c>
      <c r="C72">
        <f>IF($Y72="","",INDEX('Per Line'!$F$2:$F$1001,$Y72)&amp;"")</f>
        <v/>
      </c>
      <c r="D72">
        <f>IF($Y72="","",INDEX('Per Line'!$A$2:$A$1001,$Y72)&amp;"")</f>
        <v/>
      </c>
      <c r="E72">
        <f>IF($Y72="","",INDEX('Per Line'!$B$2:$B$1001,$Y72))</f>
        <v/>
      </c>
      <c r="F72">
        <f>IF($Y72="","",INDEX('Per Line'!$G$2:$G$1001,$Y72)&amp;"")</f>
        <v/>
      </c>
      <c r="G72" s="11">
        <f>IF($Y72="","",INDEX('Per Line'!$H$2:$H$1001,$Y72))</f>
        <v/>
      </c>
      <c r="H72">
        <f>IF($Y72="","",INDEX('Per Line'!$K$2:$K$1001,$Y72)&amp;"")</f>
        <v/>
      </c>
      <c r="I72">
        <f>IF($Y72="","",INDEX('Per Line'!$L$2:$L$1001,$Y72)&amp;"")</f>
        <v/>
      </c>
      <c r="J72">
        <f>IF($Y72="","",INDEX('Per Line'!$M$2:$M$1001,$Y72)&amp;"")</f>
        <v/>
      </c>
      <c r="K72">
        <f>IF($Y72="","",INDEX('Per Line'!$Q$2:$Q$1001,$Y72))</f>
        <v/>
      </c>
      <c r="L72" s="7">
        <f>IF($Y72="","",K72*W72/100)</f>
        <v/>
      </c>
      <c r="M72">
        <f>IF($Y72="","",INDEX('Per Line'!$AD$2:$AD$1001,$Y72)&amp;"")</f>
        <v/>
      </c>
      <c r="N72" s="7">
        <f>IF($Y72="","",SUMIFS('Per Line'!$Z$2:$Z$1001,'Per Line'!$E$2:$E$1001,$B72,'Per Line'!$AR$2:$AR$1001,1))</f>
        <v/>
      </c>
      <c r="O72">
        <f>IF($Y72="","",Settings!$C$7)</f>
        <v/>
      </c>
      <c r="P72" s="7">
        <f>IF($Y72="","",SUMIFS('Per Line'!$Z$2:$Z$1001,'Per Line'!$E$2:$E$1001,$B72,'Per Line'!$AQ$2:$AQ$1001,0,'Per Line'!$AR$2:$AR$1001,0))</f>
        <v/>
      </c>
      <c r="Q72" s="7">
        <f>IF($Y72="","",P72*O72)</f>
        <v/>
      </c>
      <c r="R72">
        <f>IF($Y72="","",Settings!$C$6)</f>
        <v/>
      </c>
      <c r="S72" s="7">
        <f>IF($Y72="","",SUMIFS('Per Line'!$Z$2:$Z$1001,'Per Line'!$E$2:$E$1001,$B72,'Per Line'!$AQ$2:$AQ$1001,1,'Per Line'!$AR$2:$AR$1001,0))</f>
        <v/>
      </c>
      <c r="T72" s="7">
        <f>IF($Y72="","",S72*R72)</f>
        <v/>
      </c>
      <c r="U72" s="7">
        <f>IF($Y72="","",T72+Q72)</f>
        <v/>
      </c>
      <c r="V72" s="7">
        <f>IF($Y72="","",W72-U72)</f>
        <v/>
      </c>
      <c r="W72" s="7">
        <f>IF($Y72="","",P72+S72+N72)</f>
        <v/>
      </c>
      <c r="X72" s="7">
        <f>IF($Y72="","",W72-U72-L72)</f>
        <v/>
      </c>
      <c r="Y72" s="13">
        <f>IF(ROWS($Y$2:$Y72)&lt;=MAX('Per Line'!$AP$2:$AP$1001),MATCH(ROWS($Y$2:$Y72),'Per Line'!$AP$2:$AP$1001,0),"")</f>
        <v/>
      </c>
    </row>
    <row r="73">
      <c r="A73" s="12" t="n"/>
      <c r="B73">
        <f>IF($Y73="","",INDEX('Per Line'!$E$2:$E$1001,$Y73)&amp;"")</f>
        <v/>
      </c>
      <c r="C73">
        <f>IF($Y73="","",INDEX('Per Line'!$F$2:$F$1001,$Y73)&amp;"")</f>
        <v/>
      </c>
      <c r="D73">
        <f>IF($Y73="","",INDEX('Per Line'!$A$2:$A$1001,$Y73)&amp;"")</f>
        <v/>
      </c>
      <c r="E73">
        <f>IF($Y73="","",INDEX('Per Line'!$B$2:$B$1001,$Y73))</f>
        <v/>
      </c>
      <c r="F73">
        <f>IF($Y73="","",INDEX('Per Line'!$G$2:$G$1001,$Y73)&amp;"")</f>
        <v/>
      </c>
      <c r="G73" s="11">
        <f>IF($Y73="","",INDEX('Per Line'!$H$2:$H$1001,$Y73))</f>
        <v/>
      </c>
      <c r="H73">
        <f>IF($Y73="","",INDEX('Per Line'!$K$2:$K$1001,$Y73)&amp;"")</f>
        <v/>
      </c>
      <c r="I73">
        <f>IF($Y73="","",INDEX('Per Line'!$L$2:$L$1001,$Y73)&amp;"")</f>
        <v/>
      </c>
      <c r="J73">
        <f>IF($Y73="","",INDEX('Per Line'!$M$2:$M$1001,$Y73)&amp;"")</f>
        <v/>
      </c>
      <c r="K73">
        <f>IF($Y73="","",INDEX('Per Line'!$Q$2:$Q$1001,$Y73))</f>
        <v/>
      </c>
      <c r="L73" s="7">
        <f>IF($Y73="","",K73*W73/100)</f>
        <v/>
      </c>
      <c r="M73">
        <f>IF($Y73="","",INDEX('Per Line'!$AD$2:$AD$1001,$Y73)&amp;"")</f>
        <v/>
      </c>
      <c r="N73" s="7">
        <f>IF($Y73="","",SUMIFS('Per Line'!$Z$2:$Z$1001,'Per Line'!$E$2:$E$1001,$B73,'Per Line'!$AR$2:$AR$1001,1))</f>
        <v/>
      </c>
      <c r="O73">
        <f>IF($Y73="","",Settings!$C$7)</f>
        <v/>
      </c>
      <c r="P73" s="7">
        <f>IF($Y73="","",SUMIFS('Per Line'!$Z$2:$Z$1001,'Per Line'!$E$2:$E$1001,$B73,'Per Line'!$AQ$2:$AQ$1001,0,'Per Line'!$AR$2:$AR$1001,0))</f>
        <v/>
      </c>
      <c r="Q73" s="7">
        <f>IF($Y73="","",P73*O73)</f>
        <v/>
      </c>
      <c r="R73">
        <f>IF($Y73="","",Settings!$C$6)</f>
        <v/>
      </c>
      <c r="S73" s="7">
        <f>IF($Y73="","",SUMIFS('Per Line'!$Z$2:$Z$1001,'Per Line'!$E$2:$E$1001,$B73,'Per Line'!$AQ$2:$AQ$1001,1,'Per Line'!$AR$2:$AR$1001,0))</f>
        <v/>
      </c>
      <c r="T73" s="7">
        <f>IF($Y73="","",S73*R73)</f>
        <v/>
      </c>
      <c r="U73" s="7">
        <f>IF($Y73="","",T73+Q73)</f>
        <v/>
      </c>
      <c r="V73" s="7">
        <f>IF($Y73="","",W73-U73)</f>
        <v/>
      </c>
      <c r="W73" s="7">
        <f>IF($Y73="","",P73+S73+N73)</f>
        <v/>
      </c>
      <c r="X73" s="7">
        <f>IF($Y73="","",W73-U73-L73)</f>
        <v/>
      </c>
      <c r="Y73" s="13">
        <f>IF(ROWS($Y$2:$Y73)&lt;=MAX('Per Line'!$AP$2:$AP$1001),MATCH(ROWS($Y$2:$Y73),'Per Line'!$AP$2:$AP$1001,0),"")</f>
        <v/>
      </c>
    </row>
    <row r="74">
      <c r="A74" s="12" t="n"/>
      <c r="B74">
        <f>IF($Y74="","",INDEX('Per Line'!$E$2:$E$1001,$Y74)&amp;"")</f>
        <v/>
      </c>
      <c r="C74">
        <f>IF($Y74="","",INDEX('Per Line'!$F$2:$F$1001,$Y74)&amp;"")</f>
        <v/>
      </c>
      <c r="D74">
        <f>IF($Y74="","",INDEX('Per Line'!$A$2:$A$1001,$Y74)&amp;"")</f>
        <v/>
      </c>
      <c r="E74">
        <f>IF($Y74="","",INDEX('Per Line'!$B$2:$B$1001,$Y74))</f>
        <v/>
      </c>
      <c r="F74">
        <f>IF($Y74="","",INDEX('Per Line'!$G$2:$G$1001,$Y74)&amp;"")</f>
        <v/>
      </c>
      <c r="G74" s="11">
        <f>IF($Y74="","",INDEX('Per Line'!$H$2:$H$1001,$Y74))</f>
        <v/>
      </c>
      <c r="H74">
        <f>IF($Y74="","",INDEX('Per Line'!$K$2:$K$1001,$Y74)&amp;"")</f>
        <v/>
      </c>
      <c r="I74">
        <f>IF($Y74="","",INDEX('Per Line'!$L$2:$L$1001,$Y74)&amp;"")</f>
        <v/>
      </c>
      <c r="J74">
        <f>IF($Y74="","",INDEX('Per Line'!$M$2:$M$1001,$Y74)&amp;"")</f>
        <v/>
      </c>
      <c r="K74">
        <f>IF($Y74="","",INDEX('Per Line'!$Q$2:$Q$1001,$Y74))</f>
        <v/>
      </c>
      <c r="L74" s="7">
        <f>IF($Y74="","",K74*W74/100)</f>
        <v/>
      </c>
      <c r="M74">
        <f>IF($Y74="","",INDEX('Per Line'!$AD$2:$AD$1001,$Y74)&amp;"")</f>
        <v/>
      </c>
      <c r="N74" s="7">
        <f>IF($Y74="","",SUMIFS('Per Line'!$Z$2:$Z$1001,'Per Line'!$E$2:$E$1001,$B74,'Per Line'!$AR$2:$AR$1001,1))</f>
        <v/>
      </c>
      <c r="O74">
        <f>IF($Y74="","",Settings!$C$7)</f>
        <v/>
      </c>
      <c r="P74" s="7">
        <f>IF($Y74="","",SUMIFS('Per Line'!$Z$2:$Z$1001,'Per Line'!$E$2:$E$1001,$B74,'Per Line'!$AQ$2:$AQ$1001,0,'Per Line'!$AR$2:$AR$1001,0))</f>
        <v/>
      </c>
      <c r="Q74" s="7">
        <f>IF($Y74="","",P74*O74)</f>
        <v/>
      </c>
      <c r="R74">
        <f>IF($Y74="","",Settings!$C$6)</f>
        <v/>
      </c>
      <c r="S74" s="7">
        <f>IF($Y74="","",SUMIFS('Per Line'!$Z$2:$Z$1001,'Per Line'!$E$2:$E$1001,$B74,'Per Line'!$AQ$2:$AQ$1001,1,'Per Line'!$AR$2:$AR$1001,0))</f>
        <v/>
      </c>
      <c r="T74" s="7">
        <f>IF($Y74="","",S74*R74)</f>
        <v/>
      </c>
      <c r="U74" s="7">
        <f>IF($Y74="","",T74+Q74)</f>
        <v/>
      </c>
      <c r="V74" s="7">
        <f>IF($Y74="","",W74-U74)</f>
        <v/>
      </c>
      <c r="W74" s="7">
        <f>IF($Y74="","",P74+S74+N74)</f>
        <v/>
      </c>
      <c r="X74" s="7">
        <f>IF($Y74="","",W74-U74-L74)</f>
        <v/>
      </c>
      <c r="Y74" s="13">
        <f>IF(ROWS($Y$2:$Y74)&lt;=MAX('Per Line'!$AP$2:$AP$1001),MATCH(ROWS($Y$2:$Y74),'Per Line'!$AP$2:$AP$1001,0),"")</f>
        <v/>
      </c>
    </row>
    <row r="75">
      <c r="A75" s="12" t="n"/>
      <c r="B75">
        <f>IF($Y75="","",INDEX('Per Line'!$E$2:$E$1001,$Y75)&amp;"")</f>
        <v/>
      </c>
      <c r="C75">
        <f>IF($Y75="","",INDEX('Per Line'!$F$2:$F$1001,$Y75)&amp;"")</f>
        <v/>
      </c>
      <c r="D75">
        <f>IF($Y75="","",INDEX('Per Line'!$A$2:$A$1001,$Y75)&amp;"")</f>
        <v/>
      </c>
      <c r="E75">
        <f>IF($Y75="","",INDEX('Per Line'!$B$2:$B$1001,$Y75))</f>
        <v/>
      </c>
      <c r="F75">
        <f>IF($Y75="","",INDEX('Per Line'!$G$2:$G$1001,$Y75)&amp;"")</f>
        <v/>
      </c>
      <c r="G75" s="11">
        <f>IF($Y75="","",INDEX('Per Line'!$H$2:$H$1001,$Y75))</f>
        <v/>
      </c>
      <c r="H75">
        <f>IF($Y75="","",INDEX('Per Line'!$K$2:$K$1001,$Y75)&amp;"")</f>
        <v/>
      </c>
      <c r="I75">
        <f>IF($Y75="","",INDEX('Per Line'!$L$2:$L$1001,$Y75)&amp;"")</f>
        <v/>
      </c>
      <c r="J75">
        <f>IF($Y75="","",INDEX('Per Line'!$M$2:$M$1001,$Y75)&amp;"")</f>
        <v/>
      </c>
      <c r="K75">
        <f>IF($Y75="","",INDEX('Per Line'!$Q$2:$Q$1001,$Y75))</f>
        <v/>
      </c>
      <c r="L75" s="7">
        <f>IF($Y75="","",K75*W75/100)</f>
        <v/>
      </c>
      <c r="M75">
        <f>IF($Y75="","",INDEX('Per Line'!$AD$2:$AD$1001,$Y75)&amp;"")</f>
        <v/>
      </c>
      <c r="N75" s="7">
        <f>IF($Y75="","",SUMIFS('Per Line'!$Z$2:$Z$1001,'Per Line'!$E$2:$E$1001,$B75,'Per Line'!$AR$2:$AR$1001,1))</f>
        <v/>
      </c>
      <c r="O75">
        <f>IF($Y75="","",Settings!$C$7)</f>
        <v/>
      </c>
      <c r="P75" s="7">
        <f>IF($Y75="","",SUMIFS('Per Line'!$Z$2:$Z$1001,'Per Line'!$E$2:$E$1001,$B75,'Per Line'!$AQ$2:$AQ$1001,0,'Per Line'!$AR$2:$AR$1001,0))</f>
        <v/>
      </c>
      <c r="Q75" s="7">
        <f>IF($Y75="","",P75*O75)</f>
        <v/>
      </c>
      <c r="R75">
        <f>IF($Y75="","",Settings!$C$6)</f>
        <v/>
      </c>
      <c r="S75" s="7">
        <f>IF($Y75="","",SUMIFS('Per Line'!$Z$2:$Z$1001,'Per Line'!$E$2:$E$1001,$B75,'Per Line'!$AQ$2:$AQ$1001,1,'Per Line'!$AR$2:$AR$1001,0))</f>
        <v/>
      </c>
      <c r="T75" s="7">
        <f>IF($Y75="","",S75*R75)</f>
        <v/>
      </c>
      <c r="U75" s="7">
        <f>IF($Y75="","",T75+Q75)</f>
        <v/>
      </c>
      <c r="V75" s="7">
        <f>IF($Y75="","",W75-U75)</f>
        <v/>
      </c>
      <c r="W75" s="7">
        <f>IF($Y75="","",P75+S75+N75)</f>
        <v/>
      </c>
      <c r="X75" s="7">
        <f>IF($Y75="","",W75-U75-L75)</f>
        <v/>
      </c>
      <c r="Y75" s="13">
        <f>IF(ROWS($Y$2:$Y75)&lt;=MAX('Per Line'!$AP$2:$AP$1001),MATCH(ROWS($Y$2:$Y75),'Per Line'!$AP$2:$AP$1001,0),"")</f>
        <v/>
      </c>
    </row>
    <row r="76">
      <c r="A76" s="12" t="n"/>
      <c r="B76">
        <f>IF($Y76="","",INDEX('Per Line'!$E$2:$E$1001,$Y76)&amp;"")</f>
        <v/>
      </c>
      <c r="C76">
        <f>IF($Y76="","",INDEX('Per Line'!$F$2:$F$1001,$Y76)&amp;"")</f>
        <v/>
      </c>
      <c r="D76">
        <f>IF($Y76="","",INDEX('Per Line'!$A$2:$A$1001,$Y76)&amp;"")</f>
        <v/>
      </c>
      <c r="E76">
        <f>IF($Y76="","",INDEX('Per Line'!$B$2:$B$1001,$Y76))</f>
        <v/>
      </c>
      <c r="F76">
        <f>IF($Y76="","",INDEX('Per Line'!$G$2:$G$1001,$Y76)&amp;"")</f>
        <v/>
      </c>
      <c r="G76" s="11">
        <f>IF($Y76="","",INDEX('Per Line'!$H$2:$H$1001,$Y76))</f>
        <v/>
      </c>
      <c r="H76">
        <f>IF($Y76="","",INDEX('Per Line'!$K$2:$K$1001,$Y76)&amp;"")</f>
        <v/>
      </c>
      <c r="I76">
        <f>IF($Y76="","",INDEX('Per Line'!$L$2:$L$1001,$Y76)&amp;"")</f>
        <v/>
      </c>
      <c r="J76">
        <f>IF($Y76="","",INDEX('Per Line'!$M$2:$M$1001,$Y76)&amp;"")</f>
        <v/>
      </c>
      <c r="K76">
        <f>IF($Y76="","",INDEX('Per Line'!$Q$2:$Q$1001,$Y76))</f>
        <v/>
      </c>
      <c r="L76" s="7">
        <f>IF($Y76="","",K76*W76/100)</f>
        <v/>
      </c>
      <c r="M76">
        <f>IF($Y76="","",INDEX('Per Line'!$AD$2:$AD$1001,$Y76)&amp;"")</f>
        <v/>
      </c>
      <c r="N76" s="7">
        <f>IF($Y76="","",SUMIFS('Per Line'!$Z$2:$Z$1001,'Per Line'!$E$2:$E$1001,$B76,'Per Line'!$AR$2:$AR$1001,1))</f>
        <v/>
      </c>
      <c r="O76">
        <f>IF($Y76="","",Settings!$C$7)</f>
        <v/>
      </c>
      <c r="P76" s="7">
        <f>IF($Y76="","",SUMIFS('Per Line'!$Z$2:$Z$1001,'Per Line'!$E$2:$E$1001,$B76,'Per Line'!$AQ$2:$AQ$1001,0,'Per Line'!$AR$2:$AR$1001,0))</f>
        <v/>
      </c>
      <c r="Q76" s="7">
        <f>IF($Y76="","",P76*O76)</f>
        <v/>
      </c>
      <c r="R76">
        <f>IF($Y76="","",Settings!$C$6)</f>
        <v/>
      </c>
      <c r="S76" s="7">
        <f>IF($Y76="","",SUMIFS('Per Line'!$Z$2:$Z$1001,'Per Line'!$E$2:$E$1001,$B76,'Per Line'!$AQ$2:$AQ$1001,1,'Per Line'!$AR$2:$AR$1001,0))</f>
        <v/>
      </c>
      <c r="T76" s="7">
        <f>IF($Y76="","",S76*R76)</f>
        <v/>
      </c>
      <c r="U76" s="7">
        <f>IF($Y76="","",T76+Q76)</f>
        <v/>
      </c>
      <c r="V76" s="7">
        <f>IF($Y76="","",W76-U76)</f>
        <v/>
      </c>
      <c r="W76" s="7">
        <f>IF($Y76="","",P76+S76+N76)</f>
        <v/>
      </c>
      <c r="X76" s="7">
        <f>IF($Y76="","",W76-U76-L76)</f>
        <v/>
      </c>
      <c r="Y76" s="13">
        <f>IF(ROWS($Y$2:$Y76)&lt;=MAX('Per Line'!$AP$2:$AP$1001),MATCH(ROWS($Y$2:$Y76),'Per Line'!$AP$2:$AP$1001,0),"")</f>
        <v/>
      </c>
    </row>
    <row r="77">
      <c r="A77" s="12" t="n"/>
      <c r="B77">
        <f>IF($Y77="","",INDEX('Per Line'!$E$2:$E$1001,$Y77)&amp;"")</f>
        <v/>
      </c>
      <c r="C77">
        <f>IF($Y77="","",INDEX('Per Line'!$F$2:$F$1001,$Y77)&amp;"")</f>
        <v/>
      </c>
      <c r="D77">
        <f>IF($Y77="","",INDEX('Per Line'!$A$2:$A$1001,$Y77)&amp;"")</f>
        <v/>
      </c>
      <c r="E77">
        <f>IF($Y77="","",INDEX('Per Line'!$B$2:$B$1001,$Y77))</f>
        <v/>
      </c>
      <c r="F77">
        <f>IF($Y77="","",INDEX('Per Line'!$G$2:$G$1001,$Y77)&amp;"")</f>
        <v/>
      </c>
      <c r="G77" s="11">
        <f>IF($Y77="","",INDEX('Per Line'!$H$2:$H$1001,$Y77))</f>
        <v/>
      </c>
      <c r="H77">
        <f>IF($Y77="","",INDEX('Per Line'!$K$2:$K$1001,$Y77)&amp;"")</f>
        <v/>
      </c>
      <c r="I77">
        <f>IF($Y77="","",INDEX('Per Line'!$L$2:$L$1001,$Y77)&amp;"")</f>
        <v/>
      </c>
      <c r="J77">
        <f>IF($Y77="","",INDEX('Per Line'!$M$2:$M$1001,$Y77)&amp;"")</f>
        <v/>
      </c>
      <c r="K77">
        <f>IF($Y77="","",INDEX('Per Line'!$Q$2:$Q$1001,$Y77))</f>
        <v/>
      </c>
      <c r="L77" s="7">
        <f>IF($Y77="","",K77*W77/100)</f>
        <v/>
      </c>
      <c r="M77">
        <f>IF($Y77="","",INDEX('Per Line'!$AD$2:$AD$1001,$Y77)&amp;"")</f>
        <v/>
      </c>
      <c r="N77" s="7">
        <f>IF($Y77="","",SUMIFS('Per Line'!$Z$2:$Z$1001,'Per Line'!$E$2:$E$1001,$B77,'Per Line'!$AR$2:$AR$1001,1))</f>
        <v/>
      </c>
      <c r="O77">
        <f>IF($Y77="","",Settings!$C$7)</f>
        <v/>
      </c>
      <c r="P77" s="7">
        <f>IF($Y77="","",SUMIFS('Per Line'!$Z$2:$Z$1001,'Per Line'!$E$2:$E$1001,$B77,'Per Line'!$AQ$2:$AQ$1001,0,'Per Line'!$AR$2:$AR$1001,0))</f>
        <v/>
      </c>
      <c r="Q77" s="7">
        <f>IF($Y77="","",P77*O77)</f>
        <v/>
      </c>
      <c r="R77">
        <f>IF($Y77="","",Settings!$C$6)</f>
        <v/>
      </c>
      <c r="S77" s="7">
        <f>IF($Y77="","",SUMIFS('Per Line'!$Z$2:$Z$1001,'Per Line'!$E$2:$E$1001,$B77,'Per Line'!$AQ$2:$AQ$1001,1,'Per Line'!$AR$2:$AR$1001,0))</f>
        <v/>
      </c>
      <c r="T77" s="7">
        <f>IF($Y77="","",S77*R77)</f>
        <v/>
      </c>
      <c r="U77" s="7">
        <f>IF($Y77="","",T77+Q77)</f>
        <v/>
      </c>
      <c r="V77" s="7">
        <f>IF($Y77="","",W77-U77)</f>
        <v/>
      </c>
      <c r="W77" s="7">
        <f>IF($Y77="","",P77+S77+N77)</f>
        <v/>
      </c>
      <c r="X77" s="7">
        <f>IF($Y77="","",W77-U77-L77)</f>
        <v/>
      </c>
      <c r="Y77" s="13">
        <f>IF(ROWS($Y$2:$Y77)&lt;=MAX('Per Line'!$AP$2:$AP$1001),MATCH(ROWS($Y$2:$Y77),'Per Line'!$AP$2:$AP$1001,0),"")</f>
        <v/>
      </c>
    </row>
    <row r="78">
      <c r="A78" s="12" t="n"/>
      <c r="B78">
        <f>IF($Y78="","",INDEX('Per Line'!$E$2:$E$1001,$Y78)&amp;"")</f>
        <v/>
      </c>
      <c r="C78">
        <f>IF($Y78="","",INDEX('Per Line'!$F$2:$F$1001,$Y78)&amp;"")</f>
        <v/>
      </c>
      <c r="D78">
        <f>IF($Y78="","",INDEX('Per Line'!$A$2:$A$1001,$Y78)&amp;"")</f>
        <v/>
      </c>
      <c r="E78">
        <f>IF($Y78="","",INDEX('Per Line'!$B$2:$B$1001,$Y78))</f>
        <v/>
      </c>
      <c r="F78">
        <f>IF($Y78="","",INDEX('Per Line'!$G$2:$G$1001,$Y78)&amp;"")</f>
        <v/>
      </c>
      <c r="G78" s="11">
        <f>IF($Y78="","",INDEX('Per Line'!$H$2:$H$1001,$Y78))</f>
        <v/>
      </c>
      <c r="H78">
        <f>IF($Y78="","",INDEX('Per Line'!$K$2:$K$1001,$Y78)&amp;"")</f>
        <v/>
      </c>
      <c r="I78">
        <f>IF($Y78="","",INDEX('Per Line'!$L$2:$L$1001,$Y78)&amp;"")</f>
        <v/>
      </c>
      <c r="J78">
        <f>IF($Y78="","",INDEX('Per Line'!$M$2:$M$1001,$Y78)&amp;"")</f>
        <v/>
      </c>
      <c r="K78">
        <f>IF($Y78="","",INDEX('Per Line'!$Q$2:$Q$1001,$Y78))</f>
        <v/>
      </c>
      <c r="L78" s="7">
        <f>IF($Y78="","",K78*W78/100)</f>
        <v/>
      </c>
      <c r="M78">
        <f>IF($Y78="","",INDEX('Per Line'!$AD$2:$AD$1001,$Y78)&amp;"")</f>
        <v/>
      </c>
      <c r="N78" s="7">
        <f>IF($Y78="","",SUMIFS('Per Line'!$Z$2:$Z$1001,'Per Line'!$E$2:$E$1001,$B78,'Per Line'!$AR$2:$AR$1001,1))</f>
        <v/>
      </c>
      <c r="O78">
        <f>IF($Y78="","",Settings!$C$7)</f>
        <v/>
      </c>
      <c r="P78" s="7">
        <f>IF($Y78="","",SUMIFS('Per Line'!$Z$2:$Z$1001,'Per Line'!$E$2:$E$1001,$B78,'Per Line'!$AQ$2:$AQ$1001,0,'Per Line'!$AR$2:$AR$1001,0))</f>
        <v/>
      </c>
      <c r="Q78" s="7">
        <f>IF($Y78="","",P78*O78)</f>
        <v/>
      </c>
      <c r="R78">
        <f>IF($Y78="","",Settings!$C$6)</f>
        <v/>
      </c>
      <c r="S78" s="7">
        <f>IF($Y78="","",SUMIFS('Per Line'!$Z$2:$Z$1001,'Per Line'!$E$2:$E$1001,$B78,'Per Line'!$AQ$2:$AQ$1001,1,'Per Line'!$AR$2:$AR$1001,0))</f>
        <v/>
      </c>
      <c r="T78" s="7">
        <f>IF($Y78="","",S78*R78)</f>
        <v/>
      </c>
      <c r="U78" s="7">
        <f>IF($Y78="","",T78+Q78)</f>
        <v/>
      </c>
      <c r="V78" s="7">
        <f>IF($Y78="","",W78-U78)</f>
        <v/>
      </c>
      <c r="W78" s="7">
        <f>IF($Y78="","",P78+S78+N78)</f>
        <v/>
      </c>
      <c r="X78" s="7">
        <f>IF($Y78="","",W78-U78-L78)</f>
        <v/>
      </c>
      <c r="Y78" s="13">
        <f>IF(ROWS($Y$2:$Y78)&lt;=MAX('Per Line'!$AP$2:$AP$1001),MATCH(ROWS($Y$2:$Y78),'Per Line'!$AP$2:$AP$1001,0),"")</f>
        <v/>
      </c>
    </row>
    <row r="79">
      <c r="A79" s="12" t="n"/>
      <c r="B79">
        <f>IF($Y79="","",INDEX('Per Line'!$E$2:$E$1001,$Y79)&amp;"")</f>
        <v/>
      </c>
      <c r="C79">
        <f>IF($Y79="","",INDEX('Per Line'!$F$2:$F$1001,$Y79)&amp;"")</f>
        <v/>
      </c>
      <c r="D79">
        <f>IF($Y79="","",INDEX('Per Line'!$A$2:$A$1001,$Y79)&amp;"")</f>
        <v/>
      </c>
      <c r="E79">
        <f>IF($Y79="","",INDEX('Per Line'!$B$2:$B$1001,$Y79))</f>
        <v/>
      </c>
      <c r="F79">
        <f>IF($Y79="","",INDEX('Per Line'!$G$2:$G$1001,$Y79)&amp;"")</f>
        <v/>
      </c>
      <c r="G79" s="11">
        <f>IF($Y79="","",INDEX('Per Line'!$H$2:$H$1001,$Y79))</f>
        <v/>
      </c>
      <c r="H79">
        <f>IF($Y79="","",INDEX('Per Line'!$K$2:$K$1001,$Y79)&amp;"")</f>
        <v/>
      </c>
      <c r="I79">
        <f>IF($Y79="","",INDEX('Per Line'!$L$2:$L$1001,$Y79)&amp;"")</f>
        <v/>
      </c>
      <c r="J79">
        <f>IF($Y79="","",INDEX('Per Line'!$M$2:$M$1001,$Y79)&amp;"")</f>
        <v/>
      </c>
      <c r="K79">
        <f>IF($Y79="","",INDEX('Per Line'!$Q$2:$Q$1001,$Y79))</f>
        <v/>
      </c>
      <c r="L79" s="7">
        <f>IF($Y79="","",K79*W79/100)</f>
        <v/>
      </c>
      <c r="M79">
        <f>IF($Y79="","",INDEX('Per Line'!$AD$2:$AD$1001,$Y79)&amp;"")</f>
        <v/>
      </c>
      <c r="N79" s="7">
        <f>IF($Y79="","",SUMIFS('Per Line'!$Z$2:$Z$1001,'Per Line'!$E$2:$E$1001,$B79,'Per Line'!$AR$2:$AR$1001,1))</f>
        <v/>
      </c>
      <c r="O79">
        <f>IF($Y79="","",Settings!$C$7)</f>
        <v/>
      </c>
      <c r="P79" s="7">
        <f>IF($Y79="","",SUMIFS('Per Line'!$Z$2:$Z$1001,'Per Line'!$E$2:$E$1001,$B79,'Per Line'!$AQ$2:$AQ$1001,0,'Per Line'!$AR$2:$AR$1001,0))</f>
        <v/>
      </c>
      <c r="Q79" s="7">
        <f>IF($Y79="","",P79*O79)</f>
        <v/>
      </c>
      <c r="R79">
        <f>IF($Y79="","",Settings!$C$6)</f>
        <v/>
      </c>
      <c r="S79" s="7">
        <f>IF($Y79="","",SUMIFS('Per Line'!$Z$2:$Z$1001,'Per Line'!$E$2:$E$1001,$B79,'Per Line'!$AQ$2:$AQ$1001,1,'Per Line'!$AR$2:$AR$1001,0))</f>
        <v/>
      </c>
      <c r="T79" s="7">
        <f>IF($Y79="","",S79*R79)</f>
        <v/>
      </c>
      <c r="U79" s="7">
        <f>IF($Y79="","",T79+Q79)</f>
        <v/>
      </c>
      <c r="V79" s="7">
        <f>IF($Y79="","",W79-U79)</f>
        <v/>
      </c>
      <c r="W79" s="7">
        <f>IF($Y79="","",P79+S79+N79)</f>
        <v/>
      </c>
      <c r="X79" s="7">
        <f>IF($Y79="","",W79-U79-L79)</f>
        <v/>
      </c>
      <c r="Y79" s="13">
        <f>IF(ROWS($Y$2:$Y79)&lt;=MAX('Per Line'!$AP$2:$AP$1001),MATCH(ROWS($Y$2:$Y79),'Per Line'!$AP$2:$AP$1001,0),"")</f>
        <v/>
      </c>
    </row>
    <row r="80">
      <c r="A80" s="12" t="n"/>
      <c r="B80">
        <f>IF($Y80="","",INDEX('Per Line'!$E$2:$E$1001,$Y80)&amp;"")</f>
        <v/>
      </c>
      <c r="C80">
        <f>IF($Y80="","",INDEX('Per Line'!$F$2:$F$1001,$Y80)&amp;"")</f>
        <v/>
      </c>
      <c r="D80">
        <f>IF($Y80="","",INDEX('Per Line'!$A$2:$A$1001,$Y80)&amp;"")</f>
        <v/>
      </c>
      <c r="E80">
        <f>IF($Y80="","",INDEX('Per Line'!$B$2:$B$1001,$Y80))</f>
        <v/>
      </c>
      <c r="F80">
        <f>IF($Y80="","",INDEX('Per Line'!$G$2:$G$1001,$Y80)&amp;"")</f>
        <v/>
      </c>
      <c r="G80" s="11">
        <f>IF($Y80="","",INDEX('Per Line'!$H$2:$H$1001,$Y80))</f>
        <v/>
      </c>
      <c r="H80">
        <f>IF($Y80="","",INDEX('Per Line'!$K$2:$K$1001,$Y80)&amp;"")</f>
        <v/>
      </c>
      <c r="I80">
        <f>IF($Y80="","",INDEX('Per Line'!$L$2:$L$1001,$Y80)&amp;"")</f>
        <v/>
      </c>
      <c r="J80">
        <f>IF($Y80="","",INDEX('Per Line'!$M$2:$M$1001,$Y80)&amp;"")</f>
        <v/>
      </c>
      <c r="K80">
        <f>IF($Y80="","",INDEX('Per Line'!$Q$2:$Q$1001,$Y80))</f>
        <v/>
      </c>
      <c r="L80" s="7">
        <f>IF($Y80="","",K80*W80/100)</f>
        <v/>
      </c>
      <c r="M80">
        <f>IF($Y80="","",INDEX('Per Line'!$AD$2:$AD$1001,$Y80)&amp;"")</f>
        <v/>
      </c>
      <c r="N80" s="7">
        <f>IF($Y80="","",SUMIFS('Per Line'!$Z$2:$Z$1001,'Per Line'!$E$2:$E$1001,$B80,'Per Line'!$AR$2:$AR$1001,1))</f>
        <v/>
      </c>
      <c r="O80">
        <f>IF($Y80="","",Settings!$C$7)</f>
        <v/>
      </c>
      <c r="P80" s="7">
        <f>IF($Y80="","",SUMIFS('Per Line'!$Z$2:$Z$1001,'Per Line'!$E$2:$E$1001,$B80,'Per Line'!$AQ$2:$AQ$1001,0,'Per Line'!$AR$2:$AR$1001,0))</f>
        <v/>
      </c>
      <c r="Q80" s="7">
        <f>IF($Y80="","",P80*O80)</f>
        <v/>
      </c>
      <c r="R80">
        <f>IF($Y80="","",Settings!$C$6)</f>
        <v/>
      </c>
      <c r="S80" s="7">
        <f>IF($Y80="","",SUMIFS('Per Line'!$Z$2:$Z$1001,'Per Line'!$E$2:$E$1001,$B80,'Per Line'!$AQ$2:$AQ$1001,1,'Per Line'!$AR$2:$AR$1001,0))</f>
        <v/>
      </c>
      <c r="T80" s="7">
        <f>IF($Y80="","",S80*R80)</f>
        <v/>
      </c>
      <c r="U80" s="7">
        <f>IF($Y80="","",T80+Q80)</f>
        <v/>
      </c>
      <c r="V80" s="7">
        <f>IF($Y80="","",W80-U80)</f>
        <v/>
      </c>
      <c r="W80" s="7">
        <f>IF($Y80="","",P80+S80+N80)</f>
        <v/>
      </c>
      <c r="X80" s="7">
        <f>IF($Y80="","",W80-U80-L80)</f>
        <v/>
      </c>
      <c r="Y80" s="13">
        <f>IF(ROWS($Y$2:$Y80)&lt;=MAX('Per Line'!$AP$2:$AP$1001),MATCH(ROWS($Y$2:$Y80),'Per Line'!$AP$2:$AP$1001,0),"")</f>
        <v/>
      </c>
    </row>
    <row r="81">
      <c r="A81" s="12" t="n"/>
      <c r="B81">
        <f>IF($Y81="","",INDEX('Per Line'!$E$2:$E$1001,$Y81)&amp;"")</f>
        <v/>
      </c>
      <c r="C81">
        <f>IF($Y81="","",INDEX('Per Line'!$F$2:$F$1001,$Y81)&amp;"")</f>
        <v/>
      </c>
      <c r="D81">
        <f>IF($Y81="","",INDEX('Per Line'!$A$2:$A$1001,$Y81)&amp;"")</f>
        <v/>
      </c>
      <c r="E81">
        <f>IF($Y81="","",INDEX('Per Line'!$B$2:$B$1001,$Y81))</f>
        <v/>
      </c>
      <c r="F81">
        <f>IF($Y81="","",INDEX('Per Line'!$G$2:$G$1001,$Y81)&amp;"")</f>
        <v/>
      </c>
      <c r="G81" s="11">
        <f>IF($Y81="","",INDEX('Per Line'!$H$2:$H$1001,$Y81))</f>
        <v/>
      </c>
      <c r="H81">
        <f>IF($Y81="","",INDEX('Per Line'!$K$2:$K$1001,$Y81)&amp;"")</f>
        <v/>
      </c>
      <c r="I81">
        <f>IF($Y81="","",INDEX('Per Line'!$L$2:$L$1001,$Y81)&amp;"")</f>
        <v/>
      </c>
      <c r="J81">
        <f>IF($Y81="","",INDEX('Per Line'!$M$2:$M$1001,$Y81)&amp;"")</f>
        <v/>
      </c>
      <c r="K81">
        <f>IF($Y81="","",INDEX('Per Line'!$Q$2:$Q$1001,$Y81))</f>
        <v/>
      </c>
      <c r="L81" s="7">
        <f>IF($Y81="","",K81*W81/100)</f>
        <v/>
      </c>
      <c r="M81">
        <f>IF($Y81="","",INDEX('Per Line'!$AD$2:$AD$1001,$Y81)&amp;"")</f>
        <v/>
      </c>
      <c r="N81" s="7">
        <f>IF($Y81="","",SUMIFS('Per Line'!$Z$2:$Z$1001,'Per Line'!$E$2:$E$1001,$B81,'Per Line'!$AR$2:$AR$1001,1))</f>
        <v/>
      </c>
      <c r="O81">
        <f>IF($Y81="","",Settings!$C$7)</f>
        <v/>
      </c>
      <c r="P81" s="7">
        <f>IF($Y81="","",SUMIFS('Per Line'!$Z$2:$Z$1001,'Per Line'!$E$2:$E$1001,$B81,'Per Line'!$AQ$2:$AQ$1001,0,'Per Line'!$AR$2:$AR$1001,0))</f>
        <v/>
      </c>
      <c r="Q81" s="7">
        <f>IF($Y81="","",P81*O81)</f>
        <v/>
      </c>
      <c r="R81">
        <f>IF($Y81="","",Settings!$C$6)</f>
        <v/>
      </c>
      <c r="S81" s="7">
        <f>IF($Y81="","",SUMIFS('Per Line'!$Z$2:$Z$1001,'Per Line'!$E$2:$E$1001,$B81,'Per Line'!$AQ$2:$AQ$1001,1,'Per Line'!$AR$2:$AR$1001,0))</f>
        <v/>
      </c>
      <c r="T81" s="7">
        <f>IF($Y81="","",S81*R81)</f>
        <v/>
      </c>
      <c r="U81" s="7">
        <f>IF($Y81="","",T81+Q81)</f>
        <v/>
      </c>
      <c r="V81" s="7">
        <f>IF($Y81="","",W81-U81)</f>
        <v/>
      </c>
      <c r="W81" s="7">
        <f>IF($Y81="","",P81+S81+N81)</f>
        <v/>
      </c>
      <c r="X81" s="7">
        <f>IF($Y81="","",W81-U81-L81)</f>
        <v/>
      </c>
      <c r="Y81" s="13">
        <f>IF(ROWS($Y$2:$Y81)&lt;=MAX('Per Line'!$AP$2:$AP$1001),MATCH(ROWS($Y$2:$Y81),'Per Line'!$AP$2:$AP$1001,0),"")</f>
        <v/>
      </c>
    </row>
    <row r="82">
      <c r="A82" s="12" t="n"/>
      <c r="B82">
        <f>IF($Y82="","",INDEX('Per Line'!$E$2:$E$1001,$Y82)&amp;"")</f>
        <v/>
      </c>
      <c r="C82">
        <f>IF($Y82="","",INDEX('Per Line'!$F$2:$F$1001,$Y82)&amp;"")</f>
        <v/>
      </c>
      <c r="D82">
        <f>IF($Y82="","",INDEX('Per Line'!$A$2:$A$1001,$Y82)&amp;"")</f>
        <v/>
      </c>
      <c r="E82">
        <f>IF($Y82="","",INDEX('Per Line'!$B$2:$B$1001,$Y82))</f>
        <v/>
      </c>
      <c r="F82">
        <f>IF($Y82="","",INDEX('Per Line'!$G$2:$G$1001,$Y82)&amp;"")</f>
        <v/>
      </c>
      <c r="G82" s="11">
        <f>IF($Y82="","",INDEX('Per Line'!$H$2:$H$1001,$Y82))</f>
        <v/>
      </c>
      <c r="H82">
        <f>IF($Y82="","",INDEX('Per Line'!$K$2:$K$1001,$Y82)&amp;"")</f>
        <v/>
      </c>
      <c r="I82">
        <f>IF($Y82="","",INDEX('Per Line'!$L$2:$L$1001,$Y82)&amp;"")</f>
        <v/>
      </c>
      <c r="J82">
        <f>IF($Y82="","",INDEX('Per Line'!$M$2:$M$1001,$Y82)&amp;"")</f>
        <v/>
      </c>
      <c r="K82">
        <f>IF($Y82="","",INDEX('Per Line'!$Q$2:$Q$1001,$Y82))</f>
        <v/>
      </c>
      <c r="L82" s="7">
        <f>IF($Y82="","",K82*W82/100)</f>
        <v/>
      </c>
      <c r="M82">
        <f>IF($Y82="","",INDEX('Per Line'!$AD$2:$AD$1001,$Y82)&amp;"")</f>
        <v/>
      </c>
      <c r="N82" s="7">
        <f>IF($Y82="","",SUMIFS('Per Line'!$Z$2:$Z$1001,'Per Line'!$E$2:$E$1001,$B82,'Per Line'!$AR$2:$AR$1001,1))</f>
        <v/>
      </c>
      <c r="O82">
        <f>IF($Y82="","",Settings!$C$7)</f>
        <v/>
      </c>
      <c r="P82" s="7">
        <f>IF($Y82="","",SUMIFS('Per Line'!$Z$2:$Z$1001,'Per Line'!$E$2:$E$1001,$B82,'Per Line'!$AQ$2:$AQ$1001,0,'Per Line'!$AR$2:$AR$1001,0))</f>
        <v/>
      </c>
      <c r="Q82" s="7">
        <f>IF($Y82="","",P82*O82)</f>
        <v/>
      </c>
      <c r="R82">
        <f>IF($Y82="","",Settings!$C$6)</f>
        <v/>
      </c>
      <c r="S82" s="7">
        <f>IF($Y82="","",SUMIFS('Per Line'!$Z$2:$Z$1001,'Per Line'!$E$2:$E$1001,$B82,'Per Line'!$AQ$2:$AQ$1001,1,'Per Line'!$AR$2:$AR$1001,0))</f>
        <v/>
      </c>
      <c r="T82" s="7">
        <f>IF($Y82="","",S82*R82)</f>
        <v/>
      </c>
      <c r="U82" s="7">
        <f>IF($Y82="","",T82+Q82)</f>
        <v/>
      </c>
      <c r="V82" s="7">
        <f>IF($Y82="","",W82-U82)</f>
        <v/>
      </c>
      <c r="W82" s="7">
        <f>IF($Y82="","",P82+S82+N82)</f>
        <v/>
      </c>
      <c r="X82" s="7">
        <f>IF($Y82="","",W82-U82-L82)</f>
        <v/>
      </c>
      <c r="Y82" s="13">
        <f>IF(ROWS($Y$2:$Y82)&lt;=MAX('Per Line'!$AP$2:$AP$1001),MATCH(ROWS($Y$2:$Y82),'Per Line'!$AP$2:$AP$1001,0),"")</f>
        <v/>
      </c>
    </row>
    <row r="83">
      <c r="A83" s="12" t="n"/>
      <c r="B83">
        <f>IF($Y83="","",INDEX('Per Line'!$E$2:$E$1001,$Y83)&amp;"")</f>
        <v/>
      </c>
      <c r="C83">
        <f>IF($Y83="","",INDEX('Per Line'!$F$2:$F$1001,$Y83)&amp;"")</f>
        <v/>
      </c>
      <c r="D83">
        <f>IF($Y83="","",INDEX('Per Line'!$A$2:$A$1001,$Y83)&amp;"")</f>
        <v/>
      </c>
      <c r="E83">
        <f>IF($Y83="","",INDEX('Per Line'!$B$2:$B$1001,$Y83))</f>
        <v/>
      </c>
      <c r="F83">
        <f>IF($Y83="","",INDEX('Per Line'!$G$2:$G$1001,$Y83)&amp;"")</f>
        <v/>
      </c>
      <c r="G83" s="11">
        <f>IF($Y83="","",INDEX('Per Line'!$H$2:$H$1001,$Y83))</f>
        <v/>
      </c>
      <c r="H83">
        <f>IF($Y83="","",INDEX('Per Line'!$K$2:$K$1001,$Y83)&amp;"")</f>
        <v/>
      </c>
      <c r="I83">
        <f>IF($Y83="","",INDEX('Per Line'!$L$2:$L$1001,$Y83)&amp;"")</f>
        <v/>
      </c>
      <c r="J83">
        <f>IF($Y83="","",INDEX('Per Line'!$M$2:$M$1001,$Y83)&amp;"")</f>
        <v/>
      </c>
      <c r="K83">
        <f>IF($Y83="","",INDEX('Per Line'!$Q$2:$Q$1001,$Y83))</f>
        <v/>
      </c>
      <c r="L83" s="7">
        <f>IF($Y83="","",K83*W83/100)</f>
        <v/>
      </c>
      <c r="M83">
        <f>IF($Y83="","",INDEX('Per Line'!$AD$2:$AD$1001,$Y83)&amp;"")</f>
        <v/>
      </c>
      <c r="N83" s="7">
        <f>IF($Y83="","",SUMIFS('Per Line'!$Z$2:$Z$1001,'Per Line'!$E$2:$E$1001,$B83,'Per Line'!$AR$2:$AR$1001,1))</f>
        <v/>
      </c>
      <c r="O83">
        <f>IF($Y83="","",Settings!$C$7)</f>
        <v/>
      </c>
      <c r="P83" s="7">
        <f>IF($Y83="","",SUMIFS('Per Line'!$Z$2:$Z$1001,'Per Line'!$E$2:$E$1001,$B83,'Per Line'!$AQ$2:$AQ$1001,0,'Per Line'!$AR$2:$AR$1001,0))</f>
        <v/>
      </c>
      <c r="Q83" s="7">
        <f>IF($Y83="","",P83*O83)</f>
        <v/>
      </c>
      <c r="R83">
        <f>IF($Y83="","",Settings!$C$6)</f>
        <v/>
      </c>
      <c r="S83" s="7">
        <f>IF($Y83="","",SUMIFS('Per Line'!$Z$2:$Z$1001,'Per Line'!$E$2:$E$1001,$B83,'Per Line'!$AQ$2:$AQ$1001,1,'Per Line'!$AR$2:$AR$1001,0))</f>
        <v/>
      </c>
      <c r="T83" s="7">
        <f>IF($Y83="","",S83*R83)</f>
        <v/>
      </c>
      <c r="U83" s="7">
        <f>IF($Y83="","",T83+Q83)</f>
        <v/>
      </c>
      <c r="V83" s="7">
        <f>IF($Y83="","",W83-U83)</f>
        <v/>
      </c>
      <c r="W83" s="7">
        <f>IF($Y83="","",P83+S83+N83)</f>
        <v/>
      </c>
      <c r="X83" s="7">
        <f>IF($Y83="","",W83-U83-L83)</f>
        <v/>
      </c>
      <c r="Y83" s="13">
        <f>IF(ROWS($Y$2:$Y83)&lt;=MAX('Per Line'!$AP$2:$AP$1001),MATCH(ROWS($Y$2:$Y83),'Per Line'!$AP$2:$AP$1001,0),"")</f>
        <v/>
      </c>
    </row>
    <row r="84">
      <c r="A84" s="12" t="n"/>
      <c r="B84">
        <f>IF($Y84="","",INDEX('Per Line'!$E$2:$E$1001,$Y84)&amp;"")</f>
        <v/>
      </c>
      <c r="C84">
        <f>IF($Y84="","",INDEX('Per Line'!$F$2:$F$1001,$Y84)&amp;"")</f>
        <v/>
      </c>
      <c r="D84">
        <f>IF($Y84="","",INDEX('Per Line'!$A$2:$A$1001,$Y84)&amp;"")</f>
        <v/>
      </c>
      <c r="E84">
        <f>IF($Y84="","",INDEX('Per Line'!$B$2:$B$1001,$Y84))</f>
        <v/>
      </c>
      <c r="F84">
        <f>IF($Y84="","",INDEX('Per Line'!$G$2:$G$1001,$Y84)&amp;"")</f>
        <v/>
      </c>
      <c r="G84" s="11">
        <f>IF($Y84="","",INDEX('Per Line'!$H$2:$H$1001,$Y84))</f>
        <v/>
      </c>
      <c r="H84">
        <f>IF($Y84="","",INDEX('Per Line'!$K$2:$K$1001,$Y84)&amp;"")</f>
        <v/>
      </c>
      <c r="I84">
        <f>IF($Y84="","",INDEX('Per Line'!$L$2:$L$1001,$Y84)&amp;"")</f>
        <v/>
      </c>
      <c r="J84">
        <f>IF($Y84="","",INDEX('Per Line'!$M$2:$M$1001,$Y84)&amp;"")</f>
        <v/>
      </c>
      <c r="K84">
        <f>IF($Y84="","",INDEX('Per Line'!$Q$2:$Q$1001,$Y84))</f>
        <v/>
      </c>
      <c r="L84" s="7">
        <f>IF($Y84="","",K84*W84/100)</f>
        <v/>
      </c>
      <c r="M84">
        <f>IF($Y84="","",INDEX('Per Line'!$AD$2:$AD$1001,$Y84)&amp;"")</f>
        <v/>
      </c>
      <c r="N84" s="7">
        <f>IF($Y84="","",SUMIFS('Per Line'!$Z$2:$Z$1001,'Per Line'!$E$2:$E$1001,$B84,'Per Line'!$AR$2:$AR$1001,1))</f>
        <v/>
      </c>
      <c r="O84">
        <f>IF($Y84="","",Settings!$C$7)</f>
        <v/>
      </c>
      <c r="P84" s="7">
        <f>IF($Y84="","",SUMIFS('Per Line'!$Z$2:$Z$1001,'Per Line'!$E$2:$E$1001,$B84,'Per Line'!$AQ$2:$AQ$1001,0,'Per Line'!$AR$2:$AR$1001,0))</f>
        <v/>
      </c>
      <c r="Q84" s="7">
        <f>IF($Y84="","",P84*O84)</f>
        <v/>
      </c>
      <c r="R84">
        <f>IF($Y84="","",Settings!$C$6)</f>
        <v/>
      </c>
      <c r="S84" s="7">
        <f>IF($Y84="","",SUMIFS('Per Line'!$Z$2:$Z$1001,'Per Line'!$E$2:$E$1001,$B84,'Per Line'!$AQ$2:$AQ$1001,1,'Per Line'!$AR$2:$AR$1001,0))</f>
        <v/>
      </c>
      <c r="T84" s="7">
        <f>IF($Y84="","",S84*R84)</f>
        <v/>
      </c>
      <c r="U84" s="7">
        <f>IF($Y84="","",T84+Q84)</f>
        <v/>
      </c>
      <c r="V84" s="7">
        <f>IF($Y84="","",W84-U84)</f>
        <v/>
      </c>
      <c r="W84" s="7">
        <f>IF($Y84="","",P84+S84+N84)</f>
        <v/>
      </c>
      <c r="X84" s="7">
        <f>IF($Y84="","",W84-U84-L84)</f>
        <v/>
      </c>
      <c r="Y84" s="13">
        <f>IF(ROWS($Y$2:$Y84)&lt;=MAX('Per Line'!$AP$2:$AP$1001),MATCH(ROWS($Y$2:$Y84),'Per Line'!$AP$2:$AP$1001,0),"")</f>
        <v/>
      </c>
    </row>
    <row r="85">
      <c r="A85" s="12" t="n"/>
      <c r="B85">
        <f>IF($Y85="","",INDEX('Per Line'!$E$2:$E$1001,$Y85)&amp;"")</f>
        <v/>
      </c>
      <c r="C85">
        <f>IF($Y85="","",INDEX('Per Line'!$F$2:$F$1001,$Y85)&amp;"")</f>
        <v/>
      </c>
      <c r="D85">
        <f>IF($Y85="","",INDEX('Per Line'!$A$2:$A$1001,$Y85)&amp;"")</f>
        <v/>
      </c>
      <c r="E85">
        <f>IF($Y85="","",INDEX('Per Line'!$B$2:$B$1001,$Y85))</f>
        <v/>
      </c>
      <c r="F85">
        <f>IF($Y85="","",INDEX('Per Line'!$G$2:$G$1001,$Y85)&amp;"")</f>
        <v/>
      </c>
      <c r="G85" s="11">
        <f>IF($Y85="","",INDEX('Per Line'!$H$2:$H$1001,$Y85))</f>
        <v/>
      </c>
      <c r="H85">
        <f>IF($Y85="","",INDEX('Per Line'!$K$2:$K$1001,$Y85)&amp;"")</f>
        <v/>
      </c>
      <c r="I85">
        <f>IF($Y85="","",INDEX('Per Line'!$L$2:$L$1001,$Y85)&amp;"")</f>
        <v/>
      </c>
      <c r="J85">
        <f>IF($Y85="","",INDEX('Per Line'!$M$2:$M$1001,$Y85)&amp;"")</f>
        <v/>
      </c>
      <c r="K85">
        <f>IF($Y85="","",INDEX('Per Line'!$Q$2:$Q$1001,$Y85))</f>
        <v/>
      </c>
      <c r="L85" s="7">
        <f>IF($Y85="","",K85*W85/100)</f>
        <v/>
      </c>
      <c r="M85">
        <f>IF($Y85="","",INDEX('Per Line'!$AD$2:$AD$1001,$Y85)&amp;"")</f>
        <v/>
      </c>
      <c r="N85" s="7">
        <f>IF($Y85="","",SUMIFS('Per Line'!$Z$2:$Z$1001,'Per Line'!$E$2:$E$1001,$B85,'Per Line'!$AR$2:$AR$1001,1))</f>
        <v/>
      </c>
      <c r="O85">
        <f>IF($Y85="","",Settings!$C$7)</f>
        <v/>
      </c>
      <c r="P85" s="7">
        <f>IF($Y85="","",SUMIFS('Per Line'!$Z$2:$Z$1001,'Per Line'!$E$2:$E$1001,$B85,'Per Line'!$AQ$2:$AQ$1001,0,'Per Line'!$AR$2:$AR$1001,0))</f>
        <v/>
      </c>
      <c r="Q85" s="7">
        <f>IF($Y85="","",P85*O85)</f>
        <v/>
      </c>
      <c r="R85">
        <f>IF($Y85="","",Settings!$C$6)</f>
        <v/>
      </c>
      <c r="S85" s="7">
        <f>IF($Y85="","",SUMIFS('Per Line'!$Z$2:$Z$1001,'Per Line'!$E$2:$E$1001,$B85,'Per Line'!$AQ$2:$AQ$1001,1,'Per Line'!$AR$2:$AR$1001,0))</f>
        <v/>
      </c>
      <c r="T85" s="7">
        <f>IF($Y85="","",S85*R85)</f>
        <v/>
      </c>
      <c r="U85" s="7">
        <f>IF($Y85="","",T85+Q85)</f>
        <v/>
      </c>
      <c r="V85" s="7">
        <f>IF($Y85="","",W85-U85)</f>
        <v/>
      </c>
      <c r="W85" s="7">
        <f>IF($Y85="","",P85+S85+N85)</f>
        <v/>
      </c>
      <c r="X85" s="7">
        <f>IF($Y85="","",W85-U85-L85)</f>
        <v/>
      </c>
      <c r="Y85" s="13">
        <f>IF(ROWS($Y$2:$Y85)&lt;=MAX('Per Line'!$AP$2:$AP$1001),MATCH(ROWS($Y$2:$Y85),'Per Line'!$AP$2:$AP$1001,0),"")</f>
        <v/>
      </c>
    </row>
    <row r="86">
      <c r="A86" s="12" t="n"/>
      <c r="B86">
        <f>IF($Y86="","",INDEX('Per Line'!$E$2:$E$1001,$Y86)&amp;"")</f>
        <v/>
      </c>
      <c r="C86">
        <f>IF($Y86="","",INDEX('Per Line'!$F$2:$F$1001,$Y86)&amp;"")</f>
        <v/>
      </c>
      <c r="D86">
        <f>IF($Y86="","",INDEX('Per Line'!$A$2:$A$1001,$Y86)&amp;"")</f>
        <v/>
      </c>
      <c r="E86">
        <f>IF($Y86="","",INDEX('Per Line'!$B$2:$B$1001,$Y86))</f>
        <v/>
      </c>
      <c r="F86">
        <f>IF($Y86="","",INDEX('Per Line'!$G$2:$G$1001,$Y86)&amp;"")</f>
        <v/>
      </c>
      <c r="G86" s="11">
        <f>IF($Y86="","",INDEX('Per Line'!$H$2:$H$1001,$Y86))</f>
        <v/>
      </c>
      <c r="H86">
        <f>IF($Y86="","",INDEX('Per Line'!$K$2:$K$1001,$Y86)&amp;"")</f>
        <v/>
      </c>
      <c r="I86">
        <f>IF($Y86="","",INDEX('Per Line'!$L$2:$L$1001,$Y86)&amp;"")</f>
        <v/>
      </c>
      <c r="J86">
        <f>IF($Y86="","",INDEX('Per Line'!$M$2:$M$1001,$Y86)&amp;"")</f>
        <v/>
      </c>
      <c r="K86">
        <f>IF($Y86="","",INDEX('Per Line'!$Q$2:$Q$1001,$Y86))</f>
        <v/>
      </c>
      <c r="L86" s="7">
        <f>IF($Y86="","",K86*W86/100)</f>
        <v/>
      </c>
      <c r="M86">
        <f>IF($Y86="","",INDEX('Per Line'!$AD$2:$AD$1001,$Y86)&amp;"")</f>
        <v/>
      </c>
      <c r="N86" s="7">
        <f>IF($Y86="","",SUMIFS('Per Line'!$Z$2:$Z$1001,'Per Line'!$E$2:$E$1001,$B86,'Per Line'!$AR$2:$AR$1001,1))</f>
        <v/>
      </c>
      <c r="O86">
        <f>IF($Y86="","",Settings!$C$7)</f>
        <v/>
      </c>
      <c r="P86" s="7">
        <f>IF($Y86="","",SUMIFS('Per Line'!$Z$2:$Z$1001,'Per Line'!$E$2:$E$1001,$B86,'Per Line'!$AQ$2:$AQ$1001,0,'Per Line'!$AR$2:$AR$1001,0))</f>
        <v/>
      </c>
      <c r="Q86" s="7">
        <f>IF($Y86="","",P86*O86)</f>
        <v/>
      </c>
      <c r="R86">
        <f>IF($Y86="","",Settings!$C$6)</f>
        <v/>
      </c>
      <c r="S86" s="7">
        <f>IF($Y86="","",SUMIFS('Per Line'!$Z$2:$Z$1001,'Per Line'!$E$2:$E$1001,$B86,'Per Line'!$AQ$2:$AQ$1001,1,'Per Line'!$AR$2:$AR$1001,0))</f>
        <v/>
      </c>
      <c r="T86" s="7">
        <f>IF($Y86="","",S86*R86)</f>
        <v/>
      </c>
      <c r="U86" s="7">
        <f>IF($Y86="","",T86+Q86)</f>
        <v/>
      </c>
      <c r="V86" s="7">
        <f>IF($Y86="","",W86-U86)</f>
        <v/>
      </c>
      <c r="W86" s="7">
        <f>IF($Y86="","",P86+S86+N86)</f>
        <v/>
      </c>
      <c r="X86" s="7">
        <f>IF($Y86="","",W86-U86-L86)</f>
        <v/>
      </c>
      <c r="Y86" s="13">
        <f>IF(ROWS($Y$2:$Y86)&lt;=MAX('Per Line'!$AP$2:$AP$1001),MATCH(ROWS($Y$2:$Y86),'Per Line'!$AP$2:$AP$1001,0),"")</f>
        <v/>
      </c>
    </row>
    <row r="87">
      <c r="A87" s="12" t="n"/>
      <c r="B87">
        <f>IF($Y87="","",INDEX('Per Line'!$E$2:$E$1001,$Y87)&amp;"")</f>
        <v/>
      </c>
      <c r="C87">
        <f>IF($Y87="","",INDEX('Per Line'!$F$2:$F$1001,$Y87)&amp;"")</f>
        <v/>
      </c>
      <c r="D87">
        <f>IF($Y87="","",INDEX('Per Line'!$A$2:$A$1001,$Y87)&amp;"")</f>
        <v/>
      </c>
      <c r="E87">
        <f>IF($Y87="","",INDEX('Per Line'!$B$2:$B$1001,$Y87))</f>
        <v/>
      </c>
      <c r="F87">
        <f>IF($Y87="","",INDEX('Per Line'!$G$2:$G$1001,$Y87)&amp;"")</f>
        <v/>
      </c>
      <c r="G87" s="11">
        <f>IF($Y87="","",INDEX('Per Line'!$H$2:$H$1001,$Y87))</f>
        <v/>
      </c>
      <c r="H87">
        <f>IF($Y87="","",INDEX('Per Line'!$K$2:$K$1001,$Y87)&amp;"")</f>
        <v/>
      </c>
      <c r="I87">
        <f>IF($Y87="","",INDEX('Per Line'!$L$2:$L$1001,$Y87)&amp;"")</f>
        <v/>
      </c>
      <c r="J87">
        <f>IF($Y87="","",INDEX('Per Line'!$M$2:$M$1001,$Y87)&amp;"")</f>
        <v/>
      </c>
      <c r="K87">
        <f>IF($Y87="","",INDEX('Per Line'!$Q$2:$Q$1001,$Y87))</f>
        <v/>
      </c>
      <c r="L87" s="7">
        <f>IF($Y87="","",K87*W87/100)</f>
        <v/>
      </c>
      <c r="M87">
        <f>IF($Y87="","",INDEX('Per Line'!$AD$2:$AD$1001,$Y87)&amp;"")</f>
        <v/>
      </c>
      <c r="N87" s="7">
        <f>IF($Y87="","",SUMIFS('Per Line'!$Z$2:$Z$1001,'Per Line'!$E$2:$E$1001,$B87,'Per Line'!$AR$2:$AR$1001,1))</f>
        <v/>
      </c>
      <c r="O87">
        <f>IF($Y87="","",Settings!$C$7)</f>
        <v/>
      </c>
      <c r="P87" s="7">
        <f>IF($Y87="","",SUMIFS('Per Line'!$Z$2:$Z$1001,'Per Line'!$E$2:$E$1001,$B87,'Per Line'!$AQ$2:$AQ$1001,0,'Per Line'!$AR$2:$AR$1001,0))</f>
        <v/>
      </c>
      <c r="Q87" s="7">
        <f>IF($Y87="","",P87*O87)</f>
        <v/>
      </c>
      <c r="R87">
        <f>IF($Y87="","",Settings!$C$6)</f>
        <v/>
      </c>
      <c r="S87" s="7">
        <f>IF($Y87="","",SUMIFS('Per Line'!$Z$2:$Z$1001,'Per Line'!$E$2:$E$1001,$B87,'Per Line'!$AQ$2:$AQ$1001,1,'Per Line'!$AR$2:$AR$1001,0))</f>
        <v/>
      </c>
      <c r="T87" s="7">
        <f>IF($Y87="","",S87*R87)</f>
        <v/>
      </c>
      <c r="U87" s="7">
        <f>IF($Y87="","",T87+Q87)</f>
        <v/>
      </c>
      <c r="V87" s="7">
        <f>IF($Y87="","",W87-U87)</f>
        <v/>
      </c>
      <c r="W87" s="7">
        <f>IF($Y87="","",P87+S87+N87)</f>
        <v/>
      </c>
      <c r="X87" s="7">
        <f>IF($Y87="","",W87-U87-L87)</f>
        <v/>
      </c>
      <c r="Y87" s="13">
        <f>IF(ROWS($Y$2:$Y87)&lt;=MAX('Per Line'!$AP$2:$AP$1001),MATCH(ROWS($Y$2:$Y87),'Per Line'!$AP$2:$AP$1001,0),"")</f>
        <v/>
      </c>
    </row>
    <row r="88">
      <c r="A88" s="12" t="n"/>
      <c r="B88">
        <f>IF($Y88="","",INDEX('Per Line'!$E$2:$E$1001,$Y88)&amp;"")</f>
        <v/>
      </c>
      <c r="C88">
        <f>IF($Y88="","",INDEX('Per Line'!$F$2:$F$1001,$Y88)&amp;"")</f>
        <v/>
      </c>
      <c r="D88">
        <f>IF($Y88="","",INDEX('Per Line'!$A$2:$A$1001,$Y88)&amp;"")</f>
        <v/>
      </c>
      <c r="E88">
        <f>IF($Y88="","",INDEX('Per Line'!$B$2:$B$1001,$Y88))</f>
        <v/>
      </c>
      <c r="F88">
        <f>IF($Y88="","",INDEX('Per Line'!$G$2:$G$1001,$Y88)&amp;"")</f>
        <v/>
      </c>
      <c r="G88" s="11">
        <f>IF($Y88="","",INDEX('Per Line'!$H$2:$H$1001,$Y88))</f>
        <v/>
      </c>
      <c r="H88">
        <f>IF($Y88="","",INDEX('Per Line'!$K$2:$K$1001,$Y88)&amp;"")</f>
        <v/>
      </c>
      <c r="I88">
        <f>IF($Y88="","",INDEX('Per Line'!$L$2:$L$1001,$Y88)&amp;"")</f>
        <v/>
      </c>
      <c r="J88">
        <f>IF($Y88="","",INDEX('Per Line'!$M$2:$M$1001,$Y88)&amp;"")</f>
        <v/>
      </c>
      <c r="K88">
        <f>IF($Y88="","",INDEX('Per Line'!$Q$2:$Q$1001,$Y88))</f>
        <v/>
      </c>
      <c r="L88" s="7">
        <f>IF($Y88="","",K88*W88/100)</f>
        <v/>
      </c>
      <c r="M88">
        <f>IF($Y88="","",INDEX('Per Line'!$AD$2:$AD$1001,$Y88)&amp;"")</f>
        <v/>
      </c>
      <c r="N88" s="7">
        <f>IF($Y88="","",SUMIFS('Per Line'!$Z$2:$Z$1001,'Per Line'!$E$2:$E$1001,$B88,'Per Line'!$AR$2:$AR$1001,1))</f>
        <v/>
      </c>
      <c r="O88">
        <f>IF($Y88="","",Settings!$C$7)</f>
        <v/>
      </c>
      <c r="P88" s="7">
        <f>IF($Y88="","",SUMIFS('Per Line'!$Z$2:$Z$1001,'Per Line'!$E$2:$E$1001,$B88,'Per Line'!$AQ$2:$AQ$1001,0,'Per Line'!$AR$2:$AR$1001,0))</f>
        <v/>
      </c>
      <c r="Q88" s="7">
        <f>IF($Y88="","",P88*O88)</f>
        <v/>
      </c>
      <c r="R88">
        <f>IF($Y88="","",Settings!$C$6)</f>
        <v/>
      </c>
      <c r="S88" s="7">
        <f>IF($Y88="","",SUMIFS('Per Line'!$Z$2:$Z$1001,'Per Line'!$E$2:$E$1001,$B88,'Per Line'!$AQ$2:$AQ$1001,1,'Per Line'!$AR$2:$AR$1001,0))</f>
        <v/>
      </c>
      <c r="T88" s="7">
        <f>IF($Y88="","",S88*R88)</f>
        <v/>
      </c>
      <c r="U88" s="7">
        <f>IF($Y88="","",T88+Q88)</f>
        <v/>
      </c>
      <c r="V88" s="7">
        <f>IF($Y88="","",W88-U88)</f>
        <v/>
      </c>
      <c r="W88" s="7">
        <f>IF($Y88="","",P88+S88+N88)</f>
        <v/>
      </c>
      <c r="X88" s="7">
        <f>IF($Y88="","",W88-U88-L88)</f>
        <v/>
      </c>
      <c r="Y88" s="13">
        <f>IF(ROWS($Y$2:$Y88)&lt;=MAX('Per Line'!$AP$2:$AP$1001),MATCH(ROWS($Y$2:$Y88),'Per Line'!$AP$2:$AP$1001,0),"")</f>
        <v/>
      </c>
    </row>
    <row r="89">
      <c r="A89" s="12" t="n"/>
      <c r="B89">
        <f>IF($Y89="","",INDEX('Per Line'!$E$2:$E$1001,$Y89)&amp;"")</f>
        <v/>
      </c>
      <c r="C89">
        <f>IF($Y89="","",INDEX('Per Line'!$F$2:$F$1001,$Y89)&amp;"")</f>
        <v/>
      </c>
      <c r="D89">
        <f>IF($Y89="","",INDEX('Per Line'!$A$2:$A$1001,$Y89)&amp;"")</f>
        <v/>
      </c>
      <c r="E89">
        <f>IF($Y89="","",INDEX('Per Line'!$B$2:$B$1001,$Y89))</f>
        <v/>
      </c>
      <c r="F89">
        <f>IF($Y89="","",INDEX('Per Line'!$G$2:$G$1001,$Y89)&amp;"")</f>
        <v/>
      </c>
      <c r="G89" s="11">
        <f>IF($Y89="","",INDEX('Per Line'!$H$2:$H$1001,$Y89))</f>
        <v/>
      </c>
      <c r="H89">
        <f>IF($Y89="","",INDEX('Per Line'!$K$2:$K$1001,$Y89)&amp;"")</f>
        <v/>
      </c>
      <c r="I89">
        <f>IF($Y89="","",INDEX('Per Line'!$L$2:$L$1001,$Y89)&amp;"")</f>
        <v/>
      </c>
      <c r="J89">
        <f>IF($Y89="","",INDEX('Per Line'!$M$2:$M$1001,$Y89)&amp;"")</f>
        <v/>
      </c>
      <c r="K89">
        <f>IF($Y89="","",INDEX('Per Line'!$Q$2:$Q$1001,$Y89))</f>
        <v/>
      </c>
      <c r="L89" s="7">
        <f>IF($Y89="","",K89*W89/100)</f>
        <v/>
      </c>
      <c r="M89">
        <f>IF($Y89="","",INDEX('Per Line'!$AD$2:$AD$1001,$Y89)&amp;"")</f>
        <v/>
      </c>
      <c r="N89" s="7">
        <f>IF($Y89="","",SUMIFS('Per Line'!$Z$2:$Z$1001,'Per Line'!$E$2:$E$1001,$B89,'Per Line'!$AR$2:$AR$1001,1))</f>
        <v/>
      </c>
      <c r="O89">
        <f>IF($Y89="","",Settings!$C$7)</f>
        <v/>
      </c>
      <c r="P89" s="7">
        <f>IF($Y89="","",SUMIFS('Per Line'!$Z$2:$Z$1001,'Per Line'!$E$2:$E$1001,$B89,'Per Line'!$AQ$2:$AQ$1001,0,'Per Line'!$AR$2:$AR$1001,0))</f>
        <v/>
      </c>
      <c r="Q89" s="7">
        <f>IF($Y89="","",P89*O89)</f>
        <v/>
      </c>
      <c r="R89">
        <f>IF($Y89="","",Settings!$C$6)</f>
        <v/>
      </c>
      <c r="S89" s="7">
        <f>IF($Y89="","",SUMIFS('Per Line'!$Z$2:$Z$1001,'Per Line'!$E$2:$E$1001,$B89,'Per Line'!$AQ$2:$AQ$1001,1,'Per Line'!$AR$2:$AR$1001,0))</f>
        <v/>
      </c>
      <c r="T89" s="7">
        <f>IF($Y89="","",S89*R89)</f>
        <v/>
      </c>
      <c r="U89" s="7">
        <f>IF($Y89="","",T89+Q89)</f>
        <v/>
      </c>
      <c r="V89" s="7">
        <f>IF($Y89="","",W89-U89)</f>
        <v/>
      </c>
      <c r="W89" s="7">
        <f>IF($Y89="","",P89+S89+N89)</f>
        <v/>
      </c>
      <c r="X89" s="7">
        <f>IF($Y89="","",W89-U89-L89)</f>
        <v/>
      </c>
      <c r="Y89" s="13">
        <f>IF(ROWS($Y$2:$Y89)&lt;=MAX('Per Line'!$AP$2:$AP$1001),MATCH(ROWS($Y$2:$Y89),'Per Line'!$AP$2:$AP$1001,0),"")</f>
        <v/>
      </c>
    </row>
    <row r="90">
      <c r="A90" s="12" t="n"/>
      <c r="B90">
        <f>IF($Y90="","",INDEX('Per Line'!$E$2:$E$1001,$Y90)&amp;"")</f>
        <v/>
      </c>
      <c r="C90">
        <f>IF($Y90="","",INDEX('Per Line'!$F$2:$F$1001,$Y90)&amp;"")</f>
        <v/>
      </c>
      <c r="D90">
        <f>IF($Y90="","",INDEX('Per Line'!$A$2:$A$1001,$Y90)&amp;"")</f>
        <v/>
      </c>
      <c r="E90">
        <f>IF($Y90="","",INDEX('Per Line'!$B$2:$B$1001,$Y90))</f>
        <v/>
      </c>
      <c r="F90">
        <f>IF($Y90="","",INDEX('Per Line'!$G$2:$G$1001,$Y90)&amp;"")</f>
        <v/>
      </c>
      <c r="G90" s="11">
        <f>IF($Y90="","",INDEX('Per Line'!$H$2:$H$1001,$Y90))</f>
        <v/>
      </c>
      <c r="H90">
        <f>IF($Y90="","",INDEX('Per Line'!$K$2:$K$1001,$Y90)&amp;"")</f>
        <v/>
      </c>
      <c r="I90">
        <f>IF($Y90="","",INDEX('Per Line'!$L$2:$L$1001,$Y90)&amp;"")</f>
        <v/>
      </c>
      <c r="J90">
        <f>IF($Y90="","",INDEX('Per Line'!$M$2:$M$1001,$Y90)&amp;"")</f>
        <v/>
      </c>
      <c r="K90">
        <f>IF($Y90="","",INDEX('Per Line'!$Q$2:$Q$1001,$Y90))</f>
        <v/>
      </c>
      <c r="L90" s="7">
        <f>IF($Y90="","",K90*W90/100)</f>
        <v/>
      </c>
      <c r="M90">
        <f>IF($Y90="","",INDEX('Per Line'!$AD$2:$AD$1001,$Y90)&amp;"")</f>
        <v/>
      </c>
      <c r="N90" s="7">
        <f>IF($Y90="","",SUMIFS('Per Line'!$Z$2:$Z$1001,'Per Line'!$E$2:$E$1001,$B90,'Per Line'!$AR$2:$AR$1001,1))</f>
        <v/>
      </c>
      <c r="O90">
        <f>IF($Y90="","",Settings!$C$7)</f>
        <v/>
      </c>
      <c r="P90" s="7">
        <f>IF($Y90="","",SUMIFS('Per Line'!$Z$2:$Z$1001,'Per Line'!$E$2:$E$1001,$B90,'Per Line'!$AQ$2:$AQ$1001,0,'Per Line'!$AR$2:$AR$1001,0))</f>
        <v/>
      </c>
      <c r="Q90" s="7">
        <f>IF($Y90="","",P90*O90)</f>
        <v/>
      </c>
      <c r="R90">
        <f>IF($Y90="","",Settings!$C$6)</f>
        <v/>
      </c>
      <c r="S90" s="7">
        <f>IF($Y90="","",SUMIFS('Per Line'!$Z$2:$Z$1001,'Per Line'!$E$2:$E$1001,$B90,'Per Line'!$AQ$2:$AQ$1001,1,'Per Line'!$AR$2:$AR$1001,0))</f>
        <v/>
      </c>
      <c r="T90" s="7">
        <f>IF($Y90="","",S90*R90)</f>
        <v/>
      </c>
      <c r="U90" s="7">
        <f>IF($Y90="","",T90+Q90)</f>
        <v/>
      </c>
      <c r="V90" s="7">
        <f>IF($Y90="","",W90-U90)</f>
        <v/>
      </c>
      <c r="W90" s="7">
        <f>IF($Y90="","",P90+S90+N90)</f>
        <v/>
      </c>
      <c r="X90" s="7">
        <f>IF($Y90="","",W90-U90-L90)</f>
        <v/>
      </c>
      <c r="Y90" s="13">
        <f>IF(ROWS($Y$2:$Y90)&lt;=MAX('Per Line'!$AP$2:$AP$1001),MATCH(ROWS($Y$2:$Y90),'Per Line'!$AP$2:$AP$1001,0),"")</f>
        <v/>
      </c>
    </row>
    <row r="91">
      <c r="A91" s="12" t="n"/>
      <c r="B91">
        <f>IF($Y91="","",INDEX('Per Line'!$E$2:$E$1001,$Y91)&amp;"")</f>
        <v/>
      </c>
      <c r="C91">
        <f>IF($Y91="","",INDEX('Per Line'!$F$2:$F$1001,$Y91)&amp;"")</f>
        <v/>
      </c>
      <c r="D91">
        <f>IF($Y91="","",INDEX('Per Line'!$A$2:$A$1001,$Y91)&amp;"")</f>
        <v/>
      </c>
      <c r="E91">
        <f>IF($Y91="","",INDEX('Per Line'!$B$2:$B$1001,$Y91))</f>
        <v/>
      </c>
      <c r="F91">
        <f>IF($Y91="","",INDEX('Per Line'!$G$2:$G$1001,$Y91)&amp;"")</f>
        <v/>
      </c>
      <c r="G91" s="11">
        <f>IF($Y91="","",INDEX('Per Line'!$H$2:$H$1001,$Y91))</f>
        <v/>
      </c>
      <c r="H91">
        <f>IF($Y91="","",INDEX('Per Line'!$K$2:$K$1001,$Y91)&amp;"")</f>
        <v/>
      </c>
      <c r="I91">
        <f>IF($Y91="","",INDEX('Per Line'!$L$2:$L$1001,$Y91)&amp;"")</f>
        <v/>
      </c>
      <c r="J91">
        <f>IF($Y91="","",INDEX('Per Line'!$M$2:$M$1001,$Y91)&amp;"")</f>
        <v/>
      </c>
      <c r="K91">
        <f>IF($Y91="","",INDEX('Per Line'!$Q$2:$Q$1001,$Y91))</f>
        <v/>
      </c>
      <c r="L91" s="7">
        <f>IF($Y91="","",K91*W91/100)</f>
        <v/>
      </c>
      <c r="M91">
        <f>IF($Y91="","",INDEX('Per Line'!$AD$2:$AD$1001,$Y91)&amp;"")</f>
        <v/>
      </c>
      <c r="N91" s="7">
        <f>IF($Y91="","",SUMIFS('Per Line'!$Z$2:$Z$1001,'Per Line'!$E$2:$E$1001,$B91,'Per Line'!$AR$2:$AR$1001,1))</f>
        <v/>
      </c>
      <c r="O91">
        <f>IF($Y91="","",Settings!$C$7)</f>
        <v/>
      </c>
      <c r="P91" s="7">
        <f>IF($Y91="","",SUMIFS('Per Line'!$Z$2:$Z$1001,'Per Line'!$E$2:$E$1001,$B91,'Per Line'!$AQ$2:$AQ$1001,0,'Per Line'!$AR$2:$AR$1001,0))</f>
        <v/>
      </c>
      <c r="Q91" s="7">
        <f>IF($Y91="","",P91*O91)</f>
        <v/>
      </c>
      <c r="R91">
        <f>IF($Y91="","",Settings!$C$6)</f>
        <v/>
      </c>
      <c r="S91" s="7">
        <f>IF($Y91="","",SUMIFS('Per Line'!$Z$2:$Z$1001,'Per Line'!$E$2:$E$1001,$B91,'Per Line'!$AQ$2:$AQ$1001,1,'Per Line'!$AR$2:$AR$1001,0))</f>
        <v/>
      </c>
      <c r="T91" s="7">
        <f>IF($Y91="","",S91*R91)</f>
        <v/>
      </c>
      <c r="U91" s="7">
        <f>IF($Y91="","",T91+Q91)</f>
        <v/>
      </c>
      <c r="V91" s="7">
        <f>IF($Y91="","",W91-U91)</f>
        <v/>
      </c>
      <c r="W91" s="7">
        <f>IF($Y91="","",P91+S91+N91)</f>
        <v/>
      </c>
      <c r="X91" s="7">
        <f>IF($Y91="","",W91-U91-L91)</f>
        <v/>
      </c>
      <c r="Y91" s="13">
        <f>IF(ROWS($Y$2:$Y91)&lt;=MAX('Per Line'!$AP$2:$AP$1001),MATCH(ROWS($Y$2:$Y91),'Per Line'!$AP$2:$AP$1001,0),"")</f>
        <v/>
      </c>
    </row>
    <row r="92">
      <c r="A92" s="12" t="n"/>
      <c r="B92">
        <f>IF($Y92="","",INDEX('Per Line'!$E$2:$E$1001,$Y92)&amp;"")</f>
        <v/>
      </c>
      <c r="C92">
        <f>IF($Y92="","",INDEX('Per Line'!$F$2:$F$1001,$Y92)&amp;"")</f>
        <v/>
      </c>
      <c r="D92">
        <f>IF($Y92="","",INDEX('Per Line'!$A$2:$A$1001,$Y92)&amp;"")</f>
        <v/>
      </c>
      <c r="E92">
        <f>IF($Y92="","",INDEX('Per Line'!$B$2:$B$1001,$Y92))</f>
        <v/>
      </c>
      <c r="F92">
        <f>IF($Y92="","",INDEX('Per Line'!$G$2:$G$1001,$Y92)&amp;"")</f>
        <v/>
      </c>
      <c r="G92" s="11">
        <f>IF($Y92="","",INDEX('Per Line'!$H$2:$H$1001,$Y92))</f>
        <v/>
      </c>
      <c r="H92">
        <f>IF($Y92="","",INDEX('Per Line'!$K$2:$K$1001,$Y92)&amp;"")</f>
        <v/>
      </c>
      <c r="I92">
        <f>IF($Y92="","",INDEX('Per Line'!$L$2:$L$1001,$Y92)&amp;"")</f>
        <v/>
      </c>
      <c r="J92">
        <f>IF($Y92="","",INDEX('Per Line'!$M$2:$M$1001,$Y92)&amp;"")</f>
        <v/>
      </c>
      <c r="K92">
        <f>IF($Y92="","",INDEX('Per Line'!$Q$2:$Q$1001,$Y92))</f>
        <v/>
      </c>
      <c r="L92" s="7">
        <f>IF($Y92="","",K92*W92/100)</f>
        <v/>
      </c>
      <c r="M92">
        <f>IF($Y92="","",INDEX('Per Line'!$AD$2:$AD$1001,$Y92)&amp;"")</f>
        <v/>
      </c>
      <c r="N92" s="7">
        <f>IF($Y92="","",SUMIFS('Per Line'!$Z$2:$Z$1001,'Per Line'!$E$2:$E$1001,$B92,'Per Line'!$AR$2:$AR$1001,1))</f>
        <v/>
      </c>
      <c r="O92">
        <f>IF($Y92="","",Settings!$C$7)</f>
        <v/>
      </c>
      <c r="P92" s="7">
        <f>IF($Y92="","",SUMIFS('Per Line'!$Z$2:$Z$1001,'Per Line'!$E$2:$E$1001,$B92,'Per Line'!$AQ$2:$AQ$1001,0,'Per Line'!$AR$2:$AR$1001,0))</f>
        <v/>
      </c>
      <c r="Q92" s="7">
        <f>IF($Y92="","",P92*O92)</f>
        <v/>
      </c>
      <c r="R92">
        <f>IF($Y92="","",Settings!$C$6)</f>
        <v/>
      </c>
      <c r="S92" s="7">
        <f>IF($Y92="","",SUMIFS('Per Line'!$Z$2:$Z$1001,'Per Line'!$E$2:$E$1001,$B92,'Per Line'!$AQ$2:$AQ$1001,1,'Per Line'!$AR$2:$AR$1001,0))</f>
        <v/>
      </c>
      <c r="T92" s="7">
        <f>IF($Y92="","",S92*R92)</f>
        <v/>
      </c>
      <c r="U92" s="7">
        <f>IF($Y92="","",T92+Q92)</f>
        <v/>
      </c>
      <c r="V92" s="7">
        <f>IF($Y92="","",W92-U92)</f>
        <v/>
      </c>
      <c r="W92" s="7">
        <f>IF($Y92="","",P92+S92+N92)</f>
        <v/>
      </c>
      <c r="X92" s="7">
        <f>IF($Y92="","",W92-U92-L92)</f>
        <v/>
      </c>
      <c r="Y92" s="13">
        <f>IF(ROWS($Y$2:$Y92)&lt;=MAX('Per Line'!$AP$2:$AP$1001),MATCH(ROWS($Y$2:$Y92),'Per Line'!$AP$2:$AP$1001,0),"")</f>
        <v/>
      </c>
    </row>
    <row r="93">
      <c r="A93" s="12" t="n"/>
      <c r="B93">
        <f>IF($Y93="","",INDEX('Per Line'!$E$2:$E$1001,$Y93)&amp;"")</f>
        <v/>
      </c>
      <c r="C93">
        <f>IF($Y93="","",INDEX('Per Line'!$F$2:$F$1001,$Y93)&amp;"")</f>
        <v/>
      </c>
      <c r="D93">
        <f>IF($Y93="","",INDEX('Per Line'!$A$2:$A$1001,$Y93)&amp;"")</f>
        <v/>
      </c>
      <c r="E93">
        <f>IF($Y93="","",INDEX('Per Line'!$B$2:$B$1001,$Y93))</f>
        <v/>
      </c>
      <c r="F93">
        <f>IF($Y93="","",INDEX('Per Line'!$G$2:$G$1001,$Y93)&amp;"")</f>
        <v/>
      </c>
      <c r="G93" s="11">
        <f>IF($Y93="","",INDEX('Per Line'!$H$2:$H$1001,$Y93))</f>
        <v/>
      </c>
      <c r="H93">
        <f>IF($Y93="","",INDEX('Per Line'!$K$2:$K$1001,$Y93)&amp;"")</f>
        <v/>
      </c>
      <c r="I93">
        <f>IF($Y93="","",INDEX('Per Line'!$L$2:$L$1001,$Y93)&amp;"")</f>
        <v/>
      </c>
      <c r="J93">
        <f>IF($Y93="","",INDEX('Per Line'!$M$2:$M$1001,$Y93)&amp;"")</f>
        <v/>
      </c>
      <c r="K93">
        <f>IF($Y93="","",INDEX('Per Line'!$Q$2:$Q$1001,$Y93))</f>
        <v/>
      </c>
      <c r="L93" s="7">
        <f>IF($Y93="","",K93*W93/100)</f>
        <v/>
      </c>
      <c r="M93">
        <f>IF($Y93="","",INDEX('Per Line'!$AD$2:$AD$1001,$Y93)&amp;"")</f>
        <v/>
      </c>
      <c r="N93" s="7">
        <f>IF($Y93="","",SUMIFS('Per Line'!$Z$2:$Z$1001,'Per Line'!$E$2:$E$1001,$B93,'Per Line'!$AR$2:$AR$1001,1))</f>
        <v/>
      </c>
      <c r="O93">
        <f>IF($Y93="","",Settings!$C$7)</f>
        <v/>
      </c>
      <c r="P93" s="7">
        <f>IF($Y93="","",SUMIFS('Per Line'!$Z$2:$Z$1001,'Per Line'!$E$2:$E$1001,$B93,'Per Line'!$AQ$2:$AQ$1001,0,'Per Line'!$AR$2:$AR$1001,0))</f>
        <v/>
      </c>
      <c r="Q93" s="7">
        <f>IF($Y93="","",P93*O93)</f>
        <v/>
      </c>
      <c r="R93">
        <f>IF($Y93="","",Settings!$C$6)</f>
        <v/>
      </c>
      <c r="S93" s="7">
        <f>IF($Y93="","",SUMIFS('Per Line'!$Z$2:$Z$1001,'Per Line'!$E$2:$E$1001,$B93,'Per Line'!$AQ$2:$AQ$1001,1,'Per Line'!$AR$2:$AR$1001,0))</f>
        <v/>
      </c>
      <c r="T93" s="7">
        <f>IF($Y93="","",S93*R93)</f>
        <v/>
      </c>
      <c r="U93" s="7">
        <f>IF($Y93="","",T93+Q93)</f>
        <v/>
      </c>
      <c r="V93" s="7">
        <f>IF($Y93="","",W93-U93)</f>
        <v/>
      </c>
      <c r="W93" s="7">
        <f>IF($Y93="","",P93+S93+N93)</f>
        <v/>
      </c>
      <c r="X93" s="7">
        <f>IF($Y93="","",W93-U93-L93)</f>
        <v/>
      </c>
      <c r="Y93" s="13">
        <f>IF(ROWS($Y$2:$Y93)&lt;=MAX('Per Line'!$AP$2:$AP$1001),MATCH(ROWS($Y$2:$Y93),'Per Line'!$AP$2:$AP$1001,0),"")</f>
        <v/>
      </c>
    </row>
    <row r="94">
      <c r="A94" s="12" t="n"/>
      <c r="B94">
        <f>IF($Y94="","",INDEX('Per Line'!$E$2:$E$1001,$Y94)&amp;"")</f>
        <v/>
      </c>
      <c r="C94">
        <f>IF($Y94="","",INDEX('Per Line'!$F$2:$F$1001,$Y94)&amp;"")</f>
        <v/>
      </c>
      <c r="D94">
        <f>IF($Y94="","",INDEX('Per Line'!$A$2:$A$1001,$Y94)&amp;"")</f>
        <v/>
      </c>
      <c r="E94">
        <f>IF($Y94="","",INDEX('Per Line'!$B$2:$B$1001,$Y94))</f>
        <v/>
      </c>
      <c r="F94">
        <f>IF($Y94="","",INDEX('Per Line'!$G$2:$G$1001,$Y94)&amp;"")</f>
        <v/>
      </c>
      <c r="G94" s="11">
        <f>IF($Y94="","",INDEX('Per Line'!$H$2:$H$1001,$Y94))</f>
        <v/>
      </c>
      <c r="H94">
        <f>IF($Y94="","",INDEX('Per Line'!$K$2:$K$1001,$Y94)&amp;"")</f>
        <v/>
      </c>
      <c r="I94">
        <f>IF($Y94="","",INDEX('Per Line'!$L$2:$L$1001,$Y94)&amp;"")</f>
        <v/>
      </c>
      <c r="J94">
        <f>IF($Y94="","",INDEX('Per Line'!$M$2:$M$1001,$Y94)&amp;"")</f>
        <v/>
      </c>
      <c r="K94">
        <f>IF($Y94="","",INDEX('Per Line'!$Q$2:$Q$1001,$Y94))</f>
        <v/>
      </c>
      <c r="L94" s="7">
        <f>IF($Y94="","",K94*W94/100)</f>
        <v/>
      </c>
      <c r="M94">
        <f>IF($Y94="","",INDEX('Per Line'!$AD$2:$AD$1001,$Y94)&amp;"")</f>
        <v/>
      </c>
      <c r="N94" s="7">
        <f>IF($Y94="","",SUMIFS('Per Line'!$Z$2:$Z$1001,'Per Line'!$E$2:$E$1001,$B94,'Per Line'!$AR$2:$AR$1001,1))</f>
        <v/>
      </c>
      <c r="O94">
        <f>IF($Y94="","",Settings!$C$7)</f>
        <v/>
      </c>
      <c r="P94" s="7">
        <f>IF($Y94="","",SUMIFS('Per Line'!$Z$2:$Z$1001,'Per Line'!$E$2:$E$1001,$B94,'Per Line'!$AQ$2:$AQ$1001,0,'Per Line'!$AR$2:$AR$1001,0))</f>
        <v/>
      </c>
      <c r="Q94" s="7">
        <f>IF($Y94="","",P94*O94)</f>
        <v/>
      </c>
      <c r="R94">
        <f>IF($Y94="","",Settings!$C$6)</f>
        <v/>
      </c>
      <c r="S94" s="7">
        <f>IF($Y94="","",SUMIFS('Per Line'!$Z$2:$Z$1001,'Per Line'!$E$2:$E$1001,$B94,'Per Line'!$AQ$2:$AQ$1001,1,'Per Line'!$AR$2:$AR$1001,0))</f>
        <v/>
      </c>
      <c r="T94" s="7">
        <f>IF($Y94="","",S94*R94)</f>
        <v/>
      </c>
      <c r="U94" s="7">
        <f>IF($Y94="","",T94+Q94)</f>
        <v/>
      </c>
      <c r="V94" s="7">
        <f>IF($Y94="","",W94-U94)</f>
        <v/>
      </c>
      <c r="W94" s="7">
        <f>IF($Y94="","",P94+S94+N94)</f>
        <v/>
      </c>
      <c r="X94" s="7">
        <f>IF($Y94="","",W94-U94-L94)</f>
        <v/>
      </c>
      <c r="Y94" s="13">
        <f>IF(ROWS($Y$2:$Y94)&lt;=MAX('Per Line'!$AP$2:$AP$1001),MATCH(ROWS($Y$2:$Y94),'Per Line'!$AP$2:$AP$1001,0),"")</f>
        <v/>
      </c>
    </row>
    <row r="95">
      <c r="A95" s="12" t="n"/>
      <c r="B95">
        <f>IF($Y95="","",INDEX('Per Line'!$E$2:$E$1001,$Y95)&amp;"")</f>
        <v/>
      </c>
      <c r="C95">
        <f>IF($Y95="","",INDEX('Per Line'!$F$2:$F$1001,$Y95)&amp;"")</f>
        <v/>
      </c>
      <c r="D95">
        <f>IF($Y95="","",INDEX('Per Line'!$A$2:$A$1001,$Y95)&amp;"")</f>
        <v/>
      </c>
      <c r="E95">
        <f>IF($Y95="","",INDEX('Per Line'!$B$2:$B$1001,$Y95))</f>
        <v/>
      </c>
      <c r="F95">
        <f>IF($Y95="","",INDEX('Per Line'!$G$2:$G$1001,$Y95)&amp;"")</f>
        <v/>
      </c>
      <c r="G95" s="11">
        <f>IF($Y95="","",INDEX('Per Line'!$H$2:$H$1001,$Y95))</f>
        <v/>
      </c>
      <c r="H95">
        <f>IF($Y95="","",INDEX('Per Line'!$K$2:$K$1001,$Y95)&amp;"")</f>
        <v/>
      </c>
      <c r="I95">
        <f>IF($Y95="","",INDEX('Per Line'!$L$2:$L$1001,$Y95)&amp;"")</f>
        <v/>
      </c>
      <c r="J95">
        <f>IF($Y95="","",INDEX('Per Line'!$M$2:$M$1001,$Y95)&amp;"")</f>
        <v/>
      </c>
      <c r="K95">
        <f>IF($Y95="","",INDEX('Per Line'!$Q$2:$Q$1001,$Y95))</f>
        <v/>
      </c>
      <c r="L95" s="7">
        <f>IF($Y95="","",K95*W95/100)</f>
        <v/>
      </c>
      <c r="M95">
        <f>IF($Y95="","",INDEX('Per Line'!$AD$2:$AD$1001,$Y95)&amp;"")</f>
        <v/>
      </c>
      <c r="N95" s="7">
        <f>IF($Y95="","",SUMIFS('Per Line'!$Z$2:$Z$1001,'Per Line'!$E$2:$E$1001,$B95,'Per Line'!$AR$2:$AR$1001,1))</f>
        <v/>
      </c>
      <c r="O95">
        <f>IF($Y95="","",Settings!$C$7)</f>
        <v/>
      </c>
      <c r="P95" s="7">
        <f>IF($Y95="","",SUMIFS('Per Line'!$Z$2:$Z$1001,'Per Line'!$E$2:$E$1001,$B95,'Per Line'!$AQ$2:$AQ$1001,0,'Per Line'!$AR$2:$AR$1001,0))</f>
        <v/>
      </c>
      <c r="Q95" s="7">
        <f>IF($Y95="","",P95*O95)</f>
        <v/>
      </c>
      <c r="R95">
        <f>IF($Y95="","",Settings!$C$6)</f>
        <v/>
      </c>
      <c r="S95" s="7">
        <f>IF($Y95="","",SUMIFS('Per Line'!$Z$2:$Z$1001,'Per Line'!$E$2:$E$1001,$B95,'Per Line'!$AQ$2:$AQ$1001,1,'Per Line'!$AR$2:$AR$1001,0))</f>
        <v/>
      </c>
      <c r="T95" s="7">
        <f>IF($Y95="","",S95*R95)</f>
        <v/>
      </c>
      <c r="U95" s="7">
        <f>IF($Y95="","",T95+Q95)</f>
        <v/>
      </c>
      <c r="V95" s="7">
        <f>IF($Y95="","",W95-U95)</f>
        <v/>
      </c>
      <c r="W95" s="7">
        <f>IF($Y95="","",P95+S95+N95)</f>
        <v/>
      </c>
      <c r="X95" s="7">
        <f>IF($Y95="","",W95-U95-L95)</f>
        <v/>
      </c>
      <c r="Y95" s="13">
        <f>IF(ROWS($Y$2:$Y95)&lt;=MAX('Per Line'!$AP$2:$AP$1001),MATCH(ROWS($Y$2:$Y95),'Per Line'!$AP$2:$AP$1001,0),"")</f>
        <v/>
      </c>
    </row>
    <row r="96">
      <c r="A96" s="12" t="n"/>
      <c r="B96">
        <f>IF($Y96="","",INDEX('Per Line'!$E$2:$E$1001,$Y96)&amp;"")</f>
        <v/>
      </c>
      <c r="C96">
        <f>IF($Y96="","",INDEX('Per Line'!$F$2:$F$1001,$Y96)&amp;"")</f>
        <v/>
      </c>
      <c r="D96">
        <f>IF($Y96="","",INDEX('Per Line'!$A$2:$A$1001,$Y96)&amp;"")</f>
        <v/>
      </c>
      <c r="E96">
        <f>IF($Y96="","",INDEX('Per Line'!$B$2:$B$1001,$Y96))</f>
        <v/>
      </c>
      <c r="F96">
        <f>IF($Y96="","",INDEX('Per Line'!$G$2:$G$1001,$Y96)&amp;"")</f>
        <v/>
      </c>
      <c r="G96" s="11">
        <f>IF($Y96="","",INDEX('Per Line'!$H$2:$H$1001,$Y96))</f>
        <v/>
      </c>
      <c r="H96">
        <f>IF($Y96="","",INDEX('Per Line'!$K$2:$K$1001,$Y96)&amp;"")</f>
        <v/>
      </c>
      <c r="I96">
        <f>IF($Y96="","",INDEX('Per Line'!$L$2:$L$1001,$Y96)&amp;"")</f>
        <v/>
      </c>
      <c r="J96">
        <f>IF($Y96="","",INDEX('Per Line'!$M$2:$M$1001,$Y96)&amp;"")</f>
        <v/>
      </c>
      <c r="K96">
        <f>IF($Y96="","",INDEX('Per Line'!$Q$2:$Q$1001,$Y96))</f>
        <v/>
      </c>
      <c r="L96" s="7">
        <f>IF($Y96="","",K96*W96/100)</f>
        <v/>
      </c>
      <c r="M96">
        <f>IF($Y96="","",INDEX('Per Line'!$AD$2:$AD$1001,$Y96)&amp;"")</f>
        <v/>
      </c>
      <c r="N96" s="7">
        <f>IF($Y96="","",SUMIFS('Per Line'!$Z$2:$Z$1001,'Per Line'!$E$2:$E$1001,$B96,'Per Line'!$AR$2:$AR$1001,1))</f>
        <v/>
      </c>
      <c r="O96">
        <f>IF($Y96="","",Settings!$C$7)</f>
        <v/>
      </c>
      <c r="P96" s="7">
        <f>IF($Y96="","",SUMIFS('Per Line'!$Z$2:$Z$1001,'Per Line'!$E$2:$E$1001,$B96,'Per Line'!$AQ$2:$AQ$1001,0,'Per Line'!$AR$2:$AR$1001,0))</f>
        <v/>
      </c>
      <c r="Q96" s="7">
        <f>IF($Y96="","",P96*O96)</f>
        <v/>
      </c>
      <c r="R96">
        <f>IF($Y96="","",Settings!$C$6)</f>
        <v/>
      </c>
      <c r="S96" s="7">
        <f>IF($Y96="","",SUMIFS('Per Line'!$Z$2:$Z$1001,'Per Line'!$E$2:$E$1001,$B96,'Per Line'!$AQ$2:$AQ$1001,1,'Per Line'!$AR$2:$AR$1001,0))</f>
        <v/>
      </c>
      <c r="T96" s="7">
        <f>IF($Y96="","",S96*R96)</f>
        <v/>
      </c>
      <c r="U96" s="7">
        <f>IF($Y96="","",T96+Q96)</f>
        <v/>
      </c>
      <c r="V96" s="7">
        <f>IF($Y96="","",W96-U96)</f>
        <v/>
      </c>
      <c r="W96" s="7">
        <f>IF($Y96="","",P96+S96+N96)</f>
        <v/>
      </c>
      <c r="X96" s="7">
        <f>IF($Y96="","",W96-U96-L96)</f>
        <v/>
      </c>
      <c r="Y96" s="13">
        <f>IF(ROWS($Y$2:$Y96)&lt;=MAX('Per Line'!$AP$2:$AP$1001),MATCH(ROWS($Y$2:$Y96),'Per Line'!$AP$2:$AP$1001,0),"")</f>
        <v/>
      </c>
    </row>
    <row r="97">
      <c r="A97" s="12" t="n"/>
      <c r="B97">
        <f>IF($Y97="","",INDEX('Per Line'!$E$2:$E$1001,$Y97)&amp;"")</f>
        <v/>
      </c>
      <c r="C97">
        <f>IF($Y97="","",INDEX('Per Line'!$F$2:$F$1001,$Y97)&amp;"")</f>
        <v/>
      </c>
      <c r="D97">
        <f>IF($Y97="","",INDEX('Per Line'!$A$2:$A$1001,$Y97)&amp;"")</f>
        <v/>
      </c>
      <c r="E97">
        <f>IF($Y97="","",INDEX('Per Line'!$B$2:$B$1001,$Y97))</f>
        <v/>
      </c>
      <c r="F97">
        <f>IF($Y97="","",INDEX('Per Line'!$G$2:$G$1001,$Y97)&amp;"")</f>
        <v/>
      </c>
      <c r="G97" s="11">
        <f>IF($Y97="","",INDEX('Per Line'!$H$2:$H$1001,$Y97))</f>
        <v/>
      </c>
      <c r="H97">
        <f>IF($Y97="","",INDEX('Per Line'!$K$2:$K$1001,$Y97)&amp;"")</f>
        <v/>
      </c>
      <c r="I97">
        <f>IF($Y97="","",INDEX('Per Line'!$L$2:$L$1001,$Y97)&amp;"")</f>
        <v/>
      </c>
      <c r="J97">
        <f>IF($Y97="","",INDEX('Per Line'!$M$2:$M$1001,$Y97)&amp;"")</f>
        <v/>
      </c>
      <c r="K97">
        <f>IF($Y97="","",INDEX('Per Line'!$Q$2:$Q$1001,$Y97))</f>
        <v/>
      </c>
      <c r="L97" s="7">
        <f>IF($Y97="","",K97*W97/100)</f>
        <v/>
      </c>
      <c r="M97">
        <f>IF($Y97="","",INDEX('Per Line'!$AD$2:$AD$1001,$Y97)&amp;"")</f>
        <v/>
      </c>
      <c r="N97" s="7">
        <f>IF($Y97="","",SUMIFS('Per Line'!$Z$2:$Z$1001,'Per Line'!$E$2:$E$1001,$B97,'Per Line'!$AR$2:$AR$1001,1))</f>
        <v/>
      </c>
      <c r="O97">
        <f>IF($Y97="","",Settings!$C$7)</f>
        <v/>
      </c>
      <c r="P97" s="7">
        <f>IF($Y97="","",SUMIFS('Per Line'!$Z$2:$Z$1001,'Per Line'!$E$2:$E$1001,$B97,'Per Line'!$AQ$2:$AQ$1001,0,'Per Line'!$AR$2:$AR$1001,0))</f>
        <v/>
      </c>
      <c r="Q97" s="7">
        <f>IF($Y97="","",P97*O97)</f>
        <v/>
      </c>
      <c r="R97">
        <f>IF($Y97="","",Settings!$C$6)</f>
        <v/>
      </c>
      <c r="S97" s="7">
        <f>IF($Y97="","",SUMIFS('Per Line'!$Z$2:$Z$1001,'Per Line'!$E$2:$E$1001,$B97,'Per Line'!$AQ$2:$AQ$1001,1,'Per Line'!$AR$2:$AR$1001,0))</f>
        <v/>
      </c>
      <c r="T97" s="7">
        <f>IF($Y97="","",S97*R97)</f>
        <v/>
      </c>
      <c r="U97" s="7">
        <f>IF($Y97="","",T97+Q97)</f>
        <v/>
      </c>
      <c r="V97" s="7">
        <f>IF($Y97="","",W97-U97)</f>
        <v/>
      </c>
      <c r="W97" s="7">
        <f>IF($Y97="","",P97+S97+N97)</f>
        <v/>
      </c>
      <c r="X97" s="7">
        <f>IF($Y97="","",W97-U97-L97)</f>
        <v/>
      </c>
      <c r="Y97" s="13">
        <f>IF(ROWS($Y$2:$Y97)&lt;=MAX('Per Line'!$AP$2:$AP$1001),MATCH(ROWS($Y$2:$Y97),'Per Line'!$AP$2:$AP$1001,0),"")</f>
        <v/>
      </c>
    </row>
    <row r="98">
      <c r="A98" s="12" t="n"/>
      <c r="B98">
        <f>IF($Y98="","",INDEX('Per Line'!$E$2:$E$1001,$Y98)&amp;"")</f>
        <v/>
      </c>
      <c r="C98">
        <f>IF($Y98="","",INDEX('Per Line'!$F$2:$F$1001,$Y98)&amp;"")</f>
        <v/>
      </c>
      <c r="D98">
        <f>IF($Y98="","",INDEX('Per Line'!$A$2:$A$1001,$Y98)&amp;"")</f>
        <v/>
      </c>
      <c r="E98">
        <f>IF($Y98="","",INDEX('Per Line'!$B$2:$B$1001,$Y98))</f>
        <v/>
      </c>
      <c r="F98">
        <f>IF($Y98="","",INDEX('Per Line'!$G$2:$G$1001,$Y98)&amp;"")</f>
        <v/>
      </c>
      <c r="G98" s="11">
        <f>IF($Y98="","",INDEX('Per Line'!$H$2:$H$1001,$Y98))</f>
        <v/>
      </c>
      <c r="H98">
        <f>IF($Y98="","",INDEX('Per Line'!$K$2:$K$1001,$Y98)&amp;"")</f>
        <v/>
      </c>
      <c r="I98">
        <f>IF($Y98="","",INDEX('Per Line'!$L$2:$L$1001,$Y98)&amp;"")</f>
        <v/>
      </c>
      <c r="J98">
        <f>IF($Y98="","",INDEX('Per Line'!$M$2:$M$1001,$Y98)&amp;"")</f>
        <v/>
      </c>
      <c r="K98">
        <f>IF($Y98="","",INDEX('Per Line'!$Q$2:$Q$1001,$Y98))</f>
        <v/>
      </c>
      <c r="L98" s="7">
        <f>IF($Y98="","",K98*W98/100)</f>
        <v/>
      </c>
      <c r="M98">
        <f>IF($Y98="","",INDEX('Per Line'!$AD$2:$AD$1001,$Y98)&amp;"")</f>
        <v/>
      </c>
      <c r="N98" s="7">
        <f>IF($Y98="","",SUMIFS('Per Line'!$Z$2:$Z$1001,'Per Line'!$E$2:$E$1001,$B98,'Per Line'!$AR$2:$AR$1001,1))</f>
        <v/>
      </c>
      <c r="O98">
        <f>IF($Y98="","",Settings!$C$7)</f>
        <v/>
      </c>
      <c r="P98" s="7">
        <f>IF($Y98="","",SUMIFS('Per Line'!$Z$2:$Z$1001,'Per Line'!$E$2:$E$1001,$B98,'Per Line'!$AQ$2:$AQ$1001,0,'Per Line'!$AR$2:$AR$1001,0))</f>
        <v/>
      </c>
      <c r="Q98" s="7">
        <f>IF($Y98="","",P98*O98)</f>
        <v/>
      </c>
      <c r="R98">
        <f>IF($Y98="","",Settings!$C$6)</f>
        <v/>
      </c>
      <c r="S98" s="7">
        <f>IF($Y98="","",SUMIFS('Per Line'!$Z$2:$Z$1001,'Per Line'!$E$2:$E$1001,$B98,'Per Line'!$AQ$2:$AQ$1001,1,'Per Line'!$AR$2:$AR$1001,0))</f>
        <v/>
      </c>
      <c r="T98" s="7">
        <f>IF($Y98="","",S98*R98)</f>
        <v/>
      </c>
      <c r="U98" s="7">
        <f>IF($Y98="","",T98+Q98)</f>
        <v/>
      </c>
      <c r="V98" s="7">
        <f>IF($Y98="","",W98-U98)</f>
        <v/>
      </c>
      <c r="W98" s="7">
        <f>IF($Y98="","",P98+S98+N98)</f>
        <v/>
      </c>
      <c r="X98" s="7">
        <f>IF($Y98="","",W98-U98-L98)</f>
        <v/>
      </c>
      <c r="Y98" s="13">
        <f>IF(ROWS($Y$2:$Y98)&lt;=MAX('Per Line'!$AP$2:$AP$1001),MATCH(ROWS($Y$2:$Y98),'Per Line'!$AP$2:$AP$1001,0),"")</f>
        <v/>
      </c>
    </row>
    <row r="99">
      <c r="A99" s="12" t="n"/>
      <c r="B99">
        <f>IF($Y99="","",INDEX('Per Line'!$E$2:$E$1001,$Y99)&amp;"")</f>
        <v/>
      </c>
      <c r="C99">
        <f>IF($Y99="","",INDEX('Per Line'!$F$2:$F$1001,$Y99)&amp;"")</f>
        <v/>
      </c>
      <c r="D99">
        <f>IF($Y99="","",INDEX('Per Line'!$A$2:$A$1001,$Y99)&amp;"")</f>
        <v/>
      </c>
      <c r="E99">
        <f>IF($Y99="","",INDEX('Per Line'!$B$2:$B$1001,$Y99))</f>
        <v/>
      </c>
      <c r="F99">
        <f>IF($Y99="","",INDEX('Per Line'!$G$2:$G$1001,$Y99)&amp;"")</f>
        <v/>
      </c>
      <c r="G99" s="11">
        <f>IF($Y99="","",INDEX('Per Line'!$H$2:$H$1001,$Y99))</f>
        <v/>
      </c>
      <c r="H99">
        <f>IF($Y99="","",INDEX('Per Line'!$K$2:$K$1001,$Y99)&amp;"")</f>
        <v/>
      </c>
      <c r="I99">
        <f>IF($Y99="","",INDEX('Per Line'!$L$2:$L$1001,$Y99)&amp;"")</f>
        <v/>
      </c>
      <c r="J99">
        <f>IF($Y99="","",INDEX('Per Line'!$M$2:$M$1001,$Y99)&amp;"")</f>
        <v/>
      </c>
      <c r="K99">
        <f>IF($Y99="","",INDEX('Per Line'!$Q$2:$Q$1001,$Y99))</f>
        <v/>
      </c>
      <c r="L99" s="7">
        <f>IF($Y99="","",K99*W99/100)</f>
        <v/>
      </c>
      <c r="M99">
        <f>IF($Y99="","",INDEX('Per Line'!$AD$2:$AD$1001,$Y99)&amp;"")</f>
        <v/>
      </c>
      <c r="N99" s="7">
        <f>IF($Y99="","",SUMIFS('Per Line'!$Z$2:$Z$1001,'Per Line'!$E$2:$E$1001,$B99,'Per Line'!$AR$2:$AR$1001,1))</f>
        <v/>
      </c>
      <c r="O99">
        <f>IF($Y99="","",Settings!$C$7)</f>
        <v/>
      </c>
      <c r="P99" s="7">
        <f>IF($Y99="","",SUMIFS('Per Line'!$Z$2:$Z$1001,'Per Line'!$E$2:$E$1001,$B99,'Per Line'!$AQ$2:$AQ$1001,0,'Per Line'!$AR$2:$AR$1001,0))</f>
        <v/>
      </c>
      <c r="Q99" s="7">
        <f>IF($Y99="","",P99*O99)</f>
        <v/>
      </c>
      <c r="R99">
        <f>IF($Y99="","",Settings!$C$6)</f>
        <v/>
      </c>
      <c r="S99" s="7">
        <f>IF($Y99="","",SUMIFS('Per Line'!$Z$2:$Z$1001,'Per Line'!$E$2:$E$1001,$B99,'Per Line'!$AQ$2:$AQ$1001,1,'Per Line'!$AR$2:$AR$1001,0))</f>
        <v/>
      </c>
      <c r="T99" s="7">
        <f>IF($Y99="","",S99*R99)</f>
        <v/>
      </c>
      <c r="U99" s="7">
        <f>IF($Y99="","",T99+Q99)</f>
        <v/>
      </c>
      <c r="V99" s="7">
        <f>IF($Y99="","",W99-U99)</f>
        <v/>
      </c>
      <c r="W99" s="7">
        <f>IF($Y99="","",P99+S99+N99)</f>
        <v/>
      </c>
      <c r="X99" s="7">
        <f>IF($Y99="","",W99-U99-L99)</f>
        <v/>
      </c>
      <c r="Y99" s="13">
        <f>IF(ROWS($Y$2:$Y99)&lt;=MAX('Per Line'!$AP$2:$AP$1001),MATCH(ROWS($Y$2:$Y99),'Per Line'!$AP$2:$AP$1001,0),"")</f>
        <v/>
      </c>
    </row>
    <row r="100">
      <c r="A100" s="12" t="n"/>
      <c r="B100">
        <f>IF($Y100="","",INDEX('Per Line'!$E$2:$E$1001,$Y100)&amp;"")</f>
        <v/>
      </c>
      <c r="C100">
        <f>IF($Y100="","",INDEX('Per Line'!$F$2:$F$1001,$Y100)&amp;"")</f>
        <v/>
      </c>
      <c r="D100">
        <f>IF($Y100="","",INDEX('Per Line'!$A$2:$A$1001,$Y100)&amp;"")</f>
        <v/>
      </c>
      <c r="E100">
        <f>IF($Y100="","",INDEX('Per Line'!$B$2:$B$1001,$Y100))</f>
        <v/>
      </c>
      <c r="F100">
        <f>IF($Y100="","",INDEX('Per Line'!$G$2:$G$1001,$Y100)&amp;"")</f>
        <v/>
      </c>
      <c r="G100" s="11">
        <f>IF($Y100="","",INDEX('Per Line'!$H$2:$H$1001,$Y100))</f>
        <v/>
      </c>
      <c r="H100">
        <f>IF($Y100="","",INDEX('Per Line'!$K$2:$K$1001,$Y100)&amp;"")</f>
        <v/>
      </c>
      <c r="I100">
        <f>IF($Y100="","",INDEX('Per Line'!$L$2:$L$1001,$Y100)&amp;"")</f>
        <v/>
      </c>
      <c r="J100">
        <f>IF($Y100="","",INDEX('Per Line'!$M$2:$M$1001,$Y100)&amp;"")</f>
        <v/>
      </c>
      <c r="K100">
        <f>IF($Y100="","",INDEX('Per Line'!$Q$2:$Q$1001,$Y100))</f>
        <v/>
      </c>
      <c r="L100" s="7">
        <f>IF($Y100="","",K100*W100/100)</f>
        <v/>
      </c>
      <c r="M100">
        <f>IF($Y100="","",INDEX('Per Line'!$AD$2:$AD$1001,$Y100)&amp;"")</f>
        <v/>
      </c>
      <c r="N100" s="7">
        <f>IF($Y100="","",SUMIFS('Per Line'!$Z$2:$Z$1001,'Per Line'!$E$2:$E$1001,$B100,'Per Line'!$AR$2:$AR$1001,1))</f>
        <v/>
      </c>
      <c r="O100">
        <f>IF($Y100="","",Settings!$C$7)</f>
        <v/>
      </c>
      <c r="P100" s="7">
        <f>IF($Y100="","",SUMIFS('Per Line'!$Z$2:$Z$1001,'Per Line'!$E$2:$E$1001,$B100,'Per Line'!$AQ$2:$AQ$1001,0,'Per Line'!$AR$2:$AR$1001,0))</f>
        <v/>
      </c>
      <c r="Q100" s="7">
        <f>IF($Y100="","",P100*O100)</f>
        <v/>
      </c>
      <c r="R100">
        <f>IF($Y100="","",Settings!$C$6)</f>
        <v/>
      </c>
      <c r="S100" s="7">
        <f>IF($Y100="","",SUMIFS('Per Line'!$Z$2:$Z$1001,'Per Line'!$E$2:$E$1001,$B100,'Per Line'!$AQ$2:$AQ$1001,1,'Per Line'!$AR$2:$AR$1001,0))</f>
        <v/>
      </c>
      <c r="T100" s="7">
        <f>IF($Y100="","",S100*R100)</f>
        <v/>
      </c>
      <c r="U100" s="7">
        <f>IF($Y100="","",T100+Q100)</f>
        <v/>
      </c>
      <c r="V100" s="7">
        <f>IF($Y100="","",W100-U100)</f>
        <v/>
      </c>
      <c r="W100" s="7">
        <f>IF($Y100="","",P100+S100+N100)</f>
        <v/>
      </c>
      <c r="X100" s="7">
        <f>IF($Y100="","",W100-U100-L100)</f>
        <v/>
      </c>
      <c r="Y100" s="13">
        <f>IF(ROWS($Y$2:$Y100)&lt;=MAX('Per Line'!$AP$2:$AP$1001),MATCH(ROWS($Y$2:$Y100),'Per Line'!$AP$2:$AP$1001,0),"")</f>
        <v/>
      </c>
    </row>
    <row r="101">
      <c r="A101" s="12" t="n"/>
      <c r="B101">
        <f>IF($Y101="","",INDEX('Per Line'!$E$2:$E$1001,$Y101)&amp;"")</f>
        <v/>
      </c>
      <c r="C101">
        <f>IF($Y101="","",INDEX('Per Line'!$F$2:$F$1001,$Y101)&amp;"")</f>
        <v/>
      </c>
      <c r="D101">
        <f>IF($Y101="","",INDEX('Per Line'!$A$2:$A$1001,$Y101)&amp;"")</f>
        <v/>
      </c>
      <c r="E101">
        <f>IF($Y101="","",INDEX('Per Line'!$B$2:$B$1001,$Y101))</f>
        <v/>
      </c>
      <c r="F101">
        <f>IF($Y101="","",INDEX('Per Line'!$G$2:$G$1001,$Y101)&amp;"")</f>
        <v/>
      </c>
      <c r="G101" s="11">
        <f>IF($Y101="","",INDEX('Per Line'!$H$2:$H$1001,$Y101))</f>
        <v/>
      </c>
      <c r="H101">
        <f>IF($Y101="","",INDEX('Per Line'!$K$2:$K$1001,$Y101)&amp;"")</f>
        <v/>
      </c>
      <c r="I101">
        <f>IF($Y101="","",INDEX('Per Line'!$L$2:$L$1001,$Y101)&amp;"")</f>
        <v/>
      </c>
      <c r="J101">
        <f>IF($Y101="","",INDEX('Per Line'!$M$2:$M$1001,$Y101)&amp;"")</f>
        <v/>
      </c>
      <c r="K101">
        <f>IF($Y101="","",INDEX('Per Line'!$Q$2:$Q$1001,$Y101))</f>
        <v/>
      </c>
      <c r="L101" s="7">
        <f>IF($Y101="","",K101*W101/100)</f>
        <v/>
      </c>
      <c r="M101">
        <f>IF($Y101="","",INDEX('Per Line'!$AD$2:$AD$1001,$Y101)&amp;"")</f>
        <v/>
      </c>
      <c r="N101" s="7">
        <f>IF($Y101="","",SUMIFS('Per Line'!$Z$2:$Z$1001,'Per Line'!$E$2:$E$1001,$B101,'Per Line'!$AR$2:$AR$1001,1))</f>
        <v/>
      </c>
      <c r="O101">
        <f>IF($Y101="","",Settings!$C$7)</f>
        <v/>
      </c>
      <c r="P101" s="7">
        <f>IF($Y101="","",SUMIFS('Per Line'!$Z$2:$Z$1001,'Per Line'!$E$2:$E$1001,$B101,'Per Line'!$AQ$2:$AQ$1001,0,'Per Line'!$AR$2:$AR$1001,0))</f>
        <v/>
      </c>
      <c r="Q101" s="7">
        <f>IF($Y101="","",P101*O101)</f>
        <v/>
      </c>
      <c r="R101">
        <f>IF($Y101="","",Settings!$C$6)</f>
        <v/>
      </c>
      <c r="S101" s="7">
        <f>IF($Y101="","",SUMIFS('Per Line'!$Z$2:$Z$1001,'Per Line'!$E$2:$E$1001,$B101,'Per Line'!$AQ$2:$AQ$1001,1,'Per Line'!$AR$2:$AR$1001,0))</f>
        <v/>
      </c>
      <c r="T101" s="7">
        <f>IF($Y101="","",S101*R101)</f>
        <v/>
      </c>
      <c r="U101" s="7">
        <f>IF($Y101="","",T101+Q101)</f>
        <v/>
      </c>
      <c r="V101" s="7">
        <f>IF($Y101="","",W101-U101)</f>
        <v/>
      </c>
      <c r="W101" s="7">
        <f>IF($Y101="","",P101+S101+N101)</f>
        <v/>
      </c>
      <c r="X101" s="7">
        <f>IF($Y101="","",W101-U101-L101)</f>
        <v/>
      </c>
      <c r="Y101" s="13">
        <f>IF(ROWS($Y$2:$Y101)&lt;=MAX('Per Line'!$AP$2:$AP$1001),MATCH(ROWS($Y$2:$Y101),'Per Line'!$AP$2:$AP$1001,0),"")</f>
        <v/>
      </c>
    </row>
    <row r="102">
      <c r="A102" s="12" t="n"/>
      <c r="B102">
        <f>IF($Y102="","",INDEX('Per Line'!$E$2:$E$1001,$Y102)&amp;"")</f>
        <v/>
      </c>
      <c r="C102">
        <f>IF($Y102="","",INDEX('Per Line'!$F$2:$F$1001,$Y102)&amp;"")</f>
        <v/>
      </c>
      <c r="D102">
        <f>IF($Y102="","",INDEX('Per Line'!$A$2:$A$1001,$Y102)&amp;"")</f>
        <v/>
      </c>
      <c r="E102">
        <f>IF($Y102="","",INDEX('Per Line'!$B$2:$B$1001,$Y102))</f>
        <v/>
      </c>
      <c r="F102">
        <f>IF($Y102="","",INDEX('Per Line'!$G$2:$G$1001,$Y102)&amp;"")</f>
        <v/>
      </c>
      <c r="G102" s="11">
        <f>IF($Y102="","",INDEX('Per Line'!$H$2:$H$1001,$Y102))</f>
        <v/>
      </c>
      <c r="H102">
        <f>IF($Y102="","",INDEX('Per Line'!$K$2:$K$1001,$Y102)&amp;"")</f>
        <v/>
      </c>
      <c r="I102">
        <f>IF($Y102="","",INDEX('Per Line'!$L$2:$L$1001,$Y102)&amp;"")</f>
        <v/>
      </c>
      <c r="J102">
        <f>IF($Y102="","",INDEX('Per Line'!$M$2:$M$1001,$Y102)&amp;"")</f>
        <v/>
      </c>
      <c r="K102">
        <f>IF($Y102="","",INDEX('Per Line'!$Q$2:$Q$1001,$Y102))</f>
        <v/>
      </c>
      <c r="L102" s="7">
        <f>IF($Y102="","",K102*W102/100)</f>
        <v/>
      </c>
      <c r="M102">
        <f>IF($Y102="","",INDEX('Per Line'!$AD$2:$AD$1001,$Y102)&amp;"")</f>
        <v/>
      </c>
      <c r="N102" s="7">
        <f>IF($Y102="","",SUMIFS('Per Line'!$Z$2:$Z$1001,'Per Line'!$E$2:$E$1001,$B102,'Per Line'!$AR$2:$AR$1001,1))</f>
        <v/>
      </c>
      <c r="O102">
        <f>IF($Y102="","",Settings!$C$7)</f>
        <v/>
      </c>
      <c r="P102" s="7">
        <f>IF($Y102="","",SUMIFS('Per Line'!$Z$2:$Z$1001,'Per Line'!$E$2:$E$1001,$B102,'Per Line'!$AQ$2:$AQ$1001,0,'Per Line'!$AR$2:$AR$1001,0))</f>
        <v/>
      </c>
      <c r="Q102" s="7">
        <f>IF($Y102="","",P102*O102)</f>
        <v/>
      </c>
      <c r="R102">
        <f>IF($Y102="","",Settings!$C$6)</f>
        <v/>
      </c>
      <c r="S102" s="7">
        <f>IF($Y102="","",SUMIFS('Per Line'!$Z$2:$Z$1001,'Per Line'!$E$2:$E$1001,$B102,'Per Line'!$AQ$2:$AQ$1001,1,'Per Line'!$AR$2:$AR$1001,0))</f>
        <v/>
      </c>
      <c r="T102" s="7">
        <f>IF($Y102="","",S102*R102)</f>
        <v/>
      </c>
      <c r="U102" s="7">
        <f>IF($Y102="","",T102+Q102)</f>
        <v/>
      </c>
      <c r="V102" s="7">
        <f>IF($Y102="","",W102-U102)</f>
        <v/>
      </c>
      <c r="W102" s="7">
        <f>IF($Y102="","",P102+S102+N102)</f>
        <v/>
      </c>
      <c r="X102" s="7">
        <f>IF($Y102="","",W102-U102-L102)</f>
        <v/>
      </c>
      <c r="Y102" s="13">
        <f>IF(ROWS($Y$2:$Y102)&lt;=MAX('Per Line'!$AP$2:$AP$1001),MATCH(ROWS($Y$2:$Y102),'Per Line'!$AP$2:$AP$1001,0),"")</f>
        <v/>
      </c>
    </row>
    <row r="103">
      <c r="A103" s="12" t="n"/>
      <c r="B103">
        <f>IF($Y103="","",INDEX('Per Line'!$E$2:$E$1001,$Y103)&amp;"")</f>
        <v/>
      </c>
      <c r="C103">
        <f>IF($Y103="","",INDEX('Per Line'!$F$2:$F$1001,$Y103)&amp;"")</f>
        <v/>
      </c>
      <c r="D103">
        <f>IF($Y103="","",INDEX('Per Line'!$A$2:$A$1001,$Y103)&amp;"")</f>
        <v/>
      </c>
      <c r="E103">
        <f>IF($Y103="","",INDEX('Per Line'!$B$2:$B$1001,$Y103))</f>
        <v/>
      </c>
      <c r="F103">
        <f>IF($Y103="","",INDEX('Per Line'!$G$2:$G$1001,$Y103)&amp;"")</f>
        <v/>
      </c>
      <c r="G103" s="11">
        <f>IF($Y103="","",INDEX('Per Line'!$H$2:$H$1001,$Y103))</f>
        <v/>
      </c>
      <c r="H103">
        <f>IF($Y103="","",INDEX('Per Line'!$K$2:$K$1001,$Y103)&amp;"")</f>
        <v/>
      </c>
      <c r="I103">
        <f>IF($Y103="","",INDEX('Per Line'!$L$2:$L$1001,$Y103)&amp;"")</f>
        <v/>
      </c>
      <c r="J103">
        <f>IF($Y103="","",INDEX('Per Line'!$M$2:$M$1001,$Y103)&amp;"")</f>
        <v/>
      </c>
      <c r="K103">
        <f>IF($Y103="","",INDEX('Per Line'!$Q$2:$Q$1001,$Y103))</f>
        <v/>
      </c>
      <c r="L103" s="7">
        <f>IF($Y103="","",K103*W103/100)</f>
        <v/>
      </c>
      <c r="M103">
        <f>IF($Y103="","",INDEX('Per Line'!$AD$2:$AD$1001,$Y103)&amp;"")</f>
        <v/>
      </c>
      <c r="N103" s="7">
        <f>IF($Y103="","",SUMIFS('Per Line'!$Z$2:$Z$1001,'Per Line'!$E$2:$E$1001,$B103,'Per Line'!$AR$2:$AR$1001,1))</f>
        <v/>
      </c>
      <c r="O103">
        <f>IF($Y103="","",Settings!$C$7)</f>
        <v/>
      </c>
      <c r="P103" s="7">
        <f>IF($Y103="","",SUMIFS('Per Line'!$Z$2:$Z$1001,'Per Line'!$E$2:$E$1001,$B103,'Per Line'!$AQ$2:$AQ$1001,0,'Per Line'!$AR$2:$AR$1001,0))</f>
        <v/>
      </c>
      <c r="Q103" s="7">
        <f>IF($Y103="","",P103*O103)</f>
        <v/>
      </c>
      <c r="R103">
        <f>IF($Y103="","",Settings!$C$6)</f>
        <v/>
      </c>
      <c r="S103" s="7">
        <f>IF($Y103="","",SUMIFS('Per Line'!$Z$2:$Z$1001,'Per Line'!$E$2:$E$1001,$B103,'Per Line'!$AQ$2:$AQ$1001,1,'Per Line'!$AR$2:$AR$1001,0))</f>
        <v/>
      </c>
      <c r="T103" s="7">
        <f>IF($Y103="","",S103*R103)</f>
        <v/>
      </c>
      <c r="U103" s="7">
        <f>IF($Y103="","",T103+Q103)</f>
        <v/>
      </c>
      <c r="V103" s="7">
        <f>IF($Y103="","",W103-U103)</f>
        <v/>
      </c>
      <c r="W103" s="7">
        <f>IF($Y103="","",P103+S103+N103)</f>
        <v/>
      </c>
      <c r="X103" s="7">
        <f>IF($Y103="","",W103-U103-L103)</f>
        <v/>
      </c>
      <c r="Y103" s="13">
        <f>IF(ROWS($Y$2:$Y103)&lt;=MAX('Per Line'!$AP$2:$AP$1001),MATCH(ROWS($Y$2:$Y103),'Per Line'!$AP$2:$AP$1001,0),"")</f>
        <v/>
      </c>
    </row>
    <row r="104">
      <c r="A104" s="12" t="n"/>
      <c r="B104">
        <f>IF($Y104="","",INDEX('Per Line'!$E$2:$E$1001,$Y104)&amp;"")</f>
        <v/>
      </c>
      <c r="C104">
        <f>IF($Y104="","",INDEX('Per Line'!$F$2:$F$1001,$Y104)&amp;"")</f>
        <v/>
      </c>
      <c r="D104">
        <f>IF($Y104="","",INDEX('Per Line'!$A$2:$A$1001,$Y104)&amp;"")</f>
        <v/>
      </c>
      <c r="E104">
        <f>IF($Y104="","",INDEX('Per Line'!$B$2:$B$1001,$Y104))</f>
        <v/>
      </c>
      <c r="F104">
        <f>IF($Y104="","",INDEX('Per Line'!$G$2:$G$1001,$Y104)&amp;"")</f>
        <v/>
      </c>
      <c r="G104" s="11">
        <f>IF($Y104="","",INDEX('Per Line'!$H$2:$H$1001,$Y104))</f>
        <v/>
      </c>
      <c r="H104">
        <f>IF($Y104="","",INDEX('Per Line'!$K$2:$K$1001,$Y104)&amp;"")</f>
        <v/>
      </c>
      <c r="I104">
        <f>IF($Y104="","",INDEX('Per Line'!$L$2:$L$1001,$Y104)&amp;"")</f>
        <v/>
      </c>
      <c r="J104">
        <f>IF($Y104="","",INDEX('Per Line'!$M$2:$M$1001,$Y104)&amp;"")</f>
        <v/>
      </c>
      <c r="K104">
        <f>IF($Y104="","",INDEX('Per Line'!$Q$2:$Q$1001,$Y104))</f>
        <v/>
      </c>
      <c r="L104" s="7">
        <f>IF($Y104="","",K104*W104/100)</f>
        <v/>
      </c>
      <c r="M104">
        <f>IF($Y104="","",INDEX('Per Line'!$AD$2:$AD$1001,$Y104)&amp;"")</f>
        <v/>
      </c>
      <c r="N104" s="7">
        <f>IF($Y104="","",SUMIFS('Per Line'!$Z$2:$Z$1001,'Per Line'!$E$2:$E$1001,$B104,'Per Line'!$AR$2:$AR$1001,1))</f>
        <v/>
      </c>
      <c r="O104">
        <f>IF($Y104="","",Settings!$C$7)</f>
        <v/>
      </c>
      <c r="P104" s="7">
        <f>IF($Y104="","",SUMIFS('Per Line'!$Z$2:$Z$1001,'Per Line'!$E$2:$E$1001,$B104,'Per Line'!$AQ$2:$AQ$1001,0,'Per Line'!$AR$2:$AR$1001,0))</f>
        <v/>
      </c>
      <c r="Q104" s="7">
        <f>IF($Y104="","",P104*O104)</f>
        <v/>
      </c>
      <c r="R104">
        <f>IF($Y104="","",Settings!$C$6)</f>
        <v/>
      </c>
      <c r="S104" s="7">
        <f>IF($Y104="","",SUMIFS('Per Line'!$Z$2:$Z$1001,'Per Line'!$E$2:$E$1001,$B104,'Per Line'!$AQ$2:$AQ$1001,1,'Per Line'!$AR$2:$AR$1001,0))</f>
        <v/>
      </c>
      <c r="T104" s="7">
        <f>IF($Y104="","",S104*R104)</f>
        <v/>
      </c>
      <c r="U104" s="7">
        <f>IF($Y104="","",T104+Q104)</f>
        <v/>
      </c>
      <c r="V104" s="7">
        <f>IF($Y104="","",W104-U104)</f>
        <v/>
      </c>
      <c r="W104" s="7">
        <f>IF($Y104="","",P104+S104+N104)</f>
        <v/>
      </c>
      <c r="X104" s="7">
        <f>IF($Y104="","",W104-U104-L104)</f>
        <v/>
      </c>
      <c r="Y104" s="13">
        <f>IF(ROWS($Y$2:$Y104)&lt;=MAX('Per Line'!$AP$2:$AP$1001),MATCH(ROWS($Y$2:$Y104),'Per Line'!$AP$2:$AP$1001,0),"")</f>
        <v/>
      </c>
    </row>
    <row r="105">
      <c r="A105" s="12" t="n"/>
      <c r="B105">
        <f>IF($Y105="","",INDEX('Per Line'!$E$2:$E$1001,$Y105)&amp;"")</f>
        <v/>
      </c>
      <c r="C105">
        <f>IF($Y105="","",INDEX('Per Line'!$F$2:$F$1001,$Y105)&amp;"")</f>
        <v/>
      </c>
      <c r="D105">
        <f>IF($Y105="","",INDEX('Per Line'!$A$2:$A$1001,$Y105)&amp;"")</f>
        <v/>
      </c>
      <c r="E105">
        <f>IF($Y105="","",INDEX('Per Line'!$B$2:$B$1001,$Y105))</f>
        <v/>
      </c>
      <c r="F105">
        <f>IF($Y105="","",INDEX('Per Line'!$G$2:$G$1001,$Y105)&amp;"")</f>
        <v/>
      </c>
      <c r="G105" s="11">
        <f>IF($Y105="","",INDEX('Per Line'!$H$2:$H$1001,$Y105))</f>
        <v/>
      </c>
      <c r="H105">
        <f>IF($Y105="","",INDEX('Per Line'!$K$2:$K$1001,$Y105)&amp;"")</f>
        <v/>
      </c>
      <c r="I105">
        <f>IF($Y105="","",INDEX('Per Line'!$L$2:$L$1001,$Y105)&amp;"")</f>
        <v/>
      </c>
      <c r="J105">
        <f>IF($Y105="","",INDEX('Per Line'!$M$2:$M$1001,$Y105)&amp;"")</f>
        <v/>
      </c>
      <c r="K105">
        <f>IF($Y105="","",INDEX('Per Line'!$Q$2:$Q$1001,$Y105))</f>
        <v/>
      </c>
      <c r="L105" s="7">
        <f>IF($Y105="","",K105*W105/100)</f>
        <v/>
      </c>
      <c r="M105">
        <f>IF($Y105="","",INDEX('Per Line'!$AD$2:$AD$1001,$Y105)&amp;"")</f>
        <v/>
      </c>
      <c r="N105" s="7">
        <f>IF($Y105="","",SUMIFS('Per Line'!$Z$2:$Z$1001,'Per Line'!$E$2:$E$1001,$B105,'Per Line'!$AR$2:$AR$1001,1))</f>
        <v/>
      </c>
      <c r="O105">
        <f>IF($Y105="","",Settings!$C$7)</f>
        <v/>
      </c>
      <c r="P105" s="7">
        <f>IF($Y105="","",SUMIFS('Per Line'!$Z$2:$Z$1001,'Per Line'!$E$2:$E$1001,$B105,'Per Line'!$AQ$2:$AQ$1001,0,'Per Line'!$AR$2:$AR$1001,0))</f>
        <v/>
      </c>
      <c r="Q105" s="7">
        <f>IF($Y105="","",P105*O105)</f>
        <v/>
      </c>
      <c r="R105">
        <f>IF($Y105="","",Settings!$C$6)</f>
        <v/>
      </c>
      <c r="S105" s="7">
        <f>IF($Y105="","",SUMIFS('Per Line'!$Z$2:$Z$1001,'Per Line'!$E$2:$E$1001,$B105,'Per Line'!$AQ$2:$AQ$1001,1,'Per Line'!$AR$2:$AR$1001,0))</f>
        <v/>
      </c>
      <c r="T105" s="7">
        <f>IF($Y105="","",S105*R105)</f>
        <v/>
      </c>
      <c r="U105" s="7">
        <f>IF($Y105="","",T105+Q105)</f>
        <v/>
      </c>
      <c r="V105" s="7">
        <f>IF($Y105="","",W105-U105)</f>
        <v/>
      </c>
      <c r="W105" s="7">
        <f>IF($Y105="","",P105+S105+N105)</f>
        <v/>
      </c>
      <c r="X105" s="7">
        <f>IF($Y105="","",W105-U105-L105)</f>
        <v/>
      </c>
      <c r="Y105" s="13">
        <f>IF(ROWS($Y$2:$Y105)&lt;=MAX('Per Line'!$AP$2:$AP$1001),MATCH(ROWS($Y$2:$Y105),'Per Line'!$AP$2:$AP$1001,0),"")</f>
        <v/>
      </c>
    </row>
    <row r="106">
      <c r="A106" s="12" t="n"/>
      <c r="B106">
        <f>IF($Y106="","",INDEX('Per Line'!$E$2:$E$1001,$Y106)&amp;"")</f>
        <v/>
      </c>
      <c r="C106">
        <f>IF($Y106="","",INDEX('Per Line'!$F$2:$F$1001,$Y106)&amp;"")</f>
        <v/>
      </c>
      <c r="D106">
        <f>IF($Y106="","",INDEX('Per Line'!$A$2:$A$1001,$Y106)&amp;"")</f>
        <v/>
      </c>
      <c r="E106">
        <f>IF($Y106="","",INDEX('Per Line'!$B$2:$B$1001,$Y106))</f>
        <v/>
      </c>
      <c r="F106">
        <f>IF($Y106="","",INDEX('Per Line'!$G$2:$G$1001,$Y106)&amp;"")</f>
        <v/>
      </c>
      <c r="G106" s="11">
        <f>IF($Y106="","",INDEX('Per Line'!$H$2:$H$1001,$Y106))</f>
        <v/>
      </c>
      <c r="H106">
        <f>IF($Y106="","",INDEX('Per Line'!$K$2:$K$1001,$Y106)&amp;"")</f>
        <v/>
      </c>
      <c r="I106">
        <f>IF($Y106="","",INDEX('Per Line'!$L$2:$L$1001,$Y106)&amp;"")</f>
        <v/>
      </c>
      <c r="J106">
        <f>IF($Y106="","",INDEX('Per Line'!$M$2:$M$1001,$Y106)&amp;"")</f>
        <v/>
      </c>
      <c r="K106">
        <f>IF($Y106="","",INDEX('Per Line'!$Q$2:$Q$1001,$Y106))</f>
        <v/>
      </c>
      <c r="L106" s="7">
        <f>IF($Y106="","",K106*W106/100)</f>
        <v/>
      </c>
      <c r="M106">
        <f>IF($Y106="","",INDEX('Per Line'!$AD$2:$AD$1001,$Y106)&amp;"")</f>
        <v/>
      </c>
      <c r="N106" s="7">
        <f>IF($Y106="","",SUMIFS('Per Line'!$Z$2:$Z$1001,'Per Line'!$E$2:$E$1001,$B106,'Per Line'!$AR$2:$AR$1001,1))</f>
        <v/>
      </c>
      <c r="O106">
        <f>IF($Y106="","",Settings!$C$7)</f>
        <v/>
      </c>
      <c r="P106" s="7">
        <f>IF($Y106="","",SUMIFS('Per Line'!$Z$2:$Z$1001,'Per Line'!$E$2:$E$1001,$B106,'Per Line'!$AQ$2:$AQ$1001,0,'Per Line'!$AR$2:$AR$1001,0))</f>
        <v/>
      </c>
      <c r="Q106" s="7">
        <f>IF($Y106="","",P106*O106)</f>
        <v/>
      </c>
      <c r="R106">
        <f>IF($Y106="","",Settings!$C$6)</f>
        <v/>
      </c>
      <c r="S106" s="7">
        <f>IF($Y106="","",SUMIFS('Per Line'!$Z$2:$Z$1001,'Per Line'!$E$2:$E$1001,$B106,'Per Line'!$AQ$2:$AQ$1001,1,'Per Line'!$AR$2:$AR$1001,0))</f>
        <v/>
      </c>
      <c r="T106" s="7">
        <f>IF($Y106="","",S106*R106)</f>
        <v/>
      </c>
      <c r="U106" s="7">
        <f>IF($Y106="","",T106+Q106)</f>
        <v/>
      </c>
      <c r="V106" s="7">
        <f>IF($Y106="","",W106-U106)</f>
        <v/>
      </c>
      <c r="W106" s="7">
        <f>IF($Y106="","",P106+S106+N106)</f>
        <v/>
      </c>
      <c r="X106" s="7">
        <f>IF($Y106="","",W106-U106-L106)</f>
        <v/>
      </c>
      <c r="Y106" s="13">
        <f>IF(ROWS($Y$2:$Y106)&lt;=MAX('Per Line'!$AP$2:$AP$1001),MATCH(ROWS($Y$2:$Y106),'Per Line'!$AP$2:$AP$1001,0),"")</f>
        <v/>
      </c>
    </row>
    <row r="107">
      <c r="A107" s="12" t="n"/>
      <c r="B107">
        <f>IF($Y107="","",INDEX('Per Line'!$E$2:$E$1001,$Y107)&amp;"")</f>
        <v/>
      </c>
      <c r="C107">
        <f>IF($Y107="","",INDEX('Per Line'!$F$2:$F$1001,$Y107)&amp;"")</f>
        <v/>
      </c>
      <c r="D107">
        <f>IF($Y107="","",INDEX('Per Line'!$A$2:$A$1001,$Y107)&amp;"")</f>
        <v/>
      </c>
      <c r="E107">
        <f>IF($Y107="","",INDEX('Per Line'!$B$2:$B$1001,$Y107))</f>
        <v/>
      </c>
      <c r="F107">
        <f>IF($Y107="","",INDEX('Per Line'!$G$2:$G$1001,$Y107)&amp;"")</f>
        <v/>
      </c>
      <c r="G107" s="11">
        <f>IF($Y107="","",INDEX('Per Line'!$H$2:$H$1001,$Y107))</f>
        <v/>
      </c>
      <c r="H107">
        <f>IF($Y107="","",INDEX('Per Line'!$K$2:$K$1001,$Y107)&amp;"")</f>
        <v/>
      </c>
      <c r="I107">
        <f>IF($Y107="","",INDEX('Per Line'!$L$2:$L$1001,$Y107)&amp;"")</f>
        <v/>
      </c>
      <c r="J107">
        <f>IF($Y107="","",INDEX('Per Line'!$M$2:$M$1001,$Y107)&amp;"")</f>
        <v/>
      </c>
      <c r="K107">
        <f>IF($Y107="","",INDEX('Per Line'!$Q$2:$Q$1001,$Y107))</f>
        <v/>
      </c>
      <c r="L107" s="7">
        <f>IF($Y107="","",K107*W107/100)</f>
        <v/>
      </c>
      <c r="M107">
        <f>IF($Y107="","",INDEX('Per Line'!$AD$2:$AD$1001,$Y107)&amp;"")</f>
        <v/>
      </c>
      <c r="N107" s="7">
        <f>IF($Y107="","",SUMIFS('Per Line'!$Z$2:$Z$1001,'Per Line'!$E$2:$E$1001,$B107,'Per Line'!$AR$2:$AR$1001,1))</f>
        <v/>
      </c>
      <c r="O107">
        <f>IF($Y107="","",Settings!$C$7)</f>
        <v/>
      </c>
      <c r="P107" s="7">
        <f>IF($Y107="","",SUMIFS('Per Line'!$Z$2:$Z$1001,'Per Line'!$E$2:$E$1001,$B107,'Per Line'!$AQ$2:$AQ$1001,0,'Per Line'!$AR$2:$AR$1001,0))</f>
        <v/>
      </c>
      <c r="Q107" s="7">
        <f>IF($Y107="","",P107*O107)</f>
        <v/>
      </c>
      <c r="R107">
        <f>IF($Y107="","",Settings!$C$6)</f>
        <v/>
      </c>
      <c r="S107" s="7">
        <f>IF($Y107="","",SUMIFS('Per Line'!$Z$2:$Z$1001,'Per Line'!$E$2:$E$1001,$B107,'Per Line'!$AQ$2:$AQ$1001,1,'Per Line'!$AR$2:$AR$1001,0))</f>
        <v/>
      </c>
      <c r="T107" s="7">
        <f>IF($Y107="","",S107*R107)</f>
        <v/>
      </c>
      <c r="U107" s="7">
        <f>IF($Y107="","",T107+Q107)</f>
        <v/>
      </c>
      <c r="V107" s="7">
        <f>IF($Y107="","",W107-U107)</f>
        <v/>
      </c>
      <c r="W107" s="7">
        <f>IF($Y107="","",P107+S107+N107)</f>
        <v/>
      </c>
      <c r="X107" s="7">
        <f>IF($Y107="","",W107-U107-L107)</f>
        <v/>
      </c>
      <c r="Y107" s="13">
        <f>IF(ROWS($Y$2:$Y107)&lt;=MAX('Per Line'!$AP$2:$AP$1001),MATCH(ROWS($Y$2:$Y107),'Per Line'!$AP$2:$AP$1001,0),"")</f>
        <v/>
      </c>
    </row>
    <row r="108">
      <c r="A108" s="12" t="n"/>
      <c r="B108">
        <f>IF($Y108="","",INDEX('Per Line'!$E$2:$E$1001,$Y108)&amp;"")</f>
        <v/>
      </c>
      <c r="C108">
        <f>IF($Y108="","",INDEX('Per Line'!$F$2:$F$1001,$Y108)&amp;"")</f>
        <v/>
      </c>
      <c r="D108">
        <f>IF($Y108="","",INDEX('Per Line'!$A$2:$A$1001,$Y108)&amp;"")</f>
        <v/>
      </c>
      <c r="E108">
        <f>IF($Y108="","",INDEX('Per Line'!$B$2:$B$1001,$Y108))</f>
        <v/>
      </c>
      <c r="F108">
        <f>IF($Y108="","",INDEX('Per Line'!$G$2:$G$1001,$Y108)&amp;"")</f>
        <v/>
      </c>
      <c r="G108" s="11">
        <f>IF($Y108="","",INDEX('Per Line'!$H$2:$H$1001,$Y108))</f>
        <v/>
      </c>
      <c r="H108">
        <f>IF($Y108="","",INDEX('Per Line'!$K$2:$K$1001,$Y108)&amp;"")</f>
        <v/>
      </c>
      <c r="I108">
        <f>IF($Y108="","",INDEX('Per Line'!$L$2:$L$1001,$Y108)&amp;"")</f>
        <v/>
      </c>
      <c r="J108">
        <f>IF($Y108="","",INDEX('Per Line'!$M$2:$M$1001,$Y108)&amp;"")</f>
        <v/>
      </c>
      <c r="K108">
        <f>IF($Y108="","",INDEX('Per Line'!$Q$2:$Q$1001,$Y108))</f>
        <v/>
      </c>
      <c r="L108" s="7">
        <f>IF($Y108="","",K108*W108/100)</f>
        <v/>
      </c>
      <c r="M108">
        <f>IF($Y108="","",INDEX('Per Line'!$AD$2:$AD$1001,$Y108)&amp;"")</f>
        <v/>
      </c>
      <c r="N108" s="7">
        <f>IF($Y108="","",SUMIFS('Per Line'!$Z$2:$Z$1001,'Per Line'!$E$2:$E$1001,$B108,'Per Line'!$AR$2:$AR$1001,1))</f>
        <v/>
      </c>
      <c r="O108">
        <f>IF($Y108="","",Settings!$C$7)</f>
        <v/>
      </c>
      <c r="P108" s="7">
        <f>IF($Y108="","",SUMIFS('Per Line'!$Z$2:$Z$1001,'Per Line'!$E$2:$E$1001,$B108,'Per Line'!$AQ$2:$AQ$1001,0,'Per Line'!$AR$2:$AR$1001,0))</f>
        <v/>
      </c>
      <c r="Q108" s="7">
        <f>IF($Y108="","",P108*O108)</f>
        <v/>
      </c>
      <c r="R108">
        <f>IF($Y108="","",Settings!$C$6)</f>
        <v/>
      </c>
      <c r="S108" s="7">
        <f>IF($Y108="","",SUMIFS('Per Line'!$Z$2:$Z$1001,'Per Line'!$E$2:$E$1001,$B108,'Per Line'!$AQ$2:$AQ$1001,1,'Per Line'!$AR$2:$AR$1001,0))</f>
        <v/>
      </c>
      <c r="T108" s="7">
        <f>IF($Y108="","",S108*R108)</f>
        <v/>
      </c>
      <c r="U108" s="7">
        <f>IF($Y108="","",T108+Q108)</f>
        <v/>
      </c>
      <c r="V108" s="7">
        <f>IF($Y108="","",W108-U108)</f>
        <v/>
      </c>
      <c r="W108" s="7">
        <f>IF($Y108="","",P108+S108+N108)</f>
        <v/>
      </c>
      <c r="X108" s="7">
        <f>IF($Y108="","",W108-U108-L108)</f>
        <v/>
      </c>
      <c r="Y108" s="13">
        <f>IF(ROWS($Y$2:$Y108)&lt;=MAX('Per Line'!$AP$2:$AP$1001),MATCH(ROWS($Y$2:$Y108),'Per Line'!$AP$2:$AP$1001,0),"")</f>
        <v/>
      </c>
    </row>
    <row r="109">
      <c r="A109" s="12" t="n"/>
      <c r="B109">
        <f>IF($Y109="","",INDEX('Per Line'!$E$2:$E$1001,$Y109)&amp;"")</f>
        <v/>
      </c>
      <c r="C109">
        <f>IF($Y109="","",INDEX('Per Line'!$F$2:$F$1001,$Y109)&amp;"")</f>
        <v/>
      </c>
      <c r="D109">
        <f>IF($Y109="","",INDEX('Per Line'!$A$2:$A$1001,$Y109)&amp;"")</f>
        <v/>
      </c>
      <c r="E109">
        <f>IF($Y109="","",INDEX('Per Line'!$B$2:$B$1001,$Y109))</f>
        <v/>
      </c>
      <c r="F109">
        <f>IF($Y109="","",INDEX('Per Line'!$G$2:$G$1001,$Y109)&amp;"")</f>
        <v/>
      </c>
      <c r="G109" s="11">
        <f>IF($Y109="","",INDEX('Per Line'!$H$2:$H$1001,$Y109))</f>
        <v/>
      </c>
      <c r="H109">
        <f>IF($Y109="","",INDEX('Per Line'!$K$2:$K$1001,$Y109)&amp;"")</f>
        <v/>
      </c>
      <c r="I109">
        <f>IF($Y109="","",INDEX('Per Line'!$L$2:$L$1001,$Y109)&amp;"")</f>
        <v/>
      </c>
      <c r="J109">
        <f>IF($Y109="","",INDEX('Per Line'!$M$2:$M$1001,$Y109)&amp;"")</f>
        <v/>
      </c>
      <c r="K109">
        <f>IF($Y109="","",INDEX('Per Line'!$Q$2:$Q$1001,$Y109))</f>
        <v/>
      </c>
      <c r="L109" s="7">
        <f>IF($Y109="","",K109*W109/100)</f>
        <v/>
      </c>
      <c r="M109">
        <f>IF($Y109="","",INDEX('Per Line'!$AD$2:$AD$1001,$Y109)&amp;"")</f>
        <v/>
      </c>
      <c r="N109" s="7">
        <f>IF($Y109="","",SUMIFS('Per Line'!$Z$2:$Z$1001,'Per Line'!$E$2:$E$1001,$B109,'Per Line'!$AR$2:$AR$1001,1))</f>
        <v/>
      </c>
      <c r="O109">
        <f>IF($Y109="","",Settings!$C$7)</f>
        <v/>
      </c>
      <c r="P109" s="7">
        <f>IF($Y109="","",SUMIFS('Per Line'!$Z$2:$Z$1001,'Per Line'!$E$2:$E$1001,$B109,'Per Line'!$AQ$2:$AQ$1001,0,'Per Line'!$AR$2:$AR$1001,0))</f>
        <v/>
      </c>
      <c r="Q109" s="7">
        <f>IF($Y109="","",P109*O109)</f>
        <v/>
      </c>
      <c r="R109">
        <f>IF($Y109="","",Settings!$C$6)</f>
        <v/>
      </c>
      <c r="S109" s="7">
        <f>IF($Y109="","",SUMIFS('Per Line'!$Z$2:$Z$1001,'Per Line'!$E$2:$E$1001,$B109,'Per Line'!$AQ$2:$AQ$1001,1,'Per Line'!$AR$2:$AR$1001,0))</f>
        <v/>
      </c>
      <c r="T109" s="7">
        <f>IF($Y109="","",S109*R109)</f>
        <v/>
      </c>
      <c r="U109" s="7">
        <f>IF($Y109="","",T109+Q109)</f>
        <v/>
      </c>
      <c r="V109" s="7">
        <f>IF($Y109="","",W109-U109)</f>
        <v/>
      </c>
      <c r="W109" s="7">
        <f>IF($Y109="","",P109+S109+N109)</f>
        <v/>
      </c>
      <c r="X109" s="7">
        <f>IF($Y109="","",W109-U109-L109)</f>
        <v/>
      </c>
      <c r="Y109" s="13">
        <f>IF(ROWS($Y$2:$Y109)&lt;=MAX('Per Line'!$AP$2:$AP$1001),MATCH(ROWS($Y$2:$Y109),'Per Line'!$AP$2:$AP$1001,0),"")</f>
        <v/>
      </c>
    </row>
    <row r="110">
      <c r="A110" s="12" t="n"/>
      <c r="B110">
        <f>IF($Y110="","",INDEX('Per Line'!$E$2:$E$1001,$Y110)&amp;"")</f>
        <v/>
      </c>
      <c r="C110">
        <f>IF($Y110="","",INDEX('Per Line'!$F$2:$F$1001,$Y110)&amp;"")</f>
        <v/>
      </c>
      <c r="D110">
        <f>IF($Y110="","",INDEX('Per Line'!$A$2:$A$1001,$Y110)&amp;"")</f>
        <v/>
      </c>
      <c r="E110">
        <f>IF($Y110="","",INDEX('Per Line'!$B$2:$B$1001,$Y110))</f>
        <v/>
      </c>
      <c r="F110">
        <f>IF($Y110="","",INDEX('Per Line'!$G$2:$G$1001,$Y110)&amp;"")</f>
        <v/>
      </c>
      <c r="G110" s="11">
        <f>IF($Y110="","",INDEX('Per Line'!$H$2:$H$1001,$Y110))</f>
        <v/>
      </c>
      <c r="H110">
        <f>IF($Y110="","",INDEX('Per Line'!$K$2:$K$1001,$Y110)&amp;"")</f>
        <v/>
      </c>
      <c r="I110">
        <f>IF($Y110="","",INDEX('Per Line'!$L$2:$L$1001,$Y110)&amp;"")</f>
        <v/>
      </c>
      <c r="J110">
        <f>IF($Y110="","",INDEX('Per Line'!$M$2:$M$1001,$Y110)&amp;"")</f>
        <v/>
      </c>
      <c r="K110">
        <f>IF($Y110="","",INDEX('Per Line'!$Q$2:$Q$1001,$Y110))</f>
        <v/>
      </c>
      <c r="L110" s="7">
        <f>IF($Y110="","",K110*W110/100)</f>
        <v/>
      </c>
      <c r="M110">
        <f>IF($Y110="","",INDEX('Per Line'!$AD$2:$AD$1001,$Y110)&amp;"")</f>
        <v/>
      </c>
      <c r="N110" s="7">
        <f>IF($Y110="","",SUMIFS('Per Line'!$Z$2:$Z$1001,'Per Line'!$E$2:$E$1001,$B110,'Per Line'!$AR$2:$AR$1001,1))</f>
        <v/>
      </c>
      <c r="O110">
        <f>IF($Y110="","",Settings!$C$7)</f>
        <v/>
      </c>
      <c r="P110" s="7">
        <f>IF($Y110="","",SUMIFS('Per Line'!$Z$2:$Z$1001,'Per Line'!$E$2:$E$1001,$B110,'Per Line'!$AQ$2:$AQ$1001,0,'Per Line'!$AR$2:$AR$1001,0))</f>
        <v/>
      </c>
      <c r="Q110" s="7">
        <f>IF($Y110="","",P110*O110)</f>
        <v/>
      </c>
      <c r="R110">
        <f>IF($Y110="","",Settings!$C$6)</f>
        <v/>
      </c>
      <c r="S110" s="7">
        <f>IF($Y110="","",SUMIFS('Per Line'!$Z$2:$Z$1001,'Per Line'!$E$2:$E$1001,$B110,'Per Line'!$AQ$2:$AQ$1001,1,'Per Line'!$AR$2:$AR$1001,0))</f>
        <v/>
      </c>
      <c r="T110" s="7">
        <f>IF($Y110="","",S110*R110)</f>
        <v/>
      </c>
      <c r="U110" s="7">
        <f>IF($Y110="","",T110+Q110)</f>
        <v/>
      </c>
      <c r="V110" s="7">
        <f>IF($Y110="","",W110-U110)</f>
        <v/>
      </c>
      <c r="W110" s="7">
        <f>IF($Y110="","",P110+S110+N110)</f>
        <v/>
      </c>
      <c r="X110" s="7">
        <f>IF($Y110="","",W110-U110-L110)</f>
        <v/>
      </c>
      <c r="Y110" s="13">
        <f>IF(ROWS($Y$2:$Y110)&lt;=MAX('Per Line'!$AP$2:$AP$1001),MATCH(ROWS($Y$2:$Y110),'Per Line'!$AP$2:$AP$1001,0),"")</f>
        <v/>
      </c>
    </row>
    <row r="111">
      <c r="A111" s="12" t="n"/>
      <c r="B111">
        <f>IF($Y111="","",INDEX('Per Line'!$E$2:$E$1001,$Y111)&amp;"")</f>
        <v/>
      </c>
      <c r="C111">
        <f>IF($Y111="","",INDEX('Per Line'!$F$2:$F$1001,$Y111)&amp;"")</f>
        <v/>
      </c>
      <c r="D111">
        <f>IF($Y111="","",INDEX('Per Line'!$A$2:$A$1001,$Y111)&amp;"")</f>
        <v/>
      </c>
      <c r="E111">
        <f>IF($Y111="","",INDEX('Per Line'!$B$2:$B$1001,$Y111))</f>
        <v/>
      </c>
      <c r="F111">
        <f>IF($Y111="","",INDEX('Per Line'!$G$2:$G$1001,$Y111)&amp;"")</f>
        <v/>
      </c>
      <c r="G111" s="11">
        <f>IF($Y111="","",INDEX('Per Line'!$H$2:$H$1001,$Y111))</f>
        <v/>
      </c>
      <c r="H111">
        <f>IF($Y111="","",INDEX('Per Line'!$K$2:$K$1001,$Y111)&amp;"")</f>
        <v/>
      </c>
      <c r="I111">
        <f>IF($Y111="","",INDEX('Per Line'!$L$2:$L$1001,$Y111)&amp;"")</f>
        <v/>
      </c>
      <c r="J111">
        <f>IF($Y111="","",INDEX('Per Line'!$M$2:$M$1001,$Y111)&amp;"")</f>
        <v/>
      </c>
      <c r="K111">
        <f>IF($Y111="","",INDEX('Per Line'!$Q$2:$Q$1001,$Y111))</f>
        <v/>
      </c>
      <c r="L111" s="7">
        <f>IF($Y111="","",K111*W111/100)</f>
        <v/>
      </c>
      <c r="M111">
        <f>IF($Y111="","",INDEX('Per Line'!$AD$2:$AD$1001,$Y111)&amp;"")</f>
        <v/>
      </c>
      <c r="N111" s="7">
        <f>IF($Y111="","",SUMIFS('Per Line'!$Z$2:$Z$1001,'Per Line'!$E$2:$E$1001,$B111,'Per Line'!$AR$2:$AR$1001,1))</f>
        <v/>
      </c>
      <c r="O111">
        <f>IF($Y111="","",Settings!$C$7)</f>
        <v/>
      </c>
      <c r="P111" s="7">
        <f>IF($Y111="","",SUMIFS('Per Line'!$Z$2:$Z$1001,'Per Line'!$E$2:$E$1001,$B111,'Per Line'!$AQ$2:$AQ$1001,0,'Per Line'!$AR$2:$AR$1001,0))</f>
        <v/>
      </c>
      <c r="Q111" s="7">
        <f>IF($Y111="","",P111*O111)</f>
        <v/>
      </c>
      <c r="R111">
        <f>IF($Y111="","",Settings!$C$6)</f>
        <v/>
      </c>
      <c r="S111" s="7">
        <f>IF($Y111="","",SUMIFS('Per Line'!$Z$2:$Z$1001,'Per Line'!$E$2:$E$1001,$B111,'Per Line'!$AQ$2:$AQ$1001,1,'Per Line'!$AR$2:$AR$1001,0))</f>
        <v/>
      </c>
      <c r="T111" s="7">
        <f>IF($Y111="","",S111*R111)</f>
        <v/>
      </c>
      <c r="U111" s="7">
        <f>IF($Y111="","",T111+Q111)</f>
        <v/>
      </c>
      <c r="V111" s="7">
        <f>IF($Y111="","",W111-U111)</f>
        <v/>
      </c>
      <c r="W111" s="7">
        <f>IF($Y111="","",P111+S111+N111)</f>
        <v/>
      </c>
      <c r="X111" s="7">
        <f>IF($Y111="","",W111-U111-L111)</f>
        <v/>
      </c>
      <c r="Y111" s="13">
        <f>IF(ROWS($Y$2:$Y111)&lt;=MAX('Per Line'!$AP$2:$AP$1001),MATCH(ROWS($Y$2:$Y111),'Per Line'!$AP$2:$AP$1001,0),"")</f>
        <v/>
      </c>
    </row>
    <row r="112">
      <c r="A112" s="12" t="n"/>
      <c r="B112">
        <f>IF($Y112="","",INDEX('Per Line'!$E$2:$E$1001,$Y112)&amp;"")</f>
        <v/>
      </c>
      <c r="C112">
        <f>IF($Y112="","",INDEX('Per Line'!$F$2:$F$1001,$Y112)&amp;"")</f>
        <v/>
      </c>
      <c r="D112">
        <f>IF($Y112="","",INDEX('Per Line'!$A$2:$A$1001,$Y112)&amp;"")</f>
        <v/>
      </c>
      <c r="E112">
        <f>IF($Y112="","",INDEX('Per Line'!$B$2:$B$1001,$Y112))</f>
        <v/>
      </c>
      <c r="F112">
        <f>IF($Y112="","",INDEX('Per Line'!$G$2:$G$1001,$Y112)&amp;"")</f>
        <v/>
      </c>
      <c r="G112" s="11">
        <f>IF($Y112="","",INDEX('Per Line'!$H$2:$H$1001,$Y112))</f>
        <v/>
      </c>
      <c r="H112">
        <f>IF($Y112="","",INDEX('Per Line'!$K$2:$K$1001,$Y112)&amp;"")</f>
        <v/>
      </c>
      <c r="I112">
        <f>IF($Y112="","",INDEX('Per Line'!$L$2:$L$1001,$Y112)&amp;"")</f>
        <v/>
      </c>
      <c r="J112">
        <f>IF($Y112="","",INDEX('Per Line'!$M$2:$M$1001,$Y112)&amp;"")</f>
        <v/>
      </c>
      <c r="K112">
        <f>IF($Y112="","",INDEX('Per Line'!$Q$2:$Q$1001,$Y112))</f>
        <v/>
      </c>
      <c r="L112" s="7">
        <f>IF($Y112="","",K112*W112/100)</f>
        <v/>
      </c>
      <c r="M112">
        <f>IF($Y112="","",INDEX('Per Line'!$AD$2:$AD$1001,$Y112)&amp;"")</f>
        <v/>
      </c>
      <c r="N112" s="7">
        <f>IF($Y112="","",SUMIFS('Per Line'!$Z$2:$Z$1001,'Per Line'!$E$2:$E$1001,$B112,'Per Line'!$AR$2:$AR$1001,1))</f>
        <v/>
      </c>
      <c r="O112">
        <f>IF($Y112="","",Settings!$C$7)</f>
        <v/>
      </c>
      <c r="P112" s="7">
        <f>IF($Y112="","",SUMIFS('Per Line'!$Z$2:$Z$1001,'Per Line'!$E$2:$E$1001,$B112,'Per Line'!$AQ$2:$AQ$1001,0,'Per Line'!$AR$2:$AR$1001,0))</f>
        <v/>
      </c>
      <c r="Q112" s="7">
        <f>IF($Y112="","",P112*O112)</f>
        <v/>
      </c>
      <c r="R112">
        <f>IF($Y112="","",Settings!$C$6)</f>
        <v/>
      </c>
      <c r="S112" s="7">
        <f>IF($Y112="","",SUMIFS('Per Line'!$Z$2:$Z$1001,'Per Line'!$E$2:$E$1001,$B112,'Per Line'!$AQ$2:$AQ$1001,1,'Per Line'!$AR$2:$AR$1001,0))</f>
        <v/>
      </c>
      <c r="T112" s="7">
        <f>IF($Y112="","",S112*R112)</f>
        <v/>
      </c>
      <c r="U112" s="7">
        <f>IF($Y112="","",T112+Q112)</f>
        <v/>
      </c>
      <c r="V112" s="7">
        <f>IF($Y112="","",W112-U112)</f>
        <v/>
      </c>
      <c r="W112" s="7">
        <f>IF($Y112="","",P112+S112+N112)</f>
        <v/>
      </c>
      <c r="X112" s="7">
        <f>IF($Y112="","",W112-U112-L112)</f>
        <v/>
      </c>
      <c r="Y112" s="13">
        <f>IF(ROWS($Y$2:$Y112)&lt;=MAX('Per Line'!$AP$2:$AP$1001),MATCH(ROWS($Y$2:$Y112),'Per Line'!$AP$2:$AP$1001,0),"")</f>
        <v/>
      </c>
    </row>
    <row r="113">
      <c r="A113" s="12" t="n"/>
      <c r="B113">
        <f>IF($Y113="","",INDEX('Per Line'!$E$2:$E$1001,$Y113)&amp;"")</f>
        <v/>
      </c>
      <c r="C113">
        <f>IF($Y113="","",INDEX('Per Line'!$F$2:$F$1001,$Y113)&amp;"")</f>
        <v/>
      </c>
      <c r="D113">
        <f>IF($Y113="","",INDEX('Per Line'!$A$2:$A$1001,$Y113)&amp;"")</f>
        <v/>
      </c>
      <c r="E113">
        <f>IF($Y113="","",INDEX('Per Line'!$B$2:$B$1001,$Y113))</f>
        <v/>
      </c>
      <c r="F113">
        <f>IF($Y113="","",INDEX('Per Line'!$G$2:$G$1001,$Y113)&amp;"")</f>
        <v/>
      </c>
      <c r="G113" s="11">
        <f>IF($Y113="","",INDEX('Per Line'!$H$2:$H$1001,$Y113))</f>
        <v/>
      </c>
      <c r="H113">
        <f>IF($Y113="","",INDEX('Per Line'!$K$2:$K$1001,$Y113)&amp;"")</f>
        <v/>
      </c>
      <c r="I113">
        <f>IF($Y113="","",INDEX('Per Line'!$L$2:$L$1001,$Y113)&amp;"")</f>
        <v/>
      </c>
      <c r="J113">
        <f>IF($Y113="","",INDEX('Per Line'!$M$2:$M$1001,$Y113)&amp;"")</f>
        <v/>
      </c>
      <c r="K113">
        <f>IF($Y113="","",INDEX('Per Line'!$Q$2:$Q$1001,$Y113))</f>
        <v/>
      </c>
      <c r="L113" s="7">
        <f>IF($Y113="","",K113*W113/100)</f>
        <v/>
      </c>
      <c r="M113">
        <f>IF($Y113="","",INDEX('Per Line'!$AD$2:$AD$1001,$Y113)&amp;"")</f>
        <v/>
      </c>
      <c r="N113" s="7">
        <f>IF($Y113="","",SUMIFS('Per Line'!$Z$2:$Z$1001,'Per Line'!$E$2:$E$1001,$B113,'Per Line'!$AR$2:$AR$1001,1))</f>
        <v/>
      </c>
      <c r="O113">
        <f>IF($Y113="","",Settings!$C$7)</f>
        <v/>
      </c>
      <c r="P113" s="7">
        <f>IF($Y113="","",SUMIFS('Per Line'!$Z$2:$Z$1001,'Per Line'!$E$2:$E$1001,$B113,'Per Line'!$AQ$2:$AQ$1001,0,'Per Line'!$AR$2:$AR$1001,0))</f>
        <v/>
      </c>
      <c r="Q113" s="7">
        <f>IF($Y113="","",P113*O113)</f>
        <v/>
      </c>
      <c r="R113">
        <f>IF($Y113="","",Settings!$C$6)</f>
        <v/>
      </c>
      <c r="S113" s="7">
        <f>IF($Y113="","",SUMIFS('Per Line'!$Z$2:$Z$1001,'Per Line'!$E$2:$E$1001,$B113,'Per Line'!$AQ$2:$AQ$1001,1,'Per Line'!$AR$2:$AR$1001,0))</f>
        <v/>
      </c>
      <c r="T113" s="7">
        <f>IF($Y113="","",S113*R113)</f>
        <v/>
      </c>
      <c r="U113" s="7">
        <f>IF($Y113="","",T113+Q113)</f>
        <v/>
      </c>
      <c r="V113" s="7">
        <f>IF($Y113="","",W113-U113)</f>
        <v/>
      </c>
      <c r="W113" s="7">
        <f>IF($Y113="","",P113+S113+N113)</f>
        <v/>
      </c>
      <c r="X113" s="7">
        <f>IF($Y113="","",W113-U113-L113)</f>
        <v/>
      </c>
      <c r="Y113" s="13">
        <f>IF(ROWS($Y$2:$Y113)&lt;=MAX('Per Line'!$AP$2:$AP$1001),MATCH(ROWS($Y$2:$Y113),'Per Line'!$AP$2:$AP$1001,0),"")</f>
        <v/>
      </c>
    </row>
    <row r="114">
      <c r="A114" s="12" t="n"/>
      <c r="B114">
        <f>IF($Y114="","",INDEX('Per Line'!$E$2:$E$1001,$Y114)&amp;"")</f>
        <v/>
      </c>
      <c r="C114">
        <f>IF($Y114="","",INDEX('Per Line'!$F$2:$F$1001,$Y114)&amp;"")</f>
        <v/>
      </c>
      <c r="D114">
        <f>IF($Y114="","",INDEX('Per Line'!$A$2:$A$1001,$Y114)&amp;"")</f>
        <v/>
      </c>
      <c r="E114">
        <f>IF($Y114="","",INDEX('Per Line'!$B$2:$B$1001,$Y114))</f>
        <v/>
      </c>
      <c r="F114">
        <f>IF($Y114="","",INDEX('Per Line'!$G$2:$G$1001,$Y114)&amp;"")</f>
        <v/>
      </c>
      <c r="G114" s="11">
        <f>IF($Y114="","",INDEX('Per Line'!$H$2:$H$1001,$Y114))</f>
        <v/>
      </c>
      <c r="H114">
        <f>IF($Y114="","",INDEX('Per Line'!$K$2:$K$1001,$Y114)&amp;"")</f>
        <v/>
      </c>
      <c r="I114">
        <f>IF($Y114="","",INDEX('Per Line'!$L$2:$L$1001,$Y114)&amp;"")</f>
        <v/>
      </c>
      <c r="J114">
        <f>IF($Y114="","",INDEX('Per Line'!$M$2:$M$1001,$Y114)&amp;"")</f>
        <v/>
      </c>
      <c r="K114">
        <f>IF($Y114="","",INDEX('Per Line'!$Q$2:$Q$1001,$Y114))</f>
        <v/>
      </c>
      <c r="L114" s="7">
        <f>IF($Y114="","",K114*W114/100)</f>
        <v/>
      </c>
      <c r="M114">
        <f>IF($Y114="","",INDEX('Per Line'!$AD$2:$AD$1001,$Y114)&amp;"")</f>
        <v/>
      </c>
      <c r="N114" s="7">
        <f>IF($Y114="","",SUMIFS('Per Line'!$Z$2:$Z$1001,'Per Line'!$E$2:$E$1001,$B114,'Per Line'!$AR$2:$AR$1001,1))</f>
        <v/>
      </c>
      <c r="O114">
        <f>IF($Y114="","",Settings!$C$7)</f>
        <v/>
      </c>
      <c r="P114" s="7">
        <f>IF($Y114="","",SUMIFS('Per Line'!$Z$2:$Z$1001,'Per Line'!$E$2:$E$1001,$B114,'Per Line'!$AQ$2:$AQ$1001,0,'Per Line'!$AR$2:$AR$1001,0))</f>
        <v/>
      </c>
      <c r="Q114" s="7">
        <f>IF($Y114="","",P114*O114)</f>
        <v/>
      </c>
      <c r="R114">
        <f>IF($Y114="","",Settings!$C$6)</f>
        <v/>
      </c>
      <c r="S114" s="7">
        <f>IF($Y114="","",SUMIFS('Per Line'!$Z$2:$Z$1001,'Per Line'!$E$2:$E$1001,$B114,'Per Line'!$AQ$2:$AQ$1001,1,'Per Line'!$AR$2:$AR$1001,0))</f>
        <v/>
      </c>
      <c r="T114" s="7">
        <f>IF($Y114="","",S114*R114)</f>
        <v/>
      </c>
      <c r="U114" s="7">
        <f>IF($Y114="","",T114+Q114)</f>
        <v/>
      </c>
      <c r="V114" s="7">
        <f>IF($Y114="","",W114-U114)</f>
        <v/>
      </c>
      <c r="W114" s="7">
        <f>IF($Y114="","",P114+S114+N114)</f>
        <v/>
      </c>
      <c r="X114" s="7">
        <f>IF($Y114="","",W114-U114-L114)</f>
        <v/>
      </c>
      <c r="Y114" s="13">
        <f>IF(ROWS($Y$2:$Y114)&lt;=MAX('Per Line'!$AP$2:$AP$1001),MATCH(ROWS($Y$2:$Y114),'Per Line'!$AP$2:$AP$1001,0),"")</f>
        <v/>
      </c>
    </row>
    <row r="115">
      <c r="A115" s="12" t="n"/>
      <c r="B115">
        <f>IF($Y115="","",INDEX('Per Line'!$E$2:$E$1001,$Y115)&amp;"")</f>
        <v/>
      </c>
      <c r="C115">
        <f>IF($Y115="","",INDEX('Per Line'!$F$2:$F$1001,$Y115)&amp;"")</f>
        <v/>
      </c>
      <c r="D115">
        <f>IF($Y115="","",INDEX('Per Line'!$A$2:$A$1001,$Y115)&amp;"")</f>
        <v/>
      </c>
      <c r="E115">
        <f>IF($Y115="","",INDEX('Per Line'!$B$2:$B$1001,$Y115))</f>
        <v/>
      </c>
      <c r="F115">
        <f>IF($Y115="","",INDEX('Per Line'!$G$2:$G$1001,$Y115)&amp;"")</f>
        <v/>
      </c>
      <c r="G115" s="11">
        <f>IF($Y115="","",INDEX('Per Line'!$H$2:$H$1001,$Y115))</f>
        <v/>
      </c>
      <c r="H115">
        <f>IF($Y115="","",INDEX('Per Line'!$K$2:$K$1001,$Y115)&amp;"")</f>
        <v/>
      </c>
      <c r="I115">
        <f>IF($Y115="","",INDEX('Per Line'!$L$2:$L$1001,$Y115)&amp;"")</f>
        <v/>
      </c>
      <c r="J115">
        <f>IF($Y115="","",INDEX('Per Line'!$M$2:$M$1001,$Y115)&amp;"")</f>
        <v/>
      </c>
      <c r="K115">
        <f>IF($Y115="","",INDEX('Per Line'!$Q$2:$Q$1001,$Y115))</f>
        <v/>
      </c>
      <c r="L115" s="7">
        <f>IF($Y115="","",K115*W115/100)</f>
        <v/>
      </c>
      <c r="M115">
        <f>IF($Y115="","",INDEX('Per Line'!$AD$2:$AD$1001,$Y115)&amp;"")</f>
        <v/>
      </c>
      <c r="N115" s="7">
        <f>IF($Y115="","",SUMIFS('Per Line'!$Z$2:$Z$1001,'Per Line'!$E$2:$E$1001,$B115,'Per Line'!$AR$2:$AR$1001,1))</f>
        <v/>
      </c>
      <c r="O115">
        <f>IF($Y115="","",Settings!$C$7)</f>
        <v/>
      </c>
      <c r="P115" s="7">
        <f>IF($Y115="","",SUMIFS('Per Line'!$Z$2:$Z$1001,'Per Line'!$E$2:$E$1001,$B115,'Per Line'!$AQ$2:$AQ$1001,0,'Per Line'!$AR$2:$AR$1001,0))</f>
        <v/>
      </c>
      <c r="Q115" s="7">
        <f>IF($Y115="","",P115*O115)</f>
        <v/>
      </c>
      <c r="R115">
        <f>IF($Y115="","",Settings!$C$6)</f>
        <v/>
      </c>
      <c r="S115" s="7">
        <f>IF($Y115="","",SUMIFS('Per Line'!$Z$2:$Z$1001,'Per Line'!$E$2:$E$1001,$B115,'Per Line'!$AQ$2:$AQ$1001,1,'Per Line'!$AR$2:$AR$1001,0))</f>
        <v/>
      </c>
      <c r="T115" s="7">
        <f>IF($Y115="","",S115*R115)</f>
        <v/>
      </c>
      <c r="U115" s="7">
        <f>IF($Y115="","",T115+Q115)</f>
        <v/>
      </c>
      <c r="V115" s="7">
        <f>IF($Y115="","",W115-U115)</f>
        <v/>
      </c>
      <c r="W115" s="7">
        <f>IF($Y115="","",P115+S115+N115)</f>
        <v/>
      </c>
      <c r="X115" s="7">
        <f>IF($Y115="","",W115-U115-L115)</f>
        <v/>
      </c>
      <c r="Y115" s="13">
        <f>IF(ROWS($Y$2:$Y115)&lt;=MAX('Per Line'!$AP$2:$AP$1001),MATCH(ROWS($Y$2:$Y115),'Per Line'!$AP$2:$AP$1001,0),"")</f>
        <v/>
      </c>
    </row>
    <row r="116">
      <c r="A116" s="12" t="n"/>
      <c r="B116">
        <f>IF($Y116="","",INDEX('Per Line'!$E$2:$E$1001,$Y116)&amp;"")</f>
        <v/>
      </c>
      <c r="C116">
        <f>IF($Y116="","",INDEX('Per Line'!$F$2:$F$1001,$Y116)&amp;"")</f>
        <v/>
      </c>
      <c r="D116">
        <f>IF($Y116="","",INDEX('Per Line'!$A$2:$A$1001,$Y116)&amp;"")</f>
        <v/>
      </c>
      <c r="E116">
        <f>IF($Y116="","",INDEX('Per Line'!$B$2:$B$1001,$Y116))</f>
        <v/>
      </c>
      <c r="F116">
        <f>IF($Y116="","",INDEX('Per Line'!$G$2:$G$1001,$Y116)&amp;"")</f>
        <v/>
      </c>
      <c r="G116" s="11">
        <f>IF($Y116="","",INDEX('Per Line'!$H$2:$H$1001,$Y116))</f>
        <v/>
      </c>
      <c r="H116">
        <f>IF($Y116="","",INDEX('Per Line'!$K$2:$K$1001,$Y116)&amp;"")</f>
        <v/>
      </c>
      <c r="I116">
        <f>IF($Y116="","",INDEX('Per Line'!$L$2:$L$1001,$Y116)&amp;"")</f>
        <v/>
      </c>
      <c r="J116">
        <f>IF($Y116="","",INDEX('Per Line'!$M$2:$M$1001,$Y116)&amp;"")</f>
        <v/>
      </c>
      <c r="K116">
        <f>IF($Y116="","",INDEX('Per Line'!$Q$2:$Q$1001,$Y116))</f>
        <v/>
      </c>
      <c r="L116" s="7">
        <f>IF($Y116="","",K116*W116/100)</f>
        <v/>
      </c>
      <c r="M116">
        <f>IF($Y116="","",INDEX('Per Line'!$AD$2:$AD$1001,$Y116)&amp;"")</f>
        <v/>
      </c>
      <c r="N116" s="7">
        <f>IF($Y116="","",SUMIFS('Per Line'!$Z$2:$Z$1001,'Per Line'!$E$2:$E$1001,$B116,'Per Line'!$AR$2:$AR$1001,1))</f>
        <v/>
      </c>
      <c r="O116">
        <f>IF($Y116="","",Settings!$C$7)</f>
        <v/>
      </c>
      <c r="P116" s="7">
        <f>IF($Y116="","",SUMIFS('Per Line'!$Z$2:$Z$1001,'Per Line'!$E$2:$E$1001,$B116,'Per Line'!$AQ$2:$AQ$1001,0,'Per Line'!$AR$2:$AR$1001,0))</f>
        <v/>
      </c>
      <c r="Q116" s="7">
        <f>IF($Y116="","",P116*O116)</f>
        <v/>
      </c>
      <c r="R116">
        <f>IF($Y116="","",Settings!$C$6)</f>
        <v/>
      </c>
      <c r="S116" s="7">
        <f>IF($Y116="","",SUMIFS('Per Line'!$Z$2:$Z$1001,'Per Line'!$E$2:$E$1001,$B116,'Per Line'!$AQ$2:$AQ$1001,1,'Per Line'!$AR$2:$AR$1001,0))</f>
        <v/>
      </c>
      <c r="T116" s="7">
        <f>IF($Y116="","",S116*R116)</f>
        <v/>
      </c>
      <c r="U116" s="7">
        <f>IF($Y116="","",T116+Q116)</f>
        <v/>
      </c>
      <c r="V116" s="7">
        <f>IF($Y116="","",W116-U116)</f>
        <v/>
      </c>
      <c r="W116" s="7">
        <f>IF($Y116="","",P116+S116+N116)</f>
        <v/>
      </c>
      <c r="X116" s="7">
        <f>IF($Y116="","",W116-U116-L116)</f>
        <v/>
      </c>
      <c r="Y116" s="13">
        <f>IF(ROWS($Y$2:$Y116)&lt;=MAX('Per Line'!$AP$2:$AP$1001),MATCH(ROWS($Y$2:$Y116),'Per Line'!$AP$2:$AP$1001,0),"")</f>
        <v/>
      </c>
    </row>
    <row r="117">
      <c r="A117" s="12" t="n"/>
      <c r="B117">
        <f>IF($Y117="","",INDEX('Per Line'!$E$2:$E$1001,$Y117)&amp;"")</f>
        <v/>
      </c>
      <c r="C117">
        <f>IF($Y117="","",INDEX('Per Line'!$F$2:$F$1001,$Y117)&amp;"")</f>
        <v/>
      </c>
      <c r="D117">
        <f>IF($Y117="","",INDEX('Per Line'!$A$2:$A$1001,$Y117)&amp;"")</f>
        <v/>
      </c>
      <c r="E117">
        <f>IF($Y117="","",INDEX('Per Line'!$B$2:$B$1001,$Y117))</f>
        <v/>
      </c>
      <c r="F117">
        <f>IF($Y117="","",INDEX('Per Line'!$G$2:$G$1001,$Y117)&amp;"")</f>
        <v/>
      </c>
      <c r="G117" s="11">
        <f>IF($Y117="","",INDEX('Per Line'!$H$2:$H$1001,$Y117))</f>
        <v/>
      </c>
      <c r="H117">
        <f>IF($Y117="","",INDEX('Per Line'!$K$2:$K$1001,$Y117)&amp;"")</f>
        <v/>
      </c>
      <c r="I117">
        <f>IF($Y117="","",INDEX('Per Line'!$L$2:$L$1001,$Y117)&amp;"")</f>
        <v/>
      </c>
      <c r="J117">
        <f>IF($Y117="","",INDEX('Per Line'!$M$2:$M$1001,$Y117)&amp;"")</f>
        <v/>
      </c>
      <c r="K117">
        <f>IF($Y117="","",INDEX('Per Line'!$Q$2:$Q$1001,$Y117))</f>
        <v/>
      </c>
      <c r="L117" s="7">
        <f>IF($Y117="","",K117*W117/100)</f>
        <v/>
      </c>
      <c r="M117">
        <f>IF($Y117="","",INDEX('Per Line'!$AD$2:$AD$1001,$Y117)&amp;"")</f>
        <v/>
      </c>
      <c r="N117" s="7">
        <f>IF($Y117="","",SUMIFS('Per Line'!$Z$2:$Z$1001,'Per Line'!$E$2:$E$1001,$B117,'Per Line'!$AR$2:$AR$1001,1))</f>
        <v/>
      </c>
      <c r="O117">
        <f>IF($Y117="","",Settings!$C$7)</f>
        <v/>
      </c>
      <c r="P117" s="7">
        <f>IF($Y117="","",SUMIFS('Per Line'!$Z$2:$Z$1001,'Per Line'!$E$2:$E$1001,$B117,'Per Line'!$AQ$2:$AQ$1001,0,'Per Line'!$AR$2:$AR$1001,0))</f>
        <v/>
      </c>
      <c r="Q117" s="7">
        <f>IF($Y117="","",P117*O117)</f>
        <v/>
      </c>
      <c r="R117">
        <f>IF($Y117="","",Settings!$C$6)</f>
        <v/>
      </c>
      <c r="S117" s="7">
        <f>IF($Y117="","",SUMIFS('Per Line'!$Z$2:$Z$1001,'Per Line'!$E$2:$E$1001,$B117,'Per Line'!$AQ$2:$AQ$1001,1,'Per Line'!$AR$2:$AR$1001,0))</f>
        <v/>
      </c>
      <c r="T117" s="7">
        <f>IF($Y117="","",S117*R117)</f>
        <v/>
      </c>
      <c r="U117" s="7">
        <f>IF($Y117="","",T117+Q117)</f>
        <v/>
      </c>
      <c r="V117" s="7">
        <f>IF($Y117="","",W117-U117)</f>
        <v/>
      </c>
      <c r="W117" s="7">
        <f>IF($Y117="","",P117+S117+N117)</f>
        <v/>
      </c>
      <c r="X117" s="7">
        <f>IF($Y117="","",W117-U117-L117)</f>
        <v/>
      </c>
      <c r="Y117" s="13">
        <f>IF(ROWS($Y$2:$Y117)&lt;=MAX('Per Line'!$AP$2:$AP$1001),MATCH(ROWS($Y$2:$Y117),'Per Line'!$AP$2:$AP$1001,0),"")</f>
        <v/>
      </c>
    </row>
    <row r="118">
      <c r="A118" s="12" t="n"/>
      <c r="B118">
        <f>IF($Y118="","",INDEX('Per Line'!$E$2:$E$1001,$Y118)&amp;"")</f>
        <v/>
      </c>
      <c r="C118">
        <f>IF($Y118="","",INDEX('Per Line'!$F$2:$F$1001,$Y118)&amp;"")</f>
        <v/>
      </c>
      <c r="D118">
        <f>IF($Y118="","",INDEX('Per Line'!$A$2:$A$1001,$Y118)&amp;"")</f>
        <v/>
      </c>
      <c r="E118">
        <f>IF($Y118="","",INDEX('Per Line'!$B$2:$B$1001,$Y118))</f>
        <v/>
      </c>
      <c r="F118">
        <f>IF($Y118="","",INDEX('Per Line'!$G$2:$G$1001,$Y118)&amp;"")</f>
        <v/>
      </c>
      <c r="G118" s="11">
        <f>IF($Y118="","",INDEX('Per Line'!$H$2:$H$1001,$Y118))</f>
        <v/>
      </c>
      <c r="H118">
        <f>IF($Y118="","",INDEX('Per Line'!$K$2:$K$1001,$Y118)&amp;"")</f>
        <v/>
      </c>
      <c r="I118">
        <f>IF($Y118="","",INDEX('Per Line'!$L$2:$L$1001,$Y118)&amp;"")</f>
        <v/>
      </c>
      <c r="J118">
        <f>IF($Y118="","",INDEX('Per Line'!$M$2:$M$1001,$Y118)&amp;"")</f>
        <v/>
      </c>
      <c r="K118">
        <f>IF($Y118="","",INDEX('Per Line'!$Q$2:$Q$1001,$Y118))</f>
        <v/>
      </c>
      <c r="L118" s="7">
        <f>IF($Y118="","",K118*W118/100)</f>
        <v/>
      </c>
      <c r="M118">
        <f>IF($Y118="","",INDEX('Per Line'!$AD$2:$AD$1001,$Y118)&amp;"")</f>
        <v/>
      </c>
      <c r="N118" s="7">
        <f>IF($Y118="","",SUMIFS('Per Line'!$Z$2:$Z$1001,'Per Line'!$E$2:$E$1001,$B118,'Per Line'!$AR$2:$AR$1001,1))</f>
        <v/>
      </c>
      <c r="O118">
        <f>IF($Y118="","",Settings!$C$7)</f>
        <v/>
      </c>
      <c r="P118" s="7">
        <f>IF($Y118="","",SUMIFS('Per Line'!$Z$2:$Z$1001,'Per Line'!$E$2:$E$1001,$B118,'Per Line'!$AQ$2:$AQ$1001,0,'Per Line'!$AR$2:$AR$1001,0))</f>
        <v/>
      </c>
      <c r="Q118" s="7">
        <f>IF($Y118="","",P118*O118)</f>
        <v/>
      </c>
      <c r="R118">
        <f>IF($Y118="","",Settings!$C$6)</f>
        <v/>
      </c>
      <c r="S118" s="7">
        <f>IF($Y118="","",SUMIFS('Per Line'!$Z$2:$Z$1001,'Per Line'!$E$2:$E$1001,$B118,'Per Line'!$AQ$2:$AQ$1001,1,'Per Line'!$AR$2:$AR$1001,0))</f>
        <v/>
      </c>
      <c r="T118" s="7">
        <f>IF($Y118="","",S118*R118)</f>
        <v/>
      </c>
      <c r="U118" s="7">
        <f>IF($Y118="","",T118+Q118)</f>
        <v/>
      </c>
      <c r="V118" s="7">
        <f>IF($Y118="","",W118-U118)</f>
        <v/>
      </c>
      <c r="W118" s="7">
        <f>IF($Y118="","",P118+S118+N118)</f>
        <v/>
      </c>
      <c r="X118" s="7">
        <f>IF($Y118="","",W118-U118-L118)</f>
        <v/>
      </c>
      <c r="Y118" s="13">
        <f>IF(ROWS($Y$2:$Y118)&lt;=MAX('Per Line'!$AP$2:$AP$1001),MATCH(ROWS($Y$2:$Y118),'Per Line'!$AP$2:$AP$1001,0),"")</f>
        <v/>
      </c>
    </row>
    <row r="119">
      <c r="A119" s="12" t="n"/>
      <c r="B119">
        <f>IF($Y119="","",INDEX('Per Line'!$E$2:$E$1001,$Y119)&amp;"")</f>
        <v/>
      </c>
      <c r="C119">
        <f>IF($Y119="","",INDEX('Per Line'!$F$2:$F$1001,$Y119)&amp;"")</f>
        <v/>
      </c>
      <c r="D119">
        <f>IF($Y119="","",INDEX('Per Line'!$A$2:$A$1001,$Y119)&amp;"")</f>
        <v/>
      </c>
      <c r="E119">
        <f>IF($Y119="","",INDEX('Per Line'!$B$2:$B$1001,$Y119))</f>
        <v/>
      </c>
      <c r="F119">
        <f>IF($Y119="","",INDEX('Per Line'!$G$2:$G$1001,$Y119)&amp;"")</f>
        <v/>
      </c>
      <c r="G119" s="11">
        <f>IF($Y119="","",INDEX('Per Line'!$H$2:$H$1001,$Y119))</f>
        <v/>
      </c>
      <c r="H119">
        <f>IF($Y119="","",INDEX('Per Line'!$K$2:$K$1001,$Y119)&amp;"")</f>
        <v/>
      </c>
      <c r="I119">
        <f>IF($Y119="","",INDEX('Per Line'!$L$2:$L$1001,$Y119)&amp;"")</f>
        <v/>
      </c>
      <c r="J119">
        <f>IF($Y119="","",INDEX('Per Line'!$M$2:$M$1001,$Y119)&amp;"")</f>
        <v/>
      </c>
      <c r="K119">
        <f>IF($Y119="","",INDEX('Per Line'!$Q$2:$Q$1001,$Y119))</f>
        <v/>
      </c>
      <c r="L119" s="7">
        <f>IF($Y119="","",K119*W119/100)</f>
        <v/>
      </c>
      <c r="M119">
        <f>IF($Y119="","",INDEX('Per Line'!$AD$2:$AD$1001,$Y119)&amp;"")</f>
        <v/>
      </c>
      <c r="N119" s="7">
        <f>IF($Y119="","",SUMIFS('Per Line'!$Z$2:$Z$1001,'Per Line'!$E$2:$E$1001,$B119,'Per Line'!$AR$2:$AR$1001,1))</f>
        <v/>
      </c>
      <c r="O119">
        <f>IF($Y119="","",Settings!$C$7)</f>
        <v/>
      </c>
      <c r="P119" s="7">
        <f>IF($Y119="","",SUMIFS('Per Line'!$Z$2:$Z$1001,'Per Line'!$E$2:$E$1001,$B119,'Per Line'!$AQ$2:$AQ$1001,0,'Per Line'!$AR$2:$AR$1001,0))</f>
        <v/>
      </c>
      <c r="Q119" s="7">
        <f>IF($Y119="","",P119*O119)</f>
        <v/>
      </c>
      <c r="R119">
        <f>IF($Y119="","",Settings!$C$6)</f>
        <v/>
      </c>
      <c r="S119" s="7">
        <f>IF($Y119="","",SUMIFS('Per Line'!$Z$2:$Z$1001,'Per Line'!$E$2:$E$1001,$B119,'Per Line'!$AQ$2:$AQ$1001,1,'Per Line'!$AR$2:$AR$1001,0))</f>
        <v/>
      </c>
      <c r="T119" s="7">
        <f>IF($Y119="","",S119*R119)</f>
        <v/>
      </c>
      <c r="U119" s="7">
        <f>IF($Y119="","",T119+Q119)</f>
        <v/>
      </c>
      <c r="V119" s="7">
        <f>IF($Y119="","",W119-U119)</f>
        <v/>
      </c>
      <c r="W119" s="7">
        <f>IF($Y119="","",P119+S119+N119)</f>
        <v/>
      </c>
      <c r="X119" s="7">
        <f>IF($Y119="","",W119-U119-L119)</f>
        <v/>
      </c>
      <c r="Y119" s="13">
        <f>IF(ROWS($Y$2:$Y119)&lt;=MAX('Per Line'!$AP$2:$AP$1001),MATCH(ROWS($Y$2:$Y119),'Per Line'!$AP$2:$AP$1001,0),"")</f>
        <v/>
      </c>
    </row>
    <row r="120">
      <c r="A120" s="12" t="n"/>
      <c r="B120">
        <f>IF($Y120="","",INDEX('Per Line'!$E$2:$E$1001,$Y120)&amp;"")</f>
        <v/>
      </c>
      <c r="C120">
        <f>IF($Y120="","",INDEX('Per Line'!$F$2:$F$1001,$Y120)&amp;"")</f>
        <v/>
      </c>
      <c r="D120">
        <f>IF($Y120="","",INDEX('Per Line'!$A$2:$A$1001,$Y120)&amp;"")</f>
        <v/>
      </c>
      <c r="E120">
        <f>IF($Y120="","",INDEX('Per Line'!$B$2:$B$1001,$Y120))</f>
        <v/>
      </c>
      <c r="F120">
        <f>IF($Y120="","",INDEX('Per Line'!$G$2:$G$1001,$Y120)&amp;"")</f>
        <v/>
      </c>
      <c r="G120" s="11">
        <f>IF($Y120="","",INDEX('Per Line'!$H$2:$H$1001,$Y120))</f>
        <v/>
      </c>
      <c r="H120">
        <f>IF($Y120="","",INDEX('Per Line'!$K$2:$K$1001,$Y120)&amp;"")</f>
        <v/>
      </c>
      <c r="I120">
        <f>IF($Y120="","",INDEX('Per Line'!$L$2:$L$1001,$Y120)&amp;"")</f>
        <v/>
      </c>
      <c r="J120">
        <f>IF($Y120="","",INDEX('Per Line'!$M$2:$M$1001,$Y120)&amp;"")</f>
        <v/>
      </c>
      <c r="K120">
        <f>IF($Y120="","",INDEX('Per Line'!$Q$2:$Q$1001,$Y120))</f>
        <v/>
      </c>
      <c r="L120" s="7">
        <f>IF($Y120="","",K120*W120/100)</f>
        <v/>
      </c>
      <c r="M120">
        <f>IF($Y120="","",INDEX('Per Line'!$AD$2:$AD$1001,$Y120)&amp;"")</f>
        <v/>
      </c>
      <c r="N120" s="7">
        <f>IF($Y120="","",SUMIFS('Per Line'!$Z$2:$Z$1001,'Per Line'!$E$2:$E$1001,$B120,'Per Line'!$AR$2:$AR$1001,1))</f>
        <v/>
      </c>
      <c r="O120">
        <f>IF($Y120="","",Settings!$C$7)</f>
        <v/>
      </c>
      <c r="P120" s="7">
        <f>IF($Y120="","",SUMIFS('Per Line'!$Z$2:$Z$1001,'Per Line'!$E$2:$E$1001,$B120,'Per Line'!$AQ$2:$AQ$1001,0,'Per Line'!$AR$2:$AR$1001,0))</f>
        <v/>
      </c>
      <c r="Q120" s="7">
        <f>IF($Y120="","",P120*O120)</f>
        <v/>
      </c>
      <c r="R120">
        <f>IF($Y120="","",Settings!$C$6)</f>
        <v/>
      </c>
      <c r="S120" s="7">
        <f>IF($Y120="","",SUMIFS('Per Line'!$Z$2:$Z$1001,'Per Line'!$E$2:$E$1001,$B120,'Per Line'!$AQ$2:$AQ$1001,1,'Per Line'!$AR$2:$AR$1001,0))</f>
        <v/>
      </c>
      <c r="T120" s="7">
        <f>IF($Y120="","",S120*R120)</f>
        <v/>
      </c>
      <c r="U120" s="7">
        <f>IF($Y120="","",T120+Q120)</f>
        <v/>
      </c>
      <c r="V120" s="7">
        <f>IF($Y120="","",W120-U120)</f>
        <v/>
      </c>
      <c r="W120" s="7">
        <f>IF($Y120="","",P120+S120+N120)</f>
        <v/>
      </c>
      <c r="X120" s="7">
        <f>IF($Y120="","",W120-U120-L120)</f>
        <v/>
      </c>
      <c r="Y120" s="13">
        <f>IF(ROWS($Y$2:$Y120)&lt;=MAX('Per Line'!$AP$2:$AP$1001),MATCH(ROWS($Y$2:$Y120),'Per Line'!$AP$2:$AP$1001,0),"")</f>
        <v/>
      </c>
    </row>
    <row r="121">
      <c r="A121" s="12" t="n"/>
      <c r="B121">
        <f>IF($Y121="","",INDEX('Per Line'!$E$2:$E$1001,$Y121)&amp;"")</f>
        <v/>
      </c>
      <c r="C121">
        <f>IF($Y121="","",INDEX('Per Line'!$F$2:$F$1001,$Y121)&amp;"")</f>
        <v/>
      </c>
      <c r="D121">
        <f>IF($Y121="","",INDEX('Per Line'!$A$2:$A$1001,$Y121)&amp;"")</f>
        <v/>
      </c>
      <c r="E121">
        <f>IF($Y121="","",INDEX('Per Line'!$B$2:$B$1001,$Y121))</f>
        <v/>
      </c>
      <c r="F121">
        <f>IF($Y121="","",INDEX('Per Line'!$G$2:$G$1001,$Y121)&amp;"")</f>
        <v/>
      </c>
      <c r="G121" s="11">
        <f>IF($Y121="","",INDEX('Per Line'!$H$2:$H$1001,$Y121))</f>
        <v/>
      </c>
      <c r="H121">
        <f>IF($Y121="","",INDEX('Per Line'!$K$2:$K$1001,$Y121)&amp;"")</f>
        <v/>
      </c>
      <c r="I121">
        <f>IF($Y121="","",INDEX('Per Line'!$L$2:$L$1001,$Y121)&amp;"")</f>
        <v/>
      </c>
      <c r="J121">
        <f>IF($Y121="","",INDEX('Per Line'!$M$2:$M$1001,$Y121)&amp;"")</f>
        <v/>
      </c>
      <c r="K121">
        <f>IF($Y121="","",INDEX('Per Line'!$Q$2:$Q$1001,$Y121))</f>
        <v/>
      </c>
      <c r="L121" s="7">
        <f>IF($Y121="","",K121*W121/100)</f>
        <v/>
      </c>
      <c r="M121">
        <f>IF($Y121="","",INDEX('Per Line'!$AD$2:$AD$1001,$Y121)&amp;"")</f>
        <v/>
      </c>
      <c r="N121" s="7">
        <f>IF($Y121="","",SUMIFS('Per Line'!$Z$2:$Z$1001,'Per Line'!$E$2:$E$1001,$B121,'Per Line'!$AR$2:$AR$1001,1))</f>
        <v/>
      </c>
      <c r="O121">
        <f>IF($Y121="","",Settings!$C$7)</f>
        <v/>
      </c>
      <c r="P121" s="7">
        <f>IF($Y121="","",SUMIFS('Per Line'!$Z$2:$Z$1001,'Per Line'!$E$2:$E$1001,$B121,'Per Line'!$AQ$2:$AQ$1001,0,'Per Line'!$AR$2:$AR$1001,0))</f>
        <v/>
      </c>
      <c r="Q121" s="7">
        <f>IF($Y121="","",P121*O121)</f>
        <v/>
      </c>
      <c r="R121">
        <f>IF($Y121="","",Settings!$C$6)</f>
        <v/>
      </c>
      <c r="S121" s="7">
        <f>IF($Y121="","",SUMIFS('Per Line'!$Z$2:$Z$1001,'Per Line'!$E$2:$E$1001,$B121,'Per Line'!$AQ$2:$AQ$1001,1,'Per Line'!$AR$2:$AR$1001,0))</f>
        <v/>
      </c>
      <c r="T121" s="7">
        <f>IF($Y121="","",S121*R121)</f>
        <v/>
      </c>
      <c r="U121" s="7">
        <f>IF($Y121="","",T121+Q121)</f>
        <v/>
      </c>
      <c r="V121" s="7">
        <f>IF($Y121="","",W121-U121)</f>
        <v/>
      </c>
      <c r="W121" s="7">
        <f>IF($Y121="","",P121+S121+N121)</f>
        <v/>
      </c>
      <c r="X121" s="7">
        <f>IF($Y121="","",W121-U121-L121)</f>
        <v/>
      </c>
      <c r="Y121" s="13">
        <f>IF(ROWS($Y$2:$Y121)&lt;=MAX('Per Line'!$AP$2:$AP$1001),MATCH(ROWS($Y$2:$Y121),'Per Line'!$AP$2:$AP$1001,0),"")</f>
        <v/>
      </c>
    </row>
    <row r="122">
      <c r="A122" s="12" t="n"/>
      <c r="B122">
        <f>IF($Y122="","",INDEX('Per Line'!$E$2:$E$1001,$Y122)&amp;"")</f>
        <v/>
      </c>
      <c r="C122">
        <f>IF($Y122="","",INDEX('Per Line'!$F$2:$F$1001,$Y122)&amp;"")</f>
        <v/>
      </c>
      <c r="D122">
        <f>IF($Y122="","",INDEX('Per Line'!$A$2:$A$1001,$Y122)&amp;"")</f>
        <v/>
      </c>
      <c r="E122">
        <f>IF($Y122="","",INDEX('Per Line'!$B$2:$B$1001,$Y122))</f>
        <v/>
      </c>
      <c r="F122">
        <f>IF($Y122="","",INDEX('Per Line'!$G$2:$G$1001,$Y122)&amp;"")</f>
        <v/>
      </c>
      <c r="G122" s="11">
        <f>IF($Y122="","",INDEX('Per Line'!$H$2:$H$1001,$Y122))</f>
        <v/>
      </c>
      <c r="H122">
        <f>IF($Y122="","",INDEX('Per Line'!$K$2:$K$1001,$Y122)&amp;"")</f>
        <v/>
      </c>
      <c r="I122">
        <f>IF($Y122="","",INDEX('Per Line'!$L$2:$L$1001,$Y122)&amp;"")</f>
        <v/>
      </c>
      <c r="J122">
        <f>IF($Y122="","",INDEX('Per Line'!$M$2:$M$1001,$Y122)&amp;"")</f>
        <v/>
      </c>
      <c r="K122">
        <f>IF($Y122="","",INDEX('Per Line'!$Q$2:$Q$1001,$Y122))</f>
        <v/>
      </c>
      <c r="L122" s="7">
        <f>IF($Y122="","",K122*W122/100)</f>
        <v/>
      </c>
      <c r="M122">
        <f>IF($Y122="","",INDEX('Per Line'!$AD$2:$AD$1001,$Y122)&amp;"")</f>
        <v/>
      </c>
      <c r="N122" s="7">
        <f>IF($Y122="","",SUMIFS('Per Line'!$Z$2:$Z$1001,'Per Line'!$E$2:$E$1001,$B122,'Per Line'!$AR$2:$AR$1001,1))</f>
        <v/>
      </c>
      <c r="O122">
        <f>IF($Y122="","",Settings!$C$7)</f>
        <v/>
      </c>
      <c r="P122" s="7">
        <f>IF($Y122="","",SUMIFS('Per Line'!$Z$2:$Z$1001,'Per Line'!$E$2:$E$1001,$B122,'Per Line'!$AQ$2:$AQ$1001,0,'Per Line'!$AR$2:$AR$1001,0))</f>
        <v/>
      </c>
      <c r="Q122" s="7">
        <f>IF($Y122="","",P122*O122)</f>
        <v/>
      </c>
      <c r="R122">
        <f>IF($Y122="","",Settings!$C$6)</f>
        <v/>
      </c>
      <c r="S122" s="7">
        <f>IF($Y122="","",SUMIFS('Per Line'!$Z$2:$Z$1001,'Per Line'!$E$2:$E$1001,$B122,'Per Line'!$AQ$2:$AQ$1001,1,'Per Line'!$AR$2:$AR$1001,0))</f>
        <v/>
      </c>
      <c r="T122" s="7">
        <f>IF($Y122="","",S122*R122)</f>
        <v/>
      </c>
      <c r="U122" s="7">
        <f>IF($Y122="","",T122+Q122)</f>
        <v/>
      </c>
      <c r="V122" s="7">
        <f>IF($Y122="","",W122-U122)</f>
        <v/>
      </c>
      <c r="W122" s="7">
        <f>IF($Y122="","",P122+S122+N122)</f>
        <v/>
      </c>
      <c r="X122" s="7">
        <f>IF($Y122="","",W122-U122-L122)</f>
        <v/>
      </c>
      <c r="Y122" s="13">
        <f>IF(ROWS($Y$2:$Y122)&lt;=MAX('Per Line'!$AP$2:$AP$1001),MATCH(ROWS($Y$2:$Y122),'Per Line'!$AP$2:$AP$1001,0),"")</f>
        <v/>
      </c>
    </row>
    <row r="123">
      <c r="A123" s="12" t="n"/>
      <c r="B123">
        <f>IF($Y123="","",INDEX('Per Line'!$E$2:$E$1001,$Y123)&amp;"")</f>
        <v/>
      </c>
      <c r="C123">
        <f>IF($Y123="","",INDEX('Per Line'!$F$2:$F$1001,$Y123)&amp;"")</f>
        <v/>
      </c>
      <c r="D123">
        <f>IF($Y123="","",INDEX('Per Line'!$A$2:$A$1001,$Y123)&amp;"")</f>
        <v/>
      </c>
      <c r="E123">
        <f>IF($Y123="","",INDEX('Per Line'!$B$2:$B$1001,$Y123))</f>
        <v/>
      </c>
      <c r="F123">
        <f>IF($Y123="","",INDEX('Per Line'!$G$2:$G$1001,$Y123)&amp;"")</f>
        <v/>
      </c>
      <c r="G123" s="11">
        <f>IF($Y123="","",INDEX('Per Line'!$H$2:$H$1001,$Y123))</f>
        <v/>
      </c>
      <c r="H123">
        <f>IF($Y123="","",INDEX('Per Line'!$K$2:$K$1001,$Y123)&amp;"")</f>
        <v/>
      </c>
      <c r="I123">
        <f>IF($Y123="","",INDEX('Per Line'!$L$2:$L$1001,$Y123)&amp;"")</f>
        <v/>
      </c>
      <c r="J123">
        <f>IF($Y123="","",INDEX('Per Line'!$M$2:$M$1001,$Y123)&amp;"")</f>
        <v/>
      </c>
      <c r="K123">
        <f>IF($Y123="","",INDEX('Per Line'!$Q$2:$Q$1001,$Y123))</f>
        <v/>
      </c>
      <c r="L123" s="7">
        <f>IF($Y123="","",K123*W123/100)</f>
        <v/>
      </c>
      <c r="M123">
        <f>IF($Y123="","",INDEX('Per Line'!$AD$2:$AD$1001,$Y123)&amp;"")</f>
        <v/>
      </c>
      <c r="N123" s="7">
        <f>IF($Y123="","",SUMIFS('Per Line'!$Z$2:$Z$1001,'Per Line'!$E$2:$E$1001,$B123,'Per Line'!$AR$2:$AR$1001,1))</f>
        <v/>
      </c>
      <c r="O123">
        <f>IF($Y123="","",Settings!$C$7)</f>
        <v/>
      </c>
      <c r="P123" s="7">
        <f>IF($Y123="","",SUMIFS('Per Line'!$Z$2:$Z$1001,'Per Line'!$E$2:$E$1001,$B123,'Per Line'!$AQ$2:$AQ$1001,0,'Per Line'!$AR$2:$AR$1001,0))</f>
        <v/>
      </c>
      <c r="Q123" s="7">
        <f>IF($Y123="","",P123*O123)</f>
        <v/>
      </c>
      <c r="R123">
        <f>IF($Y123="","",Settings!$C$6)</f>
        <v/>
      </c>
      <c r="S123" s="7">
        <f>IF($Y123="","",SUMIFS('Per Line'!$Z$2:$Z$1001,'Per Line'!$E$2:$E$1001,$B123,'Per Line'!$AQ$2:$AQ$1001,1,'Per Line'!$AR$2:$AR$1001,0))</f>
        <v/>
      </c>
      <c r="T123" s="7">
        <f>IF($Y123="","",S123*R123)</f>
        <v/>
      </c>
      <c r="U123" s="7">
        <f>IF($Y123="","",T123+Q123)</f>
        <v/>
      </c>
      <c r="V123" s="7">
        <f>IF($Y123="","",W123-U123)</f>
        <v/>
      </c>
      <c r="W123" s="7">
        <f>IF($Y123="","",P123+S123+N123)</f>
        <v/>
      </c>
      <c r="X123" s="7">
        <f>IF($Y123="","",W123-U123-L123)</f>
        <v/>
      </c>
      <c r="Y123" s="13">
        <f>IF(ROWS($Y$2:$Y123)&lt;=MAX('Per Line'!$AP$2:$AP$1001),MATCH(ROWS($Y$2:$Y123),'Per Line'!$AP$2:$AP$1001,0),"")</f>
        <v/>
      </c>
    </row>
    <row r="124">
      <c r="A124" s="12" t="n"/>
      <c r="B124">
        <f>IF($Y124="","",INDEX('Per Line'!$E$2:$E$1001,$Y124)&amp;"")</f>
        <v/>
      </c>
      <c r="C124">
        <f>IF($Y124="","",INDEX('Per Line'!$F$2:$F$1001,$Y124)&amp;"")</f>
        <v/>
      </c>
      <c r="D124">
        <f>IF($Y124="","",INDEX('Per Line'!$A$2:$A$1001,$Y124)&amp;"")</f>
        <v/>
      </c>
      <c r="E124">
        <f>IF($Y124="","",INDEX('Per Line'!$B$2:$B$1001,$Y124))</f>
        <v/>
      </c>
      <c r="F124">
        <f>IF($Y124="","",INDEX('Per Line'!$G$2:$G$1001,$Y124)&amp;"")</f>
        <v/>
      </c>
      <c r="G124" s="11">
        <f>IF($Y124="","",INDEX('Per Line'!$H$2:$H$1001,$Y124))</f>
        <v/>
      </c>
      <c r="H124">
        <f>IF($Y124="","",INDEX('Per Line'!$K$2:$K$1001,$Y124)&amp;"")</f>
        <v/>
      </c>
      <c r="I124">
        <f>IF($Y124="","",INDEX('Per Line'!$L$2:$L$1001,$Y124)&amp;"")</f>
        <v/>
      </c>
      <c r="J124">
        <f>IF($Y124="","",INDEX('Per Line'!$M$2:$M$1001,$Y124)&amp;"")</f>
        <v/>
      </c>
      <c r="K124">
        <f>IF($Y124="","",INDEX('Per Line'!$Q$2:$Q$1001,$Y124))</f>
        <v/>
      </c>
      <c r="L124" s="7">
        <f>IF($Y124="","",K124*W124/100)</f>
        <v/>
      </c>
      <c r="M124">
        <f>IF($Y124="","",INDEX('Per Line'!$AD$2:$AD$1001,$Y124)&amp;"")</f>
        <v/>
      </c>
      <c r="N124" s="7">
        <f>IF($Y124="","",SUMIFS('Per Line'!$Z$2:$Z$1001,'Per Line'!$E$2:$E$1001,$B124,'Per Line'!$AR$2:$AR$1001,1))</f>
        <v/>
      </c>
      <c r="O124">
        <f>IF($Y124="","",Settings!$C$7)</f>
        <v/>
      </c>
      <c r="P124" s="7">
        <f>IF($Y124="","",SUMIFS('Per Line'!$Z$2:$Z$1001,'Per Line'!$E$2:$E$1001,$B124,'Per Line'!$AQ$2:$AQ$1001,0,'Per Line'!$AR$2:$AR$1001,0))</f>
        <v/>
      </c>
      <c r="Q124" s="7">
        <f>IF($Y124="","",P124*O124)</f>
        <v/>
      </c>
      <c r="R124">
        <f>IF($Y124="","",Settings!$C$6)</f>
        <v/>
      </c>
      <c r="S124" s="7">
        <f>IF($Y124="","",SUMIFS('Per Line'!$Z$2:$Z$1001,'Per Line'!$E$2:$E$1001,$B124,'Per Line'!$AQ$2:$AQ$1001,1,'Per Line'!$AR$2:$AR$1001,0))</f>
        <v/>
      </c>
      <c r="T124" s="7">
        <f>IF($Y124="","",S124*R124)</f>
        <v/>
      </c>
      <c r="U124" s="7">
        <f>IF($Y124="","",T124+Q124)</f>
        <v/>
      </c>
      <c r="V124" s="7">
        <f>IF($Y124="","",W124-U124)</f>
        <v/>
      </c>
      <c r="W124" s="7">
        <f>IF($Y124="","",P124+S124+N124)</f>
        <v/>
      </c>
      <c r="X124" s="7">
        <f>IF($Y124="","",W124-U124-L124)</f>
        <v/>
      </c>
      <c r="Y124" s="13">
        <f>IF(ROWS($Y$2:$Y124)&lt;=MAX('Per Line'!$AP$2:$AP$1001),MATCH(ROWS($Y$2:$Y124),'Per Line'!$AP$2:$AP$1001,0),"")</f>
        <v/>
      </c>
    </row>
    <row r="125">
      <c r="A125" s="12" t="n"/>
      <c r="B125">
        <f>IF($Y125="","",INDEX('Per Line'!$E$2:$E$1001,$Y125)&amp;"")</f>
        <v/>
      </c>
      <c r="C125">
        <f>IF($Y125="","",INDEX('Per Line'!$F$2:$F$1001,$Y125)&amp;"")</f>
        <v/>
      </c>
      <c r="D125">
        <f>IF($Y125="","",INDEX('Per Line'!$A$2:$A$1001,$Y125)&amp;"")</f>
        <v/>
      </c>
      <c r="E125">
        <f>IF($Y125="","",INDEX('Per Line'!$B$2:$B$1001,$Y125))</f>
        <v/>
      </c>
      <c r="F125">
        <f>IF($Y125="","",INDEX('Per Line'!$G$2:$G$1001,$Y125)&amp;"")</f>
        <v/>
      </c>
      <c r="G125" s="11">
        <f>IF($Y125="","",INDEX('Per Line'!$H$2:$H$1001,$Y125))</f>
        <v/>
      </c>
      <c r="H125">
        <f>IF($Y125="","",INDEX('Per Line'!$K$2:$K$1001,$Y125)&amp;"")</f>
        <v/>
      </c>
      <c r="I125">
        <f>IF($Y125="","",INDEX('Per Line'!$L$2:$L$1001,$Y125)&amp;"")</f>
        <v/>
      </c>
      <c r="J125">
        <f>IF($Y125="","",INDEX('Per Line'!$M$2:$M$1001,$Y125)&amp;"")</f>
        <v/>
      </c>
      <c r="K125">
        <f>IF($Y125="","",INDEX('Per Line'!$Q$2:$Q$1001,$Y125))</f>
        <v/>
      </c>
      <c r="L125" s="7">
        <f>IF($Y125="","",K125*W125/100)</f>
        <v/>
      </c>
      <c r="M125">
        <f>IF($Y125="","",INDEX('Per Line'!$AD$2:$AD$1001,$Y125)&amp;"")</f>
        <v/>
      </c>
      <c r="N125" s="7">
        <f>IF($Y125="","",SUMIFS('Per Line'!$Z$2:$Z$1001,'Per Line'!$E$2:$E$1001,$B125,'Per Line'!$AR$2:$AR$1001,1))</f>
        <v/>
      </c>
      <c r="O125">
        <f>IF($Y125="","",Settings!$C$7)</f>
        <v/>
      </c>
      <c r="P125" s="7">
        <f>IF($Y125="","",SUMIFS('Per Line'!$Z$2:$Z$1001,'Per Line'!$E$2:$E$1001,$B125,'Per Line'!$AQ$2:$AQ$1001,0,'Per Line'!$AR$2:$AR$1001,0))</f>
        <v/>
      </c>
      <c r="Q125" s="7">
        <f>IF($Y125="","",P125*O125)</f>
        <v/>
      </c>
      <c r="R125">
        <f>IF($Y125="","",Settings!$C$6)</f>
        <v/>
      </c>
      <c r="S125" s="7">
        <f>IF($Y125="","",SUMIFS('Per Line'!$Z$2:$Z$1001,'Per Line'!$E$2:$E$1001,$B125,'Per Line'!$AQ$2:$AQ$1001,1,'Per Line'!$AR$2:$AR$1001,0))</f>
        <v/>
      </c>
      <c r="T125" s="7">
        <f>IF($Y125="","",S125*R125)</f>
        <v/>
      </c>
      <c r="U125" s="7">
        <f>IF($Y125="","",T125+Q125)</f>
        <v/>
      </c>
      <c r="V125" s="7">
        <f>IF($Y125="","",W125-U125)</f>
        <v/>
      </c>
      <c r="W125" s="7">
        <f>IF($Y125="","",P125+S125+N125)</f>
        <v/>
      </c>
      <c r="X125" s="7">
        <f>IF($Y125="","",W125-U125-L125)</f>
        <v/>
      </c>
      <c r="Y125" s="13">
        <f>IF(ROWS($Y$2:$Y125)&lt;=MAX('Per Line'!$AP$2:$AP$1001),MATCH(ROWS($Y$2:$Y125),'Per Line'!$AP$2:$AP$1001,0),"")</f>
        <v/>
      </c>
    </row>
    <row r="126">
      <c r="A126" s="12" t="n"/>
      <c r="B126">
        <f>IF($Y126="","",INDEX('Per Line'!$E$2:$E$1001,$Y126)&amp;"")</f>
        <v/>
      </c>
      <c r="C126">
        <f>IF($Y126="","",INDEX('Per Line'!$F$2:$F$1001,$Y126)&amp;"")</f>
        <v/>
      </c>
      <c r="D126">
        <f>IF($Y126="","",INDEX('Per Line'!$A$2:$A$1001,$Y126)&amp;"")</f>
        <v/>
      </c>
      <c r="E126">
        <f>IF($Y126="","",INDEX('Per Line'!$B$2:$B$1001,$Y126))</f>
        <v/>
      </c>
      <c r="F126">
        <f>IF($Y126="","",INDEX('Per Line'!$G$2:$G$1001,$Y126)&amp;"")</f>
        <v/>
      </c>
      <c r="G126" s="11">
        <f>IF($Y126="","",INDEX('Per Line'!$H$2:$H$1001,$Y126))</f>
        <v/>
      </c>
      <c r="H126">
        <f>IF($Y126="","",INDEX('Per Line'!$K$2:$K$1001,$Y126)&amp;"")</f>
        <v/>
      </c>
      <c r="I126">
        <f>IF($Y126="","",INDEX('Per Line'!$L$2:$L$1001,$Y126)&amp;"")</f>
        <v/>
      </c>
      <c r="J126">
        <f>IF($Y126="","",INDEX('Per Line'!$M$2:$M$1001,$Y126)&amp;"")</f>
        <v/>
      </c>
      <c r="K126">
        <f>IF($Y126="","",INDEX('Per Line'!$Q$2:$Q$1001,$Y126))</f>
        <v/>
      </c>
      <c r="L126" s="7">
        <f>IF($Y126="","",K126*W126/100)</f>
        <v/>
      </c>
      <c r="M126">
        <f>IF($Y126="","",INDEX('Per Line'!$AD$2:$AD$1001,$Y126)&amp;"")</f>
        <v/>
      </c>
      <c r="N126" s="7">
        <f>IF($Y126="","",SUMIFS('Per Line'!$Z$2:$Z$1001,'Per Line'!$E$2:$E$1001,$B126,'Per Line'!$AR$2:$AR$1001,1))</f>
        <v/>
      </c>
      <c r="O126">
        <f>IF($Y126="","",Settings!$C$7)</f>
        <v/>
      </c>
      <c r="P126" s="7">
        <f>IF($Y126="","",SUMIFS('Per Line'!$Z$2:$Z$1001,'Per Line'!$E$2:$E$1001,$B126,'Per Line'!$AQ$2:$AQ$1001,0,'Per Line'!$AR$2:$AR$1001,0))</f>
        <v/>
      </c>
      <c r="Q126" s="7">
        <f>IF($Y126="","",P126*O126)</f>
        <v/>
      </c>
      <c r="R126">
        <f>IF($Y126="","",Settings!$C$6)</f>
        <v/>
      </c>
      <c r="S126" s="7">
        <f>IF($Y126="","",SUMIFS('Per Line'!$Z$2:$Z$1001,'Per Line'!$E$2:$E$1001,$B126,'Per Line'!$AQ$2:$AQ$1001,1,'Per Line'!$AR$2:$AR$1001,0))</f>
        <v/>
      </c>
      <c r="T126" s="7">
        <f>IF($Y126="","",S126*R126)</f>
        <v/>
      </c>
      <c r="U126" s="7">
        <f>IF($Y126="","",T126+Q126)</f>
        <v/>
      </c>
      <c r="V126" s="7">
        <f>IF($Y126="","",W126-U126)</f>
        <v/>
      </c>
      <c r="W126" s="7">
        <f>IF($Y126="","",P126+S126+N126)</f>
        <v/>
      </c>
      <c r="X126" s="7">
        <f>IF($Y126="","",W126-U126-L126)</f>
        <v/>
      </c>
      <c r="Y126" s="13">
        <f>IF(ROWS($Y$2:$Y126)&lt;=MAX('Per Line'!$AP$2:$AP$1001),MATCH(ROWS($Y$2:$Y126),'Per Line'!$AP$2:$AP$1001,0),"")</f>
        <v/>
      </c>
    </row>
    <row r="127">
      <c r="A127" s="12" t="n"/>
      <c r="B127">
        <f>IF($Y127="","",INDEX('Per Line'!$E$2:$E$1001,$Y127)&amp;"")</f>
        <v/>
      </c>
      <c r="C127">
        <f>IF($Y127="","",INDEX('Per Line'!$F$2:$F$1001,$Y127)&amp;"")</f>
        <v/>
      </c>
      <c r="D127">
        <f>IF($Y127="","",INDEX('Per Line'!$A$2:$A$1001,$Y127)&amp;"")</f>
        <v/>
      </c>
      <c r="E127">
        <f>IF($Y127="","",INDEX('Per Line'!$B$2:$B$1001,$Y127))</f>
        <v/>
      </c>
      <c r="F127">
        <f>IF($Y127="","",INDEX('Per Line'!$G$2:$G$1001,$Y127)&amp;"")</f>
        <v/>
      </c>
      <c r="G127" s="11">
        <f>IF($Y127="","",INDEX('Per Line'!$H$2:$H$1001,$Y127))</f>
        <v/>
      </c>
      <c r="H127">
        <f>IF($Y127="","",INDEX('Per Line'!$K$2:$K$1001,$Y127)&amp;"")</f>
        <v/>
      </c>
      <c r="I127">
        <f>IF($Y127="","",INDEX('Per Line'!$L$2:$L$1001,$Y127)&amp;"")</f>
        <v/>
      </c>
      <c r="J127">
        <f>IF($Y127="","",INDEX('Per Line'!$M$2:$M$1001,$Y127)&amp;"")</f>
        <v/>
      </c>
      <c r="K127">
        <f>IF($Y127="","",INDEX('Per Line'!$Q$2:$Q$1001,$Y127))</f>
        <v/>
      </c>
      <c r="L127" s="7">
        <f>IF($Y127="","",K127*W127/100)</f>
        <v/>
      </c>
      <c r="M127">
        <f>IF($Y127="","",INDEX('Per Line'!$AD$2:$AD$1001,$Y127)&amp;"")</f>
        <v/>
      </c>
      <c r="N127" s="7">
        <f>IF($Y127="","",SUMIFS('Per Line'!$Z$2:$Z$1001,'Per Line'!$E$2:$E$1001,$B127,'Per Line'!$AR$2:$AR$1001,1))</f>
        <v/>
      </c>
      <c r="O127">
        <f>IF($Y127="","",Settings!$C$7)</f>
        <v/>
      </c>
      <c r="P127" s="7">
        <f>IF($Y127="","",SUMIFS('Per Line'!$Z$2:$Z$1001,'Per Line'!$E$2:$E$1001,$B127,'Per Line'!$AQ$2:$AQ$1001,0,'Per Line'!$AR$2:$AR$1001,0))</f>
        <v/>
      </c>
      <c r="Q127" s="7">
        <f>IF($Y127="","",P127*O127)</f>
        <v/>
      </c>
      <c r="R127">
        <f>IF($Y127="","",Settings!$C$6)</f>
        <v/>
      </c>
      <c r="S127" s="7">
        <f>IF($Y127="","",SUMIFS('Per Line'!$Z$2:$Z$1001,'Per Line'!$E$2:$E$1001,$B127,'Per Line'!$AQ$2:$AQ$1001,1,'Per Line'!$AR$2:$AR$1001,0))</f>
        <v/>
      </c>
      <c r="T127" s="7">
        <f>IF($Y127="","",S127*R127)</f>
        <v/>
      </c>
      <c r="U127" s="7">
        <f>IF($Y127="","",T127+Q127)</f>
        <v/>
      </c>
      <c r="V127" s="7">
        <f>IF($Y127="","",W127-U127)</f>
        <v/>
      </c>
      <c r="W127" s="7">
        <f>IF($Y127="","",P127+S127+N127)</f>
        <v/>
      </c>
      <c r="X127" s="7">
        <f>IF($Y127="","",W127-U127-L127)</f>
        <v/>
      </c>
      <c r="Y127" s="13">
        <f>IF(ROWS($Y$2:$Y127)&lt;=MAX('Per Line'!$AP$2:$AP$1001),MATCH(ROWS($Y$2:$Y127),'Per Line'!$AP$2:$AP$1001,0),"")</f>
        <v/>
      </c>
    </row>
    <row r="128">
      <c r="A128" s="12" t="n"/>
      <c r="B128">
        <f>IF($Y128="","",INDEX('Per Line'!$E$2:$E$1001,$Y128)&amp;"")</f>
        <v/>
      </c>
      <c r="C128">
        <f>IF($Y128="","",INDEX('Per Line'!$F$2:$F$1001,$Y128)&amp;"")</f>
        <v/>
      </c>
      <c r="D128">
        <f>IF($Y128="","",INDEX('Per Line'!$A$2:$A$1001,$Y128)&amp;"")</f>
        <v/>
      </c>
      <c r="E128">
        <f>IF($Y128="","",INDEX('Per Line'!$B$2:$B$1001,$Y128))</f>
        <v/>
      </c>
      <c r="F128">
        <f>IF($Y128="","",INDEX('Per Line'!$G$2:$G$1001,$Y128)&amp;"")</f>
        <v/>
      </c>
      <c r="G128" s="11">
        <f>IF($Y128="","",INDEX('Per Line'!$H$2:$H$1001,$Y128))</f>
        <v/>
      </c>
      <c r="H128">
        <f>IF($Y128="","",INDEX('Per Line'!$K$2:$K$1001,$Y128)&amp;"")</f>
        <v/>
      </c>
      <c r="I128">
        <f>IF($Y128="","",INDEX('Per Line'!$L$2:$L$1001,$Y128)&amp;"")</f>
        <v/>
      </c>
      <c r="J128">
        <f>IF($Y128="","",INDEX('Per Line'!$M$2:$M$1001,$Y128)&amp;"")</f>
        <v/>
      </c>
      <c r="K128">
        <f>IF($Y128="","",INDEX('Per Line'!$Q$2:$Q$1001,$Y128))</f>
        <v/>
      </c>
      <c r="L128" s="7">
        <f>IF($Y128="","",K128*W128/100)</f>
        <v/>
      </c>
      <c r="M128">
        <f>IF($Y128="","",INDEX('Per Line'!$AD$2:$AD$1001,$Y128)&amp;"")</f>
        <v/>
      </c>
      <c r="N128" s="7">
        <f>IF($Y128="","",SUMIFS('Per Line'!$Z$2:$Z$1001,'Per Line'!$E$2:$E$1001,$B128,'Per Line'!$AR$2:$AR$1001,1))</f>
        <v/>
      </c>
      <c r="O128">
        <f>IF($Y128="","",Settings!$C$7)</f>
        <v/>
      </c>
      <c r="P128" s="7">
        <f>IF($Y128="","",SUMIFS('Per Line'!$Z$2:$Z$1001,'Per Line'!$E$2:$E$1001,$B128,'Per Line'!$AQ$2:$AQ$1001,0,'Per Line'!$AR$2:$AR$1001,0))</f>
        <v/>
      </c>
      <c r="Q128" s="7">
        <f>IF($Y128="","",P128*O128)</f>
        <v/>
      </c>
      <c r="R128">
        <f>IF($Y128="","",Settings!$C$6)</f>
        <v/>
      </c>
      <c r="S128" s="7">
        <f>IF($Y128="","",SUMIFS('Per Line'!$Z$2:$Z$1001,'Per Line'!$E$2:$E$1001,$B128,'Per Line'!$AQ$2:$AQ$1001,1,'Per Line'!$AR$2:$AR$1001,0))</f>
        <v/>
      </c>
      <c r="T128" s="7">
        <f>IF($Y128="","",S128*R128)</f>
        <v/>
      </c>
      <c r="U128" s="7">
        <f>IF($Y128="","",T128+Q128)</f>
        <v/>
      </c>
      <c r="V128" s="7">
        <f>IF($Y128="","",W128-U128)</f>
        <v/>
      </c>
      <c r="W128" s="7">
        <f>IF($Y128="","",P128+S128+N128)</f>
        <v/>
      </c>
      <c r="X128" s="7">
        <f>IF($Y128="","",W128-U128-L128)</f>
        <v/>
      </c>
      <c r="Y128" s="13">
        <f>IF(ROWS($Y$2:$Y128)&lt;=MAX('Per Line'!$AP$2:$AP$1001),MATCH(ROWS($Y$2:$Y128),'Per Line'!$AP$2:$AP$1001,0),"")</f>
        <v/>
      </c>
    </row>
    <row r="129">
      <c r="A129" s="12" t="n"/>
      <c r="B129">
        <f>IF($Y129="","",INDEX('Per Line'!$E$2:$E$1001,$Y129)&amp;"")</f>
        <v/>
      </c>
      <c r="C129">
        <f>IF($Y129="","",INDEX('Per Line'!$F$2:$F$1001,$Y129)&amp;"")</f>
        <v/>
      </c>
      <c r="D129">
        <f>IF($Y129="","",INDEX('Per Line'!$A$2:$A$1001,$Y129)&amp;"")</f>
        <v/>
      </c>
      <c r="E129">
        <f>IF($Y129="","",INDEX('Per Line'!$B$2:$B$1001,$Y129))</f>
        <v/>
      </c>
      <c r="F129">
        <f>IF($Y129="","",INDEX('Per Line'!$G$2:$G$1001,$Y129)&amp;"")</f>
        <v/>
      </c>
      <c r="G129" s="11">
        <f>IF($Y129="","",INDEX('Per Line'!$H$2:$H$1001,$Y129))</f>
        <v/>
      </c>
      <c r="H129">
        <f>IF($Y129="","",INDEX('Per Line'!$K$2:$K$1001,$Y129)&amp;"")</f>
        <v/>
      </c>
      <c r="I129">
        <f>IF($Y129="","",INDEX('Per Line'!$L$2:$L$1001,$Y129)&amp;"")</f>
        <v/>
      </c>
      <c r="J129">
        <f>IF($Y129="","",INDEX('Per Line'!$M$2:$M$1001,$Y129)&amp;"")</f>
        <v/>
      </c>
      <c r="K129">
        <f>IF($Y129="","",INDEX('Per Line'!$Q$2:$Q$1001,$Y129))</f>
        <v/>
      </c>
      <c r="L129" s="7">
        <f>IF($Y129="","",K129*W129/100)</f>
        <v/>
      </c>
      <c r="M129">
        <f>IF($Y129="","",INDEX('Per Line'!$AD$2:$AD$1001,$Y129)&amp;"")</f>
        <v/>
      </c>
      <c r="N129" s="7">
        <f>IF($Y129="","",SUMIFS('Per Line'!$Z$2:$Z$1001,'Per Line'!$E$2:$E$1001,$B129,'Per Line'!$AR$2:$AR$1001,1))</f>
        <v/>
      </c>
      <c r="O129">
        <f>IF($Y129="","",Settings!$C$7)</f>
        <v/>
      </c>
      <c r="P129" s="7">
        <f>IF($Y129="","",SUMIFS('Per Line'!$Z$2:$Z$1001,'Per Line'!$E$2:$E$1001,$B129,'Per Line'!$AQ$2:$AQ$1001,0,'Per Line'!$AR$2:$AR$1001,0))</f>
        <v/>
      </c>
      <c r="Q129" s="7">
        <f>IF($Y129="","",P129*O129)</f>
        <v/>
      </c>
      <c r="R129">
        <f>IF($Y129="","",Settings!$C$6)</f>
        <v/>
      </c>
      <c r="S129" s="7">
        <f>IF($Y129="","",SUMIFS('Per Line'!$Z$2:$Z$1001,'Per Line'!$E$2:$E$1001,$B129,'Per Line'!$AQ$2:$AQ$1001,1,'Per Line'!$AR$2:$AR$1001,0))</f>
        <v/>
      </c>
      <c r="T129" s="7">
        <f>IF($Y129="","",S129*R129)</f>
        <v/>
      </c>
      <c r="U129" s="7">
        <f>IF($Y129="","",T129+Q129)</f>
        <v/>
      </c>
      <c r="V129" s="7">
        <f>IF($Y129="","",W129-U129)</f>
        <v/>
      </c>
      <c r="W129" s="7">
        <f>IF($Y129="","",P129+S129+N129)</f>
        <v/>
      </c>
      <c r="X129" s="7">
        <f>IF($Y129="","",W129-U129-L129)</f>
        <v/>
      </c>
      <c r="Y129" s="13">
        <f>IF(ROWS($Y$2:$Y129)&lt;=MAX('Per Line'!$AP$2:$AP$1001),MATCH(ROWS($Y$2:$Y129),'Per Line'!$AP$2:$AP$1001,0),"")</f>
        <v/>
      </c>
    </row>
    <row r="130">
      <c r="A130" s="12" t="n"/>
      <c r="B130">
        <f>IF($Y130="","",INDEX('Per Line'!$E$2:$E$1001,$Y130)&amp;"")</f>
        <v/>
      </c>
      <c r="C130">
        <f>IF($Y130="","",INDEX('Per Line'!$F$2:$F$1001,$Y130)&amp;"")</f>
        <v/>
      </c>
      <c r="D130">
        <f>IF($Y130="","",INDEX('Per Line'!$A$2:$A$1001,$Y130)&amp;"")</f>
        <v/>
      </c>
      <c r="E130">
        <f>IF($Y130="","",INDEX('Per Line'!$B$2:$B$1001,$Y130))</f>
        <v/>
      </c>
      <c r="F130">
        <f>IF($Y130="","",INDEX('Per Line'!$G$2:$G$1001,$Y130)&amp;"")</f>
        <v/>
      </c>
      <c r="G130" s="11">
        <f>IF($Y130="","",INDEX('Per Line'!$H$2:$H$1001,$Y130))</f>
        <v/>
      </c>
      <c r="H130">
        <f>IF($Y130="","",INDEX('Per Line'!$K$2:$K$1001,$Y130)&amp;"")</f>
        <v/>
      </c>
      <c r="I130">
        <f>IF($Y130="","",INDEX('Per Line'!$L$2:$L$1001,$Y130)&amp;"")</f>
        <v/>
      </c>
      <c r="J130">
        <f>IF($Y130="","",INDEX('Per Line'!$M$2:$M$1001,$Y130)&amp;"")</f>
        <v/>
      </c>
      <c r="K130">
        <f>IF($Y130="","",INDEX('Per Line'!$Q$2:$Q$1001,$Y130))</f>
        <v/>
      </c>
      <c r="L130" s="7">
        <f>IF($Y130="","",K130*W130/100)</f>
        <v/>
      </c>
      <c r="M130">
        <f>IF($Y130="","",INDEX('Per Line'!$AD$2:$AD$1001,$Y130)&amp;"")</f>
        <v/>
      </c>
      <c r="N130" s="7">
        <f>IF($Y130="","",SUMIFS('Per Line'!$Z$2:$Z$1001,'Per Line'!$E$2:$E$1001,$B130,'Per Line'!$AR$2:$AR$1001,1))</f>
        <v/>
      </c>
      <c r="O130">
        <f>IF($Y130="","",Settings!$C$7)</f>
        <v/>
      </c>
      <c r="P130" s="7">
        <f>IF($Y130="","",SUMIFS('Per Line'!$Z$2:$Z$1001,'Per Line'!$E$2:$E$1001,$B130,'Per Line'!$AQ$2:$AQ$1001,0,'Per Line'!$AR$2:$AR$1001,0))</f>
        <v/>
      </c>
      <c r="Q130" s="7">
        <f>IF($Y130="","",P130*O130)</f>
        <v/>
      </c>
      <c r="R130">
        <f>IF($Y130="","",Settings!$C$6)</f>
        <v/>
      </c>
      <c r="S130" s="7">
        <f>IF($Y130="","",SUMIFS('Per Line'!$Z$2:$Z$1001,'Per Line'!$E$2:$E$1001,$B130,'Per Line'!$AQ$2:$AQ$1001,1,'Per Line'!$AR$2:$AR$1001,0))</f>
        <v/>
      </c>
      <c r="T130" s="7">
        <f>IF($Y130="","",S130*R130)</f>
        <v/>
      </c>
      <c r="U130" s="7">
        <f>IF($Y130="","",T130+Q130)</f>
        <v/>
      </c>
      <c r="V130" s="7">
        <f>IF($Y130="","",W130-U130)</f>
        <v/>
      </c>
      <c r="W130" s="7">
        <f>IF($Y130="","",P130+S130+N130)</f>
        <v/>
      </c>
      <c r="X130" s="7">
        <f>IF($Y130="","",W130-U130-L130)</f>
        <v/>
      </c>
      <c r="Y130" s="13">
        <f>IF(ROWS($Y$2:$Y130)&lt;=MAX('Per Line'!$AP$2:$AP$1001),MATCH(ROWS($Y$2:$Y130),'Per Line'!$AP$2:$AP$1001,0),"")</f>
        <v/>
      </c>
    </row>
    <row r="131">
      <c r="A131" s="12" t="n"/>
      <c r="B131">
        <f>IF($Y131="","",INDEX('Per Line'!$E$2:$E$1001,$Y131)&amp;"")</f>
        <v/>
      </c>
      <c r="C131">
        <f>IF($Y131="","",INDEX('Per Line'!$F$2:$F$1001,$Y131)&amp;"")</f>
        <v/>
      </c>
      <c r="D131">
        <f>IF($Y131="","",INDEX('Per Line'!$A$2:$A$1001,$Y131)&amp;"")</f>
        <v/>
      </c>
      <c r="E131">
        <f>IF($Y131="","",INDEX('Per Line'!$B$2:$B$1001,$Y131))</f>
        <v/>
      </c>
      <c r="F131">
        <f>IF($Y131="","",INDEX('Per Line'!$G$2:$G$1001,$Y131)&amp;"")</f>
        <v/>
      </c>
      <c r="G131" s="11">
        <f>IF($Y131="","",INDEX('Per Line'!$H$2:$H$1001,$Y131))</f>
        <v/>
      </c>
      <c r="H131">
        <f>IF($Y131="","",INDEX('Per Line'!$K$2:$K$1001,$Y131)&amp;"")</f>
        <v/>
      </c>
      <c r="I131">
        <f>IF($Y131="","",INDEX('Per Line'!$L$2:$L$1001,$Y131)&amp;"")</f>
        <v/>
      </c>
      <c r="J131">
        <f>IF($Y131="","",INDEX('Per Line'!$M$2:$M$1001,$Y131)&amp;"")</f>
        <v/>
      </c>
      <c r="K131">
        <f>IF($Y131="","",INDEX('Per Line'!$Q$2:$Q$1001,$Y131))</f>
        <v/>
      </c>
      <c r="L131" s="7">
        <f>IF($Y131="","",K131*W131/100)</f>
        <v/>
      </c>
      <c r="M131">
        <f>IF($Y131="","",INDEX('Per Line'!$AD$2:$AD$1001,$Y131)&amp;"")</f>
        <v/>
      </c>
      <c r="N131" s="7">
        <f>IF($Y131="","",SUMIFS('Per Line'!$Z$2:$Z$1001,'Per Line'!$E$2:$E$1001,$B131,'Per Line'!$AR$2:$AR$1001,1))</f>
        <v/>
      </c>
      <c r="O131">
        <f>IF($Y131="","",Settings!$C$7)</f>
        <v/>
      </c>
      <c r="P131" s="7">
        <f>IF($Y131="","",SUMIFS('Per Line'!$Z$2:$Z$1001,'Per Line'!$E$2:$E$1001,$B131,'Per Line'!$AQ$2:$AQ$1001,0,'Per Line'!$AR$2:$AR$1001,0))</f>
        <v/>
      </c>
      <c r="Q131" s="7">
        <f>IF($Y131="","",P131*O131)</f>
        <v/>
      </c>
      <c r="R131">
        <f>IF($Y131="","",Settings!$C$6)</f>
        <v/>
      </c>
      <c r="S131" s="7">
        <f>IF($Y131="","",SUMIFS('Per Line'!$Z$2:$Z$1001,'Per Line'!$E$2:$E$1001,$B131,'Per Line'!$AQ$2:$AQ$1001,1,'Per Line'!$AR$2:$AR$1001,0))</f>
        <v/>
      </c>
      <c r="T131" s="7">
        <f>IF($Y131="","",S131*R131)</f>
        <v/>
      </c>
      <c r="U131" s="7">
        <f>IF($Y131="","",T131+Q131)</f>
        <v/>
      </c>
      <c r="V131" s="7">
        <f>IF($Y131="","",W131-U131)</f>
        <v/>
      </c>
      <c r="W131" s="7">
        <f>IF($Y131="","",P131+S131+N131)</f>
        <v/>
      </c>
      <c r="X131" s="7">
        <f>IF($Y131="","",W131-U131-L131)</f>
        <v/>
      </c>
      <c r="Y131" s="13">
        <f>IF(ROWS($Y$2:$Y131)&lt;=MAX('Per Line'!$AP$2:$AP$1001),MATCH(ROWS($Y$2:$Y131),'Per Line'!$AP$2:$AP$1001,0),"")</f>
        <v/>
      </c>
    </row>
    <row r="132">
      <c r="A132" s="12" t="n"/>
      <c r="B132">
        <f>IF($Y132="","",INDEX('Per Line'!$E$2:$E$1001,$Y132)&amp;"")</f>
        <v/>
      </c>
      <c r="C132">
        <f>IF($Y132="","",INDEX('Per Line'!$F$2:$F$1001,$Y132)&amp;"")</f>
        <v/>
      </c>
      <c r="D132">
        <f>IF($Y132="","",INDEX('Per Line'!$A$2:$A$1001,$Y132)&amp;"")</f>
        <v/>
      </c>
      <c r="E132">
        <f>IF($Y132="","",INDEX('Per Line'!$B$2:$B$1001,$Y132))</f>
        <v/>
      </c>
      <c r="F132">
        <f>IF($Y132="","",INDEX('Per Line'!$G$2:$G$1001,$Y132)&amp;"")</f>
        <v/>
      </c>
      <c r="G132" s="11">
        <f>IF($Y132="","",INDEX('Per Line'!$H$2:$H$1001,$Y132))</f>
        <v/>
      </c>
      <c r="H132">
        <f>IF($Y132="","",INDEX('Per Line'!$K$2:$K$1001,$Y132)&amp;"")</f>
        <v/>
      </c>
      <c r="I132">
        <f>IF($Y132="","",INDEX('Per Line'!$L$2:$L$1001,$Y132)&amp;"")</f>
        <v/>
      </c>
      <c r="J132">
        <f>IF($Y132="","",INDEX('Per Line'!$M$2:$M$1001,$Y132)&amp;"")</f>
        <v/>
      </c>
      <c r="K132">
        <f>IF($Y132="","",INDEX('Per Line'!$Q$2:$Q$1001,$Y132))</f>
        <v/>
      </c>
      <c r="L132" s="7">
        <f>IF($Y132="","",K132*W132/100)</f>
        <v/>
      </c>
      <c r="M132">
        <f>IF($Y132="","",INDEX('Per Line'!$AD$2:$AD$1001,$Y132)&amp;"")</f>
        <v/>
      </c>
      <c r="N132" s="7">
        <f>IF($Y132="","",SUMIFS('Per Line'!$Z$2:$Z$1001,'Per Line'!$E$2:$E$1001,$B132,'Per Line'!$AR$2:$AR$1001,1))</f>
        <v/>
      </c>
      <c r="O132">
        <f>IF($Y132="","",Settings!$C$7)</f>
        <v/>
      </c>
      <c r="P132" s="7">
        <f>IF($Y132="","",SUMIFS('Per Line'!$Z$2:$Z$1001,'Per Line'!$E$2:$E$1001,$B132,'Per Line'!$AQ$2:$AQ$1001,0,'Per Line'!$AR$2:$AR$1001,0))</f>
        <v/>
      </c>
      <c r="Q132" s="7">
        <f>IF($Y132="","",P132*O132)</f>
        <v/>
      </c>
      <c r="R132">
        <f>IF($Y132="","",Settings!$C$6)</f>
        <v/>
      </c>
      <c r="S132" s="7">
        <f>IF($Y132="","",SUMIFS('Per Line'!$Z$2:$Z$1001,'Per Line'!$E$2:$E$1001,$B132,'Per Line'!$AQ$2:$AQ$1001,1,'Per Line'!$AR$2:$AR$1001,0))</f>
        <v/>
      </c>
      <c r="T132" s="7">
        <f>IF($Y132="","",S132*R132)</f>
        <v/>
      </c>
      <c r="U132" s="7">
        <f>IF($Y132="","",T132+Q132)</f>
        <v/>
      </c>
      <c r="V132" s="7">
        <f>IF($Y132="","",W132-U132)</f>
        <v/>
      </c>
      <c r="W132" s="7">
        <f>IF($Y132="","",P132+S132+N132)</f>
        <v/>
      </c>
      <c r="X132" s="7">
        <f>IF($Y132="","",W132-U132-L132)</f>
        <v/>
      </c>
      <c r="Y132" s="13">
        <f>IF(ROWS($Y$2:$Y132)&lt;=MAX('Per Line'!$AP$2:$AP$1001),MATCH(ROWS($Y$2:$Y132),'Per Line'!$AP$2:$AP$1001,0),"")</f>
        <v/>
      </c>
    </row>
    <row r="133">
      <c r="A133" s="12" t="n"/>
      <c r="B133">
        <f>IF($Y133="","",INDEX('Per Line'!$E$2:$E$1001,$Y133)&amp;"")</f>
        <v/>
      </c>
      <c r="C133">
        <f>IF($Y133="","",INDEX('Per Line'!$F$2:$F$1001,$Y133)&amp;"")</f>
        <v/>
      </c>
      <c r="D133">
        <f>IF($Y133="","",INDEX('Per Line'!$A$2:$A$1001,$Y133)&amp;"")</f>
        <v/>
      </c>
      <c r="E133">
        <f>IF($Y133="","",INDEX('Per Line'!$B$2:$B$1001,$Y133))</f>
        <v/>
      </c>
      <c r="F133">
        <f>IF($Y133="","",INDEX('Per Line'!$G$2:$G$1001,$Y133)&amp;"")</f>
        <v/>
      </c>
      <c r="G133" s="11">
        <f>IF($Y133="","",INDEX('Per Line'!$H$2:$H$1001,$Y133))</f>
        <v/>
      </c>
      <c r="H133">
        <f>IF($Y133="","",INDEX('Per Line'!$K$2:$K$1001,$Y133)&amp;"")</f>
        <v/>
      </c>
      <c r="I133">
        <f>IF($Y133="","",INDEX('Per Line'!$L$2:$L$1001,$Y133)&amp;"")</f>
        <v/>
      </c>
      <c r="J133">
        <f>IF($Y133="","",INDEX('Per Line'!$M$2:$M$1001,$Y133)&amp;"")</f>
        <v/>
      </c>
      <c r="K133">
        <f>IF($Y133="","",INDEX('Per Line'!$Q$2:$Q$1001,$Y133))</f>
        <v/>
      </c>
      <c r="L133" s="7">
        <f>IF($Y133="","",K133*W133/100)</f>
        <v/>
      </c>
      <c r="M133">
        <f>IF($Y133="","",INDEX('Per Line'!$AD$2:$AD$1001,$Y133)&amp;"")</f>
        <v/>
      </c>
      <c r="N133" s="7">
        <f>IF($Y133="","",SUMIFS('Per Line'!$Z$2:$Z$1001,'Per Line'!$E$2:$E$1001,$B133,'Per Line'!$AR$2:$AR$1001,1))</f>
        <v/>
      </c>
      <c r="O133">
        <f>IF($Y133="","",Settings!$C$7)</f>
        <v/>
      </c>
      <c r="P133" s="7">
        <f>IF($Y133="","",SUMIFS('Per Line'!$Z$2:$Z$1001,'Per Line'!$E$2:$E$1001,$B133,'Per Line'!$AQ$2:$AQ$1001,0,'Per Line'!$AR$2:$AR$1001,0))</f>
        <v/>
      </c>
      <c r="Q133" s="7">
        <f>IF($Y133="","",P133*O133)</f>
        <v/>
      </c>
      <c r="R133">
        <f>IF($Y133="","",Settings!$C$6)</f>
        <v/>
      </c>
      <c r="S133" s="7">
        <f>IF($Y133="","",SUMIFS('Per Line'!$Z$2:$Z$1001,'Per Line'!$E$2:$E$1001,$B133,'Per Line'!$AQ$2:$AQ$1001,1,'Per Line'!$AR$2:$AR$1001,0))</f>
        <v/>
      </c>
      <c r="T133" s="7">
        <f>IF($Y133="","",S133*R133)</f>
        <v/>
      </c>
      <c r="U133" s="7">
        <f>IF($Y133="","",T133+Q133)</f>
        <v/>
      </c>
      <c r="V133" s="7">
        <f>IF($Y133="","",W133-U133)</f>
        <v/>
      </c>
      <c r="W133" s="7">
        <f>IF($Y133="","",P133+S133+N133)</f>
        <v/>
      </c>
      <c r="X133" s="7">
        <f>IF($Y133="","",W133-U133-L133)</f>
        <v/>
      </c>
      <c r="Y133" s="13">
        <f>IF(ROWS($Y$2:$Y133)&lt;=MAX('Per Line'!$AP$2:$AP$1001),MATCH(ROWS($Y$2:$Y133),'Per Line'!$AP$2:$AP$1001,0),"")</f>
        <v/>
      </c>
    </row>
    <row r="134">
      <c r="A134" s="12" t="n"/>
      <c r="B134">
        <f>IF($Y134="","",INDEX('Per Line'!$E$2:$E$1001,$Y134)&amp;"")</f>
        <v/>
      </c>
      <c r="C134">
        <f>IF($Y134="","",INDEX('Per Line'!$F$2:$F$1001,$Y134)&amp;"")</f>
        <v/>
      </c>
      <c r="D134">
        <f>IF($Y134="","",INDEX('Per Line'!$A$2:$A$1001,$Y134)&amp;"")</f>
        <v/>
      </c>
      <c r="E134">
        <f>IF($Y134="","",INDEX('Per Line'!$B$2:$B$1001,$Y134))</f>
        <v/>
      </c>
      <c r="F134">
        <f>IF($Y134="","",INDEX('Per Line'!$G$2:$G$1001,$Y134)&amp;"")</f>
        <v/>
      </c>
      <c r="G134" s="11">
        <f>IF($Y134="","",INDEX('Per Line'!$H$2:$H$1001,$Y134))</f>
        <v/>
      </c>
      <c r="H134">
        <f>IF($Y134="","",INDEX('Per Line'!$K$2:$K$1001,$Y134)&amp;"")</f>
        <v/>
      </c>
      <c r="I134">
        <f>IF($Y134="","",INDEX('Per Line'!$L$2:$L$1001,$Y134)&amp;"")</f>
        <v/>
      </c>
      <c r="J134">
        <f>IF($Y134="","",INDEX('Per Line'!$M$2:$M$1001,$Y134)&amp;"")</f>
        <v/>
      </c>
      <c r="K134">
        <f>IF($Y134="","",INDEX('Per Line'!$Q$2:$Q$1001,$Y134))</f>
        <v/>
      </c>
      <c r="L134" s="7">
        <f>IF($Y134="","",K134*W134/100)</f>
        <v/>
      </c>
      <c r="M134">
        <f>IF($Y134="","",INDEX('Per Line'!$AD$2:$AD$1001,$Y134)&amp;"")</f>
        <v/>
      </c>
      <c r="N134" s="7">
        <f>IF($Y134="","",SUMIFS('Per Line'!$Z$2:$Z$1001,'Per Line'!$E$2:$E$1001,$B134,'Per Line'!$AR$2:$AR$1001,1))</f>
        <v/>
      </c>
      <c r="O134">
        <f>IF($Y134="","",Settings!$C$7)</f>
        <v/>
      </c>
      <c r="P134" s="7">
        <f>IF($Y134="","",SUMIFS('Per Line'!$Z$2:$Z$1001,'Per Line'!$E$2:$E$1001,$B134,'Per Line'!$AQ$2:$AQ$1001,0,'Per Line'!$AR$2:$AR$1001,0))</f>
        <v/>
      </c>
      <c r="Q134" s="7">
        <f>IF($Y134="","",P134*O134)</f>
        <v/>
      </c>
      <c r="R134">
        <f>IF($Y134="","",Settings!$C$6)</f>
        <v/>
      </c>
      <c r="S134" s="7">
        <f>IF($Y134="","",SUMIFS('Per Line'!$Z$2:$Z$1001,'Per Line'!$E$2:$E$1001,$B134,'Per Line'!$AQ$2:$AQ$1001,1,'Per Line'!$AR$2:$AR$1001,0))</f>
        <v/>
      </c>
      <c r="T134" s="7">
        <f>IF($Y134="","",S134*R134)</f>
        <v/>
      </c>
      <c r="U134" s="7">
        <f>IF($Y134="","",T134+Q134)</f>
        <v/>
      </c>
      <c r="V134" s="7">
        <f>IF($Y134="","",W134-U134)</f>
        <v/>
      </c>
      <c r="W134" s="7">
        <f>IF($Y134="","",P134+S134+N134)</f>
        <v/>
      </c>
      <c r="X134" s="7">
        <f>IF($Y134="","",W134-U134-L134)</f>
        <v/>
      </c>
      <c r="Y134" s="13">
        <f>IF(ROWS($Y$2:$Y134)&lt;=MAX('Per Line'!$AP$2:$AP$1001),MATCH(ROWS($Y$2:$Y134),'Per Line'!$AP$2:$AP$1001,0),"")</f>
        <v/>
      </c>
    </row>
    <row r="135">
      <c r="A135" s="12" t="n"/>
      <c r="B135">
        <f>IF($Y135="","",INDEX('Per Line'!$E$2:$E$1001,$Y135)&amp;"")</f>
        <v/>
      </c>
      <c r="C135">
        <f>IF($Y135="","",INDEX('Per Line'!$F$2:$F$1001,$Y135)&amp;"")</f>
        <v/>
      </c>
      <c r="D135">
        <f>IF($Y135="","",INDEX('Per Line'!$A$2:$A$1001,$Y135)&amp;"")</f>
        <v/>
      </c>
      <c r="E135">
        <f>IF($Y135="","",INDEX('Per Line'!$B$2:$B$1001,$Y135))</f>
        <v/>
      </c>
      <c r="F135">
        <f>IF($Y135="","",INDEX('Per Line'!$G$2:$G$1001,$Y135)&amp;"")</f>
        <v/>
      </c>
      <c r="G135" s="11">
        <f>IF($Y135="","",INDEX('Per Line'!$H$2:$H$1001,$Y135))</f>
        <v/>
      </c>
      <c r="H135">
        <f>IF($Y135="","",INDEX('Per Line'!$K$2:$K$1001,$Y135)&amp;"")</f>
        <v/>
      </c>
      <c r="I135">
        <f>IF($Y135="","",INDEX('Per Line'!$L$2:$L$1001,$Y135)&amp;"")</f>
        <v/>
      </c>
      <c r="J135">
        <f>IF($Y135="","",INDEX('Per Line'!$M$2:$M$1001,$Y135)&amp;"")</f>
        <v/>
      </c>
      <c r="K135">
        <f>IF($Y135="","",INDEX('Per Line'!$Q$2:$Q$1001,$Y135))</f>
        <v/>
      </c>
      <c r="L135" s="7">
        <f>IF($Y135="","",K135*W135/100)</f>
        <v/>
      </c>
      <c r="M135">
        <f>IF($Y135="","",INDEX('Per Line'!$AD$2:$AD$1001,$Y135)&amp;"")</f>
        <v/>
      </c>
      <c r="N135" s="7">
        <f>IF($Y135="","",SUMIFS('Per Line'!$Z$2:$Z$1001,'Per Line'!$E$2:$E$1001,$B135,'Per Line'!$AR$2:$AR$1001,1))</f>
        <v/>
      </c>
      <c r="O135">
        <f>IF($Y135="","",Settings!$C$7)</f>
        <v/>
      </c>
      <c r="P135" s="7">
        <f>IF($Y135="","",SUMIFS('Per Line'!$Z$2:$Z$1001,'Per Line'!$E$2:$E$1001,$B135,'Per Line'!$AQ$2:$AQ$1001,0,'Per Line'!$AR$2:$AR$1001,0))</f>
        <v/>
      </c>
      <c r="Q135" s="7">
        <f>IF($Y135="","",P135*O135)</f>
        <v/>
      </c>
      <c r="R135">
        <f>IF($Y135="","",Settings!$C$6)</f>
        <v/>
      </c>
      <c r="S135" s="7">
        <f>IF($Y135="","",SUMIFS('Per Line'!$Z$2:$Z$1001,'Per Line'!$E$2:$E$1001,$B135,'Per Line'!$AQ$2:$AQ$1001,1,'Per Line'!$AR$2:$AR$1001,0))</f>
        <v/>
      </c>
      <c r="T135" s="7">
        <f>IF($Y135="","",S135*R135)</f>
        <v/>
      </c>
      <c r="U135" s="7">
        <f>IF($Y135="","",T135+Q135)</f>
        <v/>
      </c>
      <c r="V135" s="7">
        <f>IF($Y135="","",W135-U135)</f>
        <v/>
      </c>
      <c r="W135" s="7">
        <f>IF($Y135="","",P135+S135+N135)</f>
        <v/>
      </c>
      <c r="X135" s="7">
        <f>IF($Y135="","",W135-U135-L135)</f>
        <v/>
      </c>
      <c r="Y135" s="13">
        <f>IF(ROWS($Y$2:$Y135)&lt;=MAX('Per Line'!$AP$2:$AP$1001),MATCH(ROWS($Y$2:$Y135),'Per Line'!$AP$2:$AP$1001,0),"")</f>
        <v/>
      </c>
    </row>
    <row r="136">
      <c r="A136" s="12" t="n"/>
      <c r="B136">
        <f>IF($Y136="","",INDEX('Per Line'!$E$2:$E$1001,$Y136)&amp;"")</f>
        <v/>
      </c>
      <c r="C136">
        <f>IF($Y136="","",INDEX('Per Line'!$F$2:$F$1001,$Y136)&amp;"")</f>
        <v/>
      </c>
      <c r="D136">
        <f>IF($Y136="","",INDEX('Per Line'!$A$2:$A$1001,$Y136)&amp;"")</f>
        <v/>
      </c>
      <c r="E136">
        <f>IF($Y136="","",INDEX('Per Line'!$B$2:$B$1001,$Y136))</f>
        <v/>
      </c>
      <c r="F136">
        <f>IF($Y136="","",INDEX('Per Line'!$G$2:$G$1001,$Y136)&amp;"")</f>
        <v/>
      </c>
      <c r="G136" s="11">
        <f>IF($Y136="","",INDEX('Per Line'!$H$2:$H$1001,$Y136))</f>
        <v/>
      </c>
      <c r="H136">
        <f>IF($Y136="","",INDEX('Per Line'!$K$2:$K$1001,$Y136)&amp;"")</f>
        <v/>
      </c>
      <c r="I136">
        <f>IF($Y136="","",INDEX('Per Line'!$L$2:$L$1001,$Y136)&amp;"")</f>
        <v/>
      </c>
      <c r="J136">
        <f>IF($Y136="","",INDEX('Per Line'!$M$2:$M$1001,$Y136)&amp;"")</f>
        <v/>
      </c>
      <c r="K136">
        <f>IF($Y136="","",INDEX('Per Line'!$Q$2:$Q$1001,$Y136))</f>
        <v/>
      </c>
      <c r="L136" s="7">
        <f>IF($Y136="","",K136*W136/100)</f>
        <v/>
      </c>
      <c r="M136">
        <f>IF($Y136="","",INDEX('Per Line'!$AD$2:$AD$1001,$Y136)&amp;"")</f>
        <v/>
      </c>
      <c r="N136" s="7">
        <f>IF($Y136="","",SUMIFS('Per Line'!$Z$2:$Z$1001,'Per Line'!$E$2:$E$1001,$B136,'Per Line'!$AR$2:$AR$1001,1))</f>
        <v/>
      </c>
      <c r="O136">
        <f>IF($Y136="","",Settings!$C$7)</f>
        <v/>
      </c>
      <c r="P136" s="7">
        <f>IF($Y136="","",SUMIFS('Per Line'!$Z$2:$Z$1001,'Per Line'!$E$2:$E$1001,$B136,'Per Line'!$AQ$2:$AQ$1001,0,'Per Line'!$AR$2:$AR$1001,0))</f>
        <v/>
      </c>
      <c r="Q136" s="7">
        <f>IF($Y136="","",P136*O136)</f>
        <v/>
      </c>
      <c r="R136">
        <f>IF($Y136="","",Settings!$C$6)</f>
        <v/>
      </c>
      <c r="S136" s="7">
        <f>IF($Y136="","",SUMIFS('Per Line'!$Z$2:$Z$1001,'Per Line'!$E$2:$E$1001,$B136,'Per Line'!$AQ$2:$AQ$1001,1,'Per Line'!$AR$2:$AR$1001,0))</f>
        <v/>
      </c>
      <c r="T136" s="7">
        <f>IF($Y136="","",S136*R136)</f>
        <v/>
      </c>
      <c r="U136" s="7">
        <f>IF($Y136="","",T136+Q136)</f>
        <v/>
      </c>
      <c r="V136" s="7">
        <f>IF($Y136="","",W136-U136)</f>
        <v/>
      </c>
      <c r="W136" s="7">
        <f>IF($Y136="","",P136+S136+N136)</f>
        <v/>
      </c>
      <c r="X136" s="7">
        <f>IF($Y136="","",W136-U136-L136)</f>
        <v/>
      </c>
      <c r="Y136" s="13">
        <f>IF(ROWS($Y$2:$Y136)&lt;=MAX('Per Line'!$AP$2:$AP$1001),MATCH(ROWS($Y$2:$Y136),'Per Line'!$AP$2:$AP$1001,0),"")</f>
        <v/>
      </c>
    </row>
    <row r="137">
      <c r="A137" s="12" t="n"/>
      <c r="B137">
        <f>IF($Y137="","",INDEX('Per Line'!$E$2:$E$1001,$Y137)&amp;"")</f>
        <v/>
      </c>
      <c r="C137">
        <f>IF($Y137="","",INDEX('Per Line'!$F$2:$F$1001,$Y137)&amp;"")</f>
        <v/>
      </c>
      <c r="D137">
        <f>IF($Y137="","",INDEX('Per Line'!$A$2:$A$1001,$Y137)&amp;"")</f>
        <v/>
      </c>
      <c r="E137">
        <f>IF($Y137="","",INDEX('Per Line'!$B$2:$B$1001,$Y137))</f>
        <v/>
      </c>
      <c r="F137">
        <f>IF($Y137="","",INDEX('Per Line'!$G$2:$G$1001,$Y137)&amp;"")</f>
        <v/>
      </c>
      <c r="G137" s="11">
        <f>IF($Y137="","",INDEX('Per Line'!$H$2:$H$1001,$Y137))</f>
        <v/>
      </c>
      <c r="H137">
        <f>IF($Y137="","",INDEX('Per Line'!$K$2:$K$1001,$Y137)&amp;"")</f>
        <v/>
      </c>
      <c r="I137">
        <f>IF($Y137="","",INDEX('Per Line'!$L$2:$L$1001,$Y137)&amp;"")</f>
        <v/>
      </c>
      <c r="J137">
        <f>IF($Y137="","",INDEX('Per Line'!$M$2:$M$1001,$Y137)&amp;"")</f>
        <v/>
      </c>
      <c r="K137">
        <f>IF($Y137="","",INDEX('Per Line'!$Q$2:$Q$1001,$Y137))</f>
        <v/>
      </c>
      <c r="L137" s="7">
        <f>IF($Y137="","",K137*W137/100)</f>
        <v/>
      </c>
      <c r="M137">
        <f>IF($Y137="","",INDEX('Per Line'!$AD$2:$AD$1001,$Y137)&amp;"")</f>
        <v/>
      </c>
      <c r="N137" s="7">
        <f>IF($Y137="","",SUMIFS('Per Line'!$Z$2:$Z$1001,'Per Line'!$E$2:$E$1001,$B137,'Per Line'!$AR$2:$AR$1001,1))</f>
        <v/>
      </c>
      <c r="O137">
        <f>IF($Y137="","",Settings!$C$7)</f>
        <v/>
      </c>
      <c r="P137" s="7">
        <f>IF($Y137="","",SUMIFS('Per Line'!$Z$2:$Z$1001,'Per Line'!$E$2:$E$1001,$B137,'Per Line'!$AQ$2:$AQ$1001,0,'Per Line'!$AR$2:$AR$1001,0))</f>
        <v/>
      </c>
      <c r="Q137" s="7">
        <f>IF($Y137="","",P137*O137)</f>
        <v/>
      </c>
      <c r="R137">
        <f>IF($Y137="","",Settings!$C$6)</f>
        <v/>
      </c>
      <c r="S137" s="7">
        <f>IF($Y137="","",SUMIFS('Per Line'!$Z$2:$Z$1001,'Per Line'!$E$2:$E$1001,$B137,'Per Line'!$AQ$2:$AQ$1001,1,'Per Line'!$AR$2:$AR$1001,0))</f>
        <v/>
      </c>
      <c r="T137" s="7">
        <f>IF($Y137="","",S137*R137)</f>
        <v/>
      </c>
      <c r="U137" s="7">
        <f>IF($Y137="","",T137+Q137)</f>
        <v/>
      </c>
      <c r="V137" s="7">
        <f>IF($Y137="","",W137-U137)</f>
        <v/>
      </c>
      <c r="W137" s="7">
        <f>IF($Y137="","",P137+S137+N137)</f>
        <v/>
      </c>
      <c r="X137" s="7">
        <f>IF($Y137="","",W137-U137-L137)</f>
        <v/>
      </c>
      <c r="Y137" s="13">
        <f>IF(ROWS($Y$2:$Y137)&lt;=MAX('Per Line'!$AP$2:$AP$1001),MATCH(ROWS($Y$2:$Y137),'Per Line'!$AP$2:$AP$1001,0),"")</f>
        <v/>
      </c>
    </row>
    <row r="138">
      <c r="A138" s="12" t="n"/>
      <c r="B138">
        <f>IF($Y138="","",INDEX('Per Line'!$E$2:$E$1001,$Y138)&amp;"")</f>
        <v/>
      </c>
      <c r="C138">
        <f>IF($Y138="","",INDEX('Per Line'!$F$2:$F$1001,$Y138)&amp;"")</f>
        <v/>
      </c>
      <c r="D138">
        <f>IF($Y138="","",INDEX('Per Line'!$A$2:$A$1001,$Y138)&amp;"")</f>
        <v/>
      </c>
      <c r="E138">
        <f>IF($Y138="","",INDEX('Per Line'!$B$2:$B$1001,$Y138))</f>
        <v/>
      </c>
      <c r="F138">
        <f>IF($Y138="","",INDEX('Per Line'!$G$2:$G$1001,$Y138)&amp;"")</f>
        <v/>
      </c>
      <c r="G138" s="11">
        <f>IF($Y138="","",INDEX('Per Line'!$H$2:$H$1001,$Y138))</f>
        <v/>
      </c>
      <c r="H138">
        <f>IF($Y138="","",INDEX('Per Line'!$K$2:$K$1001,$Y138)&amp;"")</f>
        <v/>
      </c>
      <c r="I138">
        <f>IF($Y138="","",INDEX('Per Line'!$L$2:$L$1001,$Y138)&amp;"")</f>
        <v/>
      </c>
      <c r="J138">
        <f>IF($Y138="","",INDEX('Per Line'!$M$2:$M$1001,$Y138)&amp;"")</f>
        <v/>
      </c>
      <c r="K138">
        <f>IF($Y138="","",INDEX('Per Line'!$Q$2:$Q$1001,$Y138))</f>
        <v/>
      </c>
      <c r="L138" s="7">
        <f>IF($Y138="","",K138*W138/100)</f>
        <v/>
      </c>
      <c r="M138">
        <f>IF($Y138="","",INDEX('Per Line'!$AD$2:$AD$1001,$Y138)&amp;"")</f>
        <v/>
      </c>
      <c r="N138" s="7">
        <f>IF($Y138="","",SUMIFS('Per Line'!$Z$2:$Z$1001,'Per Line'!$E$2:$E$1001,$B138,'Per Line'!$AR$2:$AR$1001,1))</f>
        <v/>
      </c>
      <c r="O138">
        <f>IF($Y138="","",Settings!$C$7)</f>
        <v/>
      </c>
      <c r="P138" s="7">
        <f>IF($Y138="","",SUMIFS('Per Line'!$Z$2:$Z$1001,'Per Line'!$E$2:$E$1001,$B138,'Per Line'!$AQ$2:$AQ$1001,0,'Per Line'!$AR$2:$AR$1001,0))</f>
        <v/>
      </c>
      <c r="Q138" s="7">
        <f>IF($Y138="","",P138*O138)</f>
        <v/>
      </c>
      <c r="R138">
        <f>IF($Y138="","",Settings!$C$6)</f>
        <v/>
      </c>
      <c r="S138" s="7">
        <f>IF($Y138="","",SUMIFS('Per Line'!$Z$2:$Z$1001,'Per Line'!$E$2:$E$1001,$B138,'Per Line'!$AQ$2:$AQ$1001,1,'Per Line'!$AR$2:$AR$1001,0))</f>
        <v/>
      </c>
      <c r="T138" s="7">
        <f>IF($Y138="","",S138*R138)</f>
        <v/>
      </c>
      <c r="U138" s="7">
        <f>IF($Y138="","",T138+Q138)</f>
        <v/>
      </c>
      <c r="V138" s="7">
        <f>IF($Y138="","",W138-U138)</f>
        <v/>
      </c>
      <c r="W138" s="7">
        <f>IF($Y138="","",P138+S138+N138)</f>
        <v/>
      </c>
      <c r="X138" s="7">
        <f>IF($Y138="","",W138-U138-L138)</f>
        <v/>
      </c>
      <c r="Y138" s="13">
        <f>IF(ROWS($Y$2:$Y138)&lt;=MAX('Per Line'!$AP$2:$AP$1001),MATCH(ROWS($Y$2:$Y138),'Per Line'!$AP$2:$AP$1001,0),"")</f>
        <v/>
      </c>
    </row>
    <row r="139">
      <c r="A139" s="12" t="n"/>
      <c r="B139">
        <f>IF($Y139="","",INDEX('Per Line'!$E$2:$E$1001,$Y139)&amp;"")</f>
        <v/>
      </c>
      <c r="C139">
        <f>IF($Y139="","",INDEX('Per Line'!$F$2:$F$1001,$Y139)&amp;"")</f>
        <v/>
      </c>
      <c r="D139">
        <f>IF($Y139="","",INDEX('Per Line'!$A$2:$A$1001,$Y139)&amp;"")</f>
        <v/>
      </c>
      <c r="E139">
        <f>IF($Y139="","",INDEX('Per Line'!$B$2:$B$1001,$Y139))</f>
        <v/>
      </c>
      <c r="F139">
        <f>IF($Y139="","",INDEX('Per Line'!$G$2:$G$1001,$Y139)&amp;"")</f>
        <v/>
      </c>
      <c r="G139" s="11">
        <f>IF($Y139="","",INDEX('Per Line'!$H$2:$H$1001,$Y139))</f>
        <v/>
      </c>
      <c r="H139">
        <f>IF($Y139="","",INDEX('Per Line'!$K$2:$K$1001,$Y139)&amp;"")</f>
        <v/>
      </c>
      <c r="I139">
        <f>IF($Y139="","",INDEX('Per Line'!$L$2:$L$1001,$Y139)&amp;"")</f>
        <v/>
      </c>
      <c r="J139">
        <f>IF($Y139="","",INDEX('Per Line'!$M$2:$M$1001,$Y139)&amp;"")</f>
        <v/>
      </c>
      <c r="K139">
        <f>IF($Y139="","",INDEX('Per Line'!$Q$2:$Q$1001,$Y139))</f>
        <v/>
      </c>
      <c r="L139" s="7">
        <f>IF($Y139="","",K139*W139/100)</f>
        <v/>
      </c>
      <c r="M139">
        <f>IF($Y139="","",INDEX('Per Line'!$AD$2:$AD$1001,$Y139)&amp;"")</f>
        <v/>
      </c>
      <c r="N139" s="7">
        <f>IF($Y139="","",SUMIFS('Per Line'!$Z$2:$Z$1001,'Per Line'!$E$2:$E$1001,$B139,'Per Line'!$AR$2:$AR$1001,1))</f>
        <v/>
      </c>
      <c r="O139">
        <f>IF($Y139="","",Settings!$C$7)</f>
        <v/>
      </c>
      <c r="P139" s="7">
        <f>IF($Y139="","",SUMIFS('Per Line'!$Z$2:$Z$1001,'Per Line'!$E$2:$E$1001,$B139,'Per Line'!$AQ$2:$AQ$1001,0,'Per Line'!$AR$2:$AR$1001,0))</f>
        <v/>
      </c>
      <c r="Q139" s="7">
        <f>IF($Y139="","",P139*O139)</f>
        <v/>
      </c>
      <c r="R139">
        <f>IF($Y139="","",Settings!$C$6)</f>
        <v/>
      </c>
      <c r="S139" s="7">
        <f>IF($Y139="","",SUMIFS('Per Line'!$Z$2:$Z$1001,'Per Line'!$E$2:$E$1001,$B139,'Per Line'!$AQ$2:$AQ$1001,1,'Per Line'!$AR$2:$AR$1001,0))</f>
        <v/>
      </c>
      <c r="T139" s="7">
        <f>IF($Y139="","",S139*R139)</f>
        <v/>
      </c>
      <c r="U139" s="7">
        <f>IF($Y139="","",T139+Q139)</f>
        <v/>
      </c>
      <c r="V139" s="7">
        <f>IF($Y139="","",W139-U139)</f>
        <v/>
      </c>
      <c r="W139" s="7">
        <f>IF($Y139="","",P139+S139+N139)</f>
        <v/>
      </c>
      <c r="X139" s="7">
        <f>IF($Y139="","",W139-U139-L139)</f>
        <v/>
      </c>
      <c r="Y139" s="13">
        <f>IF(ROWS($Y$2:$Y139)&lt;=MAX('Per Line'!$AP$2:$AP$1001),MATCH(ROWS($Y$2:$Y139),'Per Line'!$AP$2:$AP$1001,0),"")</f>
        <v/>
      </c>
    </row>
    <row r="140">
      <c r="A140" s="12" t="n"/>
      <c r="B140">
        <f>IF($Y140="","",INDEX('Per Line'!$E$2:$E$1001,$Y140)&amp;"")</f>
        <v/>
      </c>
      <c r="C140">
        <f>IF($Y140="","",INDEX('Per Line'!$F$2:$F$1001,$Y140)&amp;"")</f>
        <v/>
      </c>
      <c r="D140">
        <f>IF($Y140="","",INDEX('Per Line'!$A$2:$A$1001,$Y140)&amp;"")</f>
        <v/>
      </c>
      <c r="E140">
        <f>IF($Y140="","",INDEX('Per Line'!$B$2:$B$1001,$Y140))</f>
        <v/>
      </c>
      <c r="F140">
        <f>IF($Y140="","",INDEX('Per Line'!$G$2:$G$1001,$Y140)&amp;"")</f>
        <v/>
      </c>
      <c r="G140" s="11">
        <f>IF($Y140="","",INDEX('Per Line'!$H$2:$H$1001,$Y140))</f>
        <v/>
      </c>
      <c r="H140">
        <f>IF($Y140="","",INDEX('Per Line'!$K$2:$K$1001,$Y140)&amp;"")</f>
        <v/>
      </c>
      <c r="I140">
        <f>IF($Y140="","",INDEX('Per Line'!$L$2:$L$1001,$Y140)&amp;"")</f>
        <v/>
      </c>
      <c r="J140">
        <f>IF($Y140="","",INDEX('Per Line'!$M$2:$M$1001,$Y140)&amp;"")</f>
        <v/>
      </c>
      <c r="K140">
        <f>IF($Y140="","",INDEX('Per Line'!$Q$2:$Q$1001,$Y140))</f>
        <v/>
      </c>
      <c r="L140" s="7">
        <f>IF($Y140="","",K140*W140/100)</f>
        <v/>
      </c>
      <c r="M140">
        <f>IF($Y140="","",INDEX('Per Line'!$AD$2:$AD$1001,$Y140)&amp;"")</f>
        <v/>
      </c>
      <c r="N140" s="7">
        <f>IF($Y140="","",SUMIFS('Per Line'!$Z$2:$Z$1001,'Per Line'!$E$2:$E$1001,$B140,'Per Line'!$AR$2:$AR$1001,1))</f>
        <v/>
      </c>
      <c r="O140">
        <f>IF($Y140="","",Settings!$C$7)</f>
        <v/>
      </c>
      <c r="P140" s="7">
        <f>IF($Y140="","",SUMIFS('Per Line'!$Z$2:$Z$1001,'Per Line'!$E$2:$E$1001,$B140,'Per Line'!$AQ$2:$AQ$1001,0,'Per Line'!$AR$2:$AR$1001,0))</f>
        <v/>
      </c>
      <c r="Q140" s="7">
        <f>IF($Y140="","",P140*O140)</f>
        <v/>
      </c>
      <c r="R140">
        <f>IF($Y140="","",Settings!$C$6)</f>
        <v/>
      </c>
      <c r="S140" s="7">
        <f>IF($Y140="","",SUMIFS('Per Line'!$Z$2:$Z$1001,'Per Line'!$E$2:$E$1001,$B140,'Per Line'!$AQ$2:$AQ$1001,1,'Per Line'!$AR$2:$AR$1001,0))</f>
        <v/>
      </c>
      <c r="T140" s="7">
        <f>IF($Y140="","",S140*R140)</f>
        <v/>
      </c>
      <c r="U140" s="7">
        <f>IF($Y140="","",T140+Q140)</f>
        <v/>
      </c>
      <c r="V140" s="7">
        <f>IF($Y140="","",W140-U140)</f>
        <v/>
      </c>
      <c r="W140" s="7">
        <f>IF($Y140="","",P140+S140+N140)</f>
        <v/>
      </c>
      <c r="X140" s="7">
        <f>IF($Y140="","",W140-U140-L140)</f>
        <v/>
      </c>
      <c r="Y140" s="13">
        <f>IF(ROWS($Y$2:$Y140)&lt;=MAX('Per Line'!$AP$2:$AP$1001),MATCH(ROWS($Y$2:$Y140),'Per Line'!$AP$2:$AP$1001,0),"")</f>
        <v/>
      </c>
    </row>
    <row r="141">
      <c r="A141" s="12" t="n"/>
      <c r="B141">
        <f>IF($Y141="","",INDEX('Per Line'!$E$2:$E$1001,$Y141)&amp;"")</f>
        <v/>
      </c>
      <c r="C141">
        <f>IF($Y141="","",INDEX('Per Line'!$F$2:$F$1001,$Y141)&amp;"")</f>
        <v/>
      </c>
      <c r="D141">
        <f>IF($Y141="","",INDEX('Per Line'!$A$2:$A$1001,$Y141)&amp;"")</f>
        <v/>
      </c>
      <c r="E141">
        <f>IF($Y141="","",INDEX('Per Line'!$B$2:$B$1001,$Y141))</f>
        <v/>
      </c>
      <c r="F141">
        <f>IF($Y141="","",INDEX('Per Line'!$G$2:$G$1001,$Y141)&amp;"")</f>
        <v/>
      </c>
      <c r="G141" s="11">
        <f>IF($Y141="","",INDEX('Per Line'!$H$2:$H$1001,$Y141))</f>
        <v/>
      </c>
      <c r="H141">
        <f>IF($Y141="","",INDEX('Per Line'!$K$2:$K$1001,$Y141)&amp;"")</f>
        <v/>
      </c>
      <c r="I141">
        <f>IF($Y141="","",INDEX('Per Line'!$L$2:$L$1001,$Y141)&amp;"")</f>
        <v/>
      </c>
      <c r="J141">
        <f>IF($Y141="","",INDEX('Per Line'!$M$2:$M$1001,$Y141)&amp;"")</f>
        <v/>
      </c>
      <c r="K141">
        <f>IF($Y141="","",INDEX('Per Line'!$Q$2:$Q$1001,$Y141))</f>
        <v/>
      </c>
      <c r="L141" s="7">
        <f>IF($Y141="","",K141*W141/100)</f>
        <v/>
      </c>
      <c r="M141">
        <f>IF($Y141="","",INDEX('Per Line'!$AD$2:$AD$1001,$Y141)&amp;"")</f>
        <v/>
      </c>
      <c r="N141" s="7">
        <f>IF($Y141="","",SUMIFS('Per Line'!$Z$2:$Z$1001,'Per Line'!$E$2:$E$1001,$B141,'Per Line'!$AR$2:$AR$1001,1))</f>
        <v/>
      </c>
      <c r="O141">
        <f>IF($Y141="","",Settings!$C$7)</f>
        <v/>
      </c>
      <c r="P141" s="7">
        <f>IF($Y141="","",SUMIFS('Per Line'!$Z$2:$Z$1001,'Per Line'!$E$2:$E$1001,$B141,'Per Line'!$AQ$2:$AQ$1001,0,'Per Line'!$AR$2:$AR$1001,0))</f>
        <v/>
      </c>
      <c r="Q141" s="7">
        <f>IF($Y141="","",P141*O141)</f>
        <v/>
      </c>
      <c r="R141">
        <f>IF($Y141="","",Settings!$C$6)</f>
        <v/>
      </c>
      <c r="S141" s="7">
        <f>IF($Y141="","",SUMIFS('Per Line'!$Z$2:$Z$1001,'Per Line'!$E$2:$E$1001,$B141,'Per Line'!$AQ$2:$AQ$1001,1,'Per Line'!$AR$2:$AR$1001,0))</f>
        <v/>
      </c>
      <c r="T141" s="7">
        <f>IF($Y141="","",S141*R141)</f>
        <v/>
      </c>
      <c r="U141" s="7">
        <f>IF($Y141="","",T141+Q141)</f>
        <v/>
      </c>
      <c r="V141" s="7">
        <f>IF($Y141="","",W141-U141)</f>
        <v/>
      </c>
      <c r="W141" s="7">
        <f>IF($Y141="","",P141+S141+N141)</f>
        <v/>
      </c>
      <c r="X141" s="7">
        <f>IF($Y141="","",W141-U141-L141)</f>
        <v/>
      </c>
      <c r="Y141" s="13">
        <f>IF(ROWS($Y$2:$Y141)&lt;=MAX('Per Line'!$AP$2:$AP$1001),MATCH(ROWS($Y$2:$Y141),'Per Line'!$AP$2:$AP$1001,0),"")</f>
        <v/>
      </c>
    </row>
    <row r="142">
      <c r="A142" s="12" t="n"/>
      <c r="B142">
        <f>IF($Y142="","",INDEX('Per Line'!$E$2:$E$1001,$Y142)&amp;"")</f>
        <v/>
      </c>
      <c r="C142">
        <f>IF($Y142="","",INDEX('Per Line'!$F$2:$F$1001,$Y142)&amp;"")</f>
        <v/>
      </c>
      <c r="D142">
        <f>IF($Y142="","",INDEX('Per Line'!$A$2:$A$1001,$Y142)&amp;"")</f>
        <v/>
      </c>
      <c r="E142">
        <f>IF($Y142="","",INDEX('Per Line'!$B$2:$B$1001,$Y142))</f>
        <v/>
      </c>
      <c r="F142">
        <f>IF($Y142="","",INDEX('Per Line'!$G$2:$G$1001,$Y142)&amp;"")</f>
        <v/>
      </c>
      <c r="G142" s="11">
        <f>IF($Y142="","",INDEX('Per Line'!$H$2:$H$1001,$Y142))</f>
        <v/>
      </c>
      <c r="H142">
        <f>IF($Y142="","",INDEX('Per Line'!$K$2:$K$1001,$Y142)&amp;"")</f>
        <v/>
      </c>
      <c r="I142">
        <f>IF($Y142="","",INDEX('Per Line'!$L$2:$L$1001,$Y142)&amp;"")</f>
        <v/>
      </c>
      <c r="J142">
        <f>IF($Y142="","",INDEX('Per Line'!$M$2:$M$1001,$Y142)&amp;"")</f>
        <v/>
      </c>
      <c r="K142">
        <f>IF($Y142="","",INDEX('Per Line'!$Q$2:$Q$1001,$Y142))</f>
        <v/>
      </c>
      <c r="L142" s="7">
        <f>IF($Y142="","",K142*W142/100)</f>
        <v/>
      </c>
      <c r="M142">
        <f>IF($Y142="","",INDEX('Per Line'!$AD$2:$AD$1001,$Y142)&amp;"")</f>
        <v/>
      </c>
      <c r="N142" s="7">
        <f>IF($Y142="","",SUMIFS('Per Line'!$Z$2:$Z$1001,'Per Line'!$E$2:$E$1001,$B142,'Per Line'!$AR$2:$AR$1001,1))</f>
        <v/>
      </c>
      <c r="O142">
        <f>IF($Y142="","",Settings!$C$7)</f>
        <v/>
      </c>
      <c r="P142" s="7">
        <f>IF($Y142="","",SUMIFS('Per Line'!$Z$2:$Z$1001,'Per Line'!$E$2:$E$1001,$B142,'Per Line'!$AQ$2:$AQ$1001,0,'Per Line'!$AR$2:$AR$1001,0))</f>
        <v/>
      </c>
      <c r="Q142" s="7">
        <f>IF($Y142="","",P142*O142)</f>
        <v/>
      </c>
      <c r="R142">
        <f>IF($Y142="","",Settings!$C$6)</f>
        <v/>
      </c>
      <c r="S142" s="7">
        <f>IF($Y142="","",SUMIFS('Per Line'!$Z$2:$Z$1001,'Per Line'!$E$2:$E$1001,$B142,'Per Line'!$AQ$2:$AQ$1001,1,'Per Line'!$AR$2:$AR$1001,0))</f>
        <v/>
      </c>
      <c r="T142" s="7">
        <f>IF($Y142="","",S142*R142)</f>
        <v/>
      </c>
      <c r="U142" s="7">
        <f>IF($Y142="","",T142+Q142)</f>
        <v/>
      </c>
      <c r="V142" s="7">
        <f>IF($Y142="","",W142-U142)</f>
        <v/>
      </c>
      <c r="W142" s="7">
        <f>IF($Y142="","",P142+S142+N142)</f>
        <v/>
      </c>
      <c r="X142" s="7">
        <f>IF($Y142="","",W142-U142-L142)</f>
        <v/>
      </c>
      <c r="Y142" s="13">
        <f>IF(ROWS($Y$2:$Y142)&lt;=MAX('Per Line'!$AP$2:$AP$1001),MATCH(ROWS($Y$2:$Y142),'Per Line'!$AP$2:$AP$1001,0),"")</f>
        <v/>
      </c>
    </row>
    <row r="143">
      <c r="A143" s="12" t="n"/>
      <c r="B143">
        <f>IF($Y143="","",INDEX('Per Line'!$E$2:$E$1001,$Y143)&amp;"")</f>
        <v/>
      </c>
      <c r="C143">
        <f>IF($Y143="","",INDEX('Per Line'!$F$2:$F$1001,$Y143)&amp;"")</f>
        <v/>
      </c>
      <c r="D143">
        <f>IF($Y143="","",INDEX('Per Line'!$A$2:$A$1001,$Y143)&amp;"")</f>
        <v/>
      </c>
      <c r="E143">
        <f>IF($Y143="","",INDEX('Per Line'!$B$2:$B$1001,$Y143))</f>
        <v/>
      </c>
      <c r="F143">
        <f>IF($Y143="","",INDEX('Per Line'!$G$2:$G$1001,$Y143)&amp;"")</f>
        <v/>
      </c>
      <c r="G143" s="11">
        <f>IF($Y143="","",INDEX('Per Line'!$H$2:$H$1001,$Y143))</f>
        <v/>
      </c>
      <c r="H143">
        <f>IF($Y143="","",INDEX('Per Line'!$K$2:$K$1001,$Y143)&amp;"")</f>
        <v/>
      </c>
      <c r="I143">
        <f>IF($Y143="","",INDEX('Per Line'!$L$2:$L$1001,$Y143)&amp;"")</f>
        <v/>
      </c>
      <c r="J143">
        <f>IF($Y143="","",INDEX('Per Line'!$M$2:$M$1001,$Y143)&amp;"")</f>
        <v/>
      </c>
      <c r="K143">
        <f>IF($Y143="","",INDEX('Per Line'!$Q$2:$Q$1001,$Y143))</f>
        <v/>
      </c>
      <c r="L143" s="7">
        <f>IF($Y143="","",K143*W143/100)</f>
        <v/>
      </c>
      <c r="M143">
        <f>IF($Y143="","",INDEX('Per Line'!$AD$2:$AD$1001,$Y143)&amp;"")</f>
        <v/>
      </c>
      <c r="N143" s="7">
        <f>IF($Y143="","",SUMIFS('Per Line'!$Z$2:$Z$1001,'Per Line'!$E$2:$E$1001,$B143,'Per Line'!$AR$2:$AR$1001,1))</f>
        <v/>
      </c>
      <c r="O143">
        <f>IF($Y143="","",Settings!$C$7)</f>
        <v/>
      </c>
      <c r="P143" s="7">
        <f>IF($Y143="","",SUMIFS('Per Line'!$Z$2:$Z$1001,'Per Line'!$E$2:$E$1001,$B143,'Per Line'!$AQ$2:$AQ$1001,0,'Per Line'!$AR$2:$AR$1001,0))</f>
        <v/>
      </c>
      <c r="Q143" s="7">
        <f>IF($Y143="","",P143*O143)</f>
        <v/>
      </c>
      <c r="R143">
        <f>IF($Y143="","",Settings!$C$6)</f>
        <v/>
      </c>
      <c r="S143" s="7">
        <f>IF($Y143="","",SUMIFS('Per Line'!$Z$2:$Z$1001,'Per Line'!$E$2:$E$1001,$B143,'Per Line'!$AQ$2:$AQ$1001,1,'Per Line'!$AR$2:$AR$1001,0))</f>
        <v/>
      </c>
      <c r="T143" s="7">
        <f>IF($Y143="","",S143*R143)</f>
        <v/>
      </c>
      <c r="U143" s="7">
        <f>IF($Y143="","",T143+Q143)</f>
        <v/>
      </c>
      <c r="V143" s="7">
        <f>IF($Y143="","",W143-U143)</f>
        <v/>
      </c>
      <c r="W143" s="7">
        <f>IF($Y143="","",P143+S143+N143)</f>
        <v/>
      </c>
      <c r="X143" s="7">
        <f>IF($Y143="","",W143-U143-L143)</f>
        <v/>
      </c>
      <c r="Y143" s="13">
        <f>IF(ROWS($Y$2:$Y143)&lt;=MAX('Per Line'!$AP$2:$AP$1001),MATCH(ROWS($Y$2:$Y143),'Per Line'!$AP$2:$AP$1001,0),"")</f>
        <v/>
      </c>
    </row>
    <row r="144">
      <c r="A144" s="12" t="n"/>
      <c r="B144">
        <f>IF($Y144="","",INDEX('Per Line'!$E$2:$E$1001,$Y144)&amp;"")</f>
        <v/>
      </c>
      <c r="C144">
        <f>IF($Y144="","",INDEX('Per Line'!$F$2:$F$1001,$Y144)&amp;"")</f>
        <v/>
      </c>
      <c r="D144">
        <f>IF($Y144="","",INDEX('Per Line'!$A$2:$A$1001,$Y144)&amp;"")</f>
        <v/>
      </c>
      <c r="E144">
        <f>IF($Y144="","",INDEX('Per Line'!$B$2:$B$1001,$Y144))</f>
        <v/>
      </c>
      <c r="F144">
        <f>IF($Y144="","",INDEX('Per Line'!$G$2:$G$1001,$Y144)&amp;"")</f>
        <v/>
      </c>
      <c r="G144" s="11">
        <f>IF($Y144="","",INDEX('Per Line'!$H$2:$H$1001,$Y144))</f>
        <v/>
      </c>
      <c r="H144">
        <f>IF($Y144="","",INDEX('Per Line'!$K$2:$K$1001,$Y144)&amp;"")</f>
        <v/>
      </c>
      <c r="I144">
        <f>IF($Y144="","",INDEX('Per Line'!$L$2:$L$1001,$Y144)&amp;"")</f>
        <v/>
      </c>
      <c r="J144">
        <f>IF($Y144="","",INDEX('Per Line'!$M$2:$M$1001,$Y144)&amp;"")</f>
        <v/>
      </c>
      <c r="K144">
        <f>IF($Y144="","",INDEX('Per Line'!$Q$2:$Q$1001,$Y144))</f>
        <v/>
      </c>
      <c r="L144" s="7">
        <f>IF($Y144="","",K144*W144/100)</f>
        <v/>
      </c>
      <c r="M144">
        <f>IF($Y144="","",INDEX('Per Line'!$AD$2:$AD$1001,$Y144)&amp;"")</f>
        <v/>
      </c>
      <c r="N144" s="7">
        <f>IF($Y144="","",SUMIFS('Per Line'!$Z$2:$Z$1001,'Per Line'!$E$2:$E$1001,$B144,'Per Line'!$AR$2:$AR$1001,1))</f>
        <v/>
      </c>
      <c r="O144">
        <f>IF($Y144="","",Settings!$C$7)</f>
        <v/>
      </c>
      <c r="P144" s="7">
        <f>IF($Y144="","",SUMIFS('Per Line'!$Z$2:$Z$1001,'Per Line'!$E$2:$E$1001,$B144,'Per Line'!$AQ$2:$AQ$1001,0,'Per Line'!$AR$2:$AR$1001,0))</f>
        <v/>
      </c>
      <c r="Q144" s="7">
        <f>IF($Y144="","",P144*O144)</f>
        <v/>
      </c>
      <c r="R144">
        <f>IF($Y144="","",Settings!$C$6)</f>
        <v/>
      </c>
      <c r="S144" s="7">
        <f>IF($Y144="","",SUMIFS('Per Line'!$Z$2:$Z$1001,'Per Line'!$E$2:$E$1001,$B144,'Per Line'!$AQ$2:$AQ$1001,1,'Per Line'!$AR$2:$AR$1001,0))</f>
        <v/>
      </c>
      <c r="T144" s="7">
        <f>IF($Y144="","",S144*R144)</f>
        <v/>
      </c>
      <c r="U144" s="7">
        <f>IF($Y144="","",T144+Q144)</f>
        <v/>
      </c>
      <c r="V144" s="7">
        <f>IF($Y144="","",W144-U144)</f>
        <v/>
      </c>
      <c r="W144" s="7">
        <f>IF($Y144="","",P144+S144+N144)</f>
        <v/>
      </c>
      <c r="X144" s="7">
        <f>IF($Y144="","",W144-U144-L144)</f>
        <v/>
      </c>
      <c r="Y144" s="13">
        <f>IF(ROWS($Y$2:$Y144)&lt;=MAX('Per Line'!$AP$2:$AP$1001),MATCH(ROWS($Y$2:$Y144),'Per Line'!$AP$2:$AP$1001,0),"")</f>
        <v/>
      </c>
    </row>
    <row r="145">
      <c r="A145" s="12" t="n"/>
      <c r="B145">
        <f>IF($Y145="","",INDEX('Per Line'!$E$2:$E$1001,$Y145)&amp;"")</f>
        <v/>
      </c>
      <c r="C145">
        <f>IF($Y145="","",INDEX('Per Line'!$F$2:$F$1001,$Y145)&amp;"")</f>
        <v/>
      </c>
      <c r="D145">
        <f>IF($Y145="","",INDEX('Per Line'!$A$2:$A$1001,$Y145)&amp;"")</f>
        <v/>
      </c>
      <c r="E145">
        <f>IF($Y145="","",INDEX('Per Line'!$B$2:$B$1001,$Y145))</f>
        <v/>
      </c>
      <c r="F145">
        <f>IF($Y145="","",INDEX('Per Line'!$G$2:$G$1001,$Y145)&amp;"")</f>
        <v/>
      </c>
      <c r="G145" s="11">
        <f>IF($Y145="","",INDEX('Per Line'!$H$2:$H$1001,$Y145))</f>
        <v/>
      </c>
      <c r="H145">
        <f>IF($Y145="","",INDEX('Per Line'!$K$2:$K$1001,$Y145)&amp;"")</f>
        <v/>
      </c>
      <c r="I145">
        <f>IF($Y145="","",INDEX('Per Line'!$L$2:$L$1001,$Y145)&amp;"")</f>
        <v/>
      </c>
      <c r="J145">
        <f>IF($Y145="","",INDEX('Per Line'!$M$2:$M$1001,$Y145)&amp;"")</f>
        <v/>
      </c>
      <c r="K145">
        <f>IF($Y145="","",INDEX('Per Line'!$Q$2:$Q$1001,$Y145))</f>
        <v/>
      </c>
      <c r="L145" s="7">
        <f>IF($Y145="","",K145*W145/100)</f>
        <v/>
      </c>
      <c r="M145">
        <f>IF($Y145="","",INDEX('Per Line'!$AD$2:$AD$1001,$Y145)&amp;"")</f>
        <v/>
      </c>
      <c r="N145" s="7">
        <f>IF($Y145="","",SUMIFS('Per Line'!$Z$2:$Z$1001,'Per Line'!$E$2:$E$1001,$B145,'Per Line'!$AR$2:$AR$1001,1))</f>
        <v/>
      </c>
      <c r="O145">
        <f>IF($Y145="","",Settings!$C$7)</f>
        <v/>
      </c>
      <c r="P145" s="7">
        <f>IF($Y145="","",SUMIFS('Per Line'!$Z$2:$Z$1001,'Per Line'!$E$2:$E$1001,$B145,'Per Line'!$AQ$2:$AQ$1001,0,'Per Line'!$AR$2:$AR$1001,0))</f>
        <v/>
      </c>
      <c r="Q145" s="7">
        <f>IF($Y145="","",P145*O145)</f>
        <v/>
      </c>
      <c r="R145">
        <f>IF($Y145="","",Settings!$C$6)</f>
        <v/>
      </c>
      <c r="S145" s="7">
        <f>IF($Y145="","",SUMIFS('Per Line'!$Z$2:$Z$1001,'Per Line'!$E$2:$E$1001,$B145,'Per Line'!$AQ$2:$AQ$1001,1,'Per Line'!$AR$2:$AR$1001,0))</f>
        <v/>
      </c>
      <c r="T145" s="7">
        <f>IF($Y145="","",S145*R145)</f>
        <v/>
      </c>
      <c r="U145" s="7">
        <f>IF($Y145="","",T145+Q145)</f>
        <v/>
      </c>
      <c r="V145" s="7">
        <f>IF($Y145="","",W145-U145)</f>
        <v/>
      </c>
      <c r="W145" s="7">
        <f>IF($Y145="","",P145+S145+N145)</f>
        <v/>
      </c>
      <c r="X145" s="7">
        <f>IF($Y145="","",W145-U145-L145)</f>
        <v/>
      </c>
      <c r="Y145" s="13">
        <f>IF(ROWS($Y$2:$Y145)&lt;=MAX('Per Line'!$AP$2:$AP$1001),MATCH(ROWS($Y$2:$Y145),'Per Line'!$AP$2:$AP$1001,0),"")</f>
        <v/>
      </c>
    </row>
    <row r="146">
      <c r="A146" s="12" t="n"/>
      <c r="B146">
        <f>IF($Y146="","",INDEX('Per Line'!$E$2:$E$1001,$Y146)&amp;"")</f>
        <v/>
      </c>
      <c r="C146">
        <f>IF($Y146="","",INDEX('Per Line'!$F$2:$F$1001,$Y146)&amp;"")</f>
        <v/>
      </c>
      <c r="D146">
        <f>IF($Y146="","",INDEX('Per Line'!$A$2:$A$1001,$Y146)&amp;"")</f>
        <v/>
      </c>
      <c r="E146">
        <f>IF($Y146="","",INDEX('Per Line'!$B$2:$B$1001,$Y146))</f>
        <v/>
      </c>
      <c r="F146">
        <f>IF($Y146="","",INDEX('Per Line'!$G$2:$G$1001,$Y146)&amp;"")</f>
        <v/>
      </c>
      <c r="G146" s="11">
        <f>IF($Y146="","",INDEX('Per Line'!$H$2:$H$1001,$Y146))</f>
        <v/>
      </c>
      <c r="H146">
        <f>IF($Y146="","",INDEX('Per Line'!$K$2:$K$1001,$Y146)&amp;"")</f>
        <v/>
      </c>
      <c r="I146">
        <f>IF($Y146="","",INDEX('Per Line'!$L$2:$L$1001,$Y146)&amp;"")</f>
        <v/>
      </c>
      <c r="J146">
        <f>IF($Y146="","",INDEX('Per Line'!$M$2:$M$1001,$Y146)&amp;"")</f>
        <v/>
      </c>
      <c r="K146">
        <f>IF($Y146="","",INDEX('Per Line'!$Q$2:$Q$1001,$Y146))</f>
        <v/>
      </c>
      <c r="L146" s="7">
        <f>IF($Y146="","",K146*W146/100)</f>
        <v/>
      </c>
      <c r="M146">
        <f>IF($Y146="","",INDEX('Per Line'!$AD$2:$AD$1001,$Y146)&amp;"")</f>
        <v/>
      </c>
      <c r="N146" s="7">
        <f>IF($Y146="","",SUMIFS('Per Line'!$Z$2:$Z$1001,'Per Line'!$E$2:$E$1001,$B146,'Per Line'!$AR$2:$AR$1001,1))</f>
        <v/>
      </c>
      <c r="O146">
        <f>IF($Y146="","",Settings!$C$7)</f>
        <v/>
      </c>
      <c r="P146" s="7">
        <f>IF($Y146="","",SUMIFS('Per Line'!$Z$2:$Z$1001,'Per Line'!$E$2:$E$1001,$B146,'Per Line'!$AQ$2:$AQ$1001,0,'Per Line'!$AR$2:$AR$1001,0))</f>
        <v/>
      </c>
      <c r="Q146" s="7">
        <f>IF($Y146="","",P146*O146)</f>
        <v/>
      </c>
      <c r="R146">
        <f>IF($Y146="","",Settings!$C$6)</f>
        <v/>
      </c>
      <c r="S146" s="7">
        <f>IF($Y146="","",SUMIFS('Per Line'!$Z$2:$Z$1001,'Per Line'!$E$2:$E$1001,$B146,'Per Line'!$AQ$2:$AQ$1001,1,'Per Line'!$AR$2:$AR$1001,0))</f>
        <v/>
      </c>
      <c r="T146" s="7">
        <f>IF($Y146="","",S146*R146)</f>
        <v/>
      </c>
      <c r="U146" s="7">
        <f>IF($Y146="","",T146+Q146)</f>
        <v/>
      </c>
      <c r="V146" s="7">
        <f>IF($Y146="","",W146-U146)</f>
        <v/>
      </c>
      <c r="W146" s="7">
        <f>IF($Y146="","",P146+S146+N146)</f>
        <v/>
      </c>
      <c r="X146" s="7">
        <f>IF($Y146="","",W146-U146-L146)</f>
        <v/>
      </c>
      <c r="Y146" s="13">
        <f>IF(ROWS($Y$2:$Y146)&lt;=MAX('Per Line'!$AP$2:$AP$1001),MATCH(ROWS($Y$2:$Y146),'Per Line'!$AP$2:$AP$1001,0),"")</f>
        <v/>
      </c>
    </row>
    <row r="147">
      <c r="A147" s="12" t="n"/>
      <c r="B147">
        <f>IF($Y147="","",INDEX('Per Line'!$E$2:$E$1001,$Y147)&amp;"")</f>
        <v/>
      </c>
      <c r="C147">
        <f>IF($Y147="","",INDEX('Per Line'!$F$2:$F$1001,$Y147)&amp;"")</f>
        <v/>
      </c>
      <c r="D147">
        <f>IF($Y147="","",INDEX('Per Line'!$A$2:$A$1001,$Y147)&amp;"")</f>
        <v/>
      </c>
      <c r="E147">
        <f>IF($Y147="","",INDEX('Per Line'!$B$2:$B$1001,$Y147))</f>
        <v/>
      </c>
      <c r="F147">
        <f>IF($Y147="","",INDEX('Per Line'!$G$2:$G$1001,$Y147)&amp;"")</f>
        <v/>
      </c>
      <c r="G147" s="11">
        <f>IF($Y147="","",INDEX('Per Line'!$H$2:$H$1001,$Y147))</f>
        <v/>
      </c>
      <c r="H147">
        <f>IF($Y147="","",INDEX('Per Line'!$K$2:$K$1001,$Y147)&amp;"")</f>
        <v/>
      </c>
      <c r="I147">
        <f>IF($Y147="","",INDEX('Per Line'!$L$2:$L$1001,$Y147)&amp;"")</f>
        <v/>
      </c>
      <c r="J147">
        <f>IF($Y147="","",INDEX('Per Line'!$M$2:$M$1001,$Y147)&amp;"")</f>
        <v/>
      </c>
      <c r="K147">
        <f>IF($Y147="","",INDEX('Per Line'!$Q$2:$Q$1001,$Y147))</f>
        <v/>
      </c>
      <c r="L147" s="7">
        <f>IF($Y147="","",K147*W147/100)</f>
        <v/>
      </c>
      <c r="M147">
        <f>IF($Y147="","",INDEX('Per Line'!$AD$2:$AD$1001,$Y147)&amp;"")</f>
        <v/>
      </c>
      <c r="N147" s="7">
        <f>IF($Y147="","",SUMIFS('Per Line'!$Z$2:$Z$1001,'Per Line'!$E$2:$E$1001,$B147,'Per Line'!$AR$2:$AR$1001,1))</f>
        <v/>
      </c>
      <c r="O147">
        <f>IF($Y147="","",Settings!$C$7)</f>
        <v/>
      </c>
      <c r="P147" s="7">
        <f>IF($Y147="","",SUMIFS('Per Line'!$Z$2:$Z$1001,'Per Line'!$E$2:$E$1001,$B147,'Per Line'!$AQ$2:$AQ$1001,0,'Per Line'!$AR$2:$AR$1001,0))</f>
        <v/>
      </c>
      <c r="Q147" s="7">
        <f>IF($Y147="","",P147*O147)</f>
        <v/>
      </c>
      <c r="R147">
        <f>IF($Y147="","",Settings!$C$6)</f>
        <v/>
      </c>
      <c r="S147" s="7">
        <f>IF($Y147="","",SUMIFS('Per Line'!$Z$2:$Z$1001,'Per Line'!$E$2:$E$1001,$B147,'Per Line'!$AQ$2:$AQ$1001,1,'Per Line'!$AR$2:$AR$1001,0))</f>
        <v/>
      </c>
      <c r="T147" s="7">
        <f>IF($Y147="","",S147*R147)</f>
        <v/>
      </c>
      <c r="U147" s="7">
        <f>IF($Y147="","",T147+Q147)</f>
        <v/>
      </c>
      <c r="V147" s="7">
        <f>IF($Y147="","",W147-U147)</f>
        <v/>
      </c>
      <c r="W147" s="7">
        <f>IF($Y147="","",P147+S147+N147)</f>
        <v/>
      </c>
      <c r="X147" s="7">
        <f>IF($Y147="","",W147-U147-L147)</f>
        <v/>
      </c>
      <c r="Y147" s="13">
        <f>IF(ROWS($Y$2:$Y147)&lt;=MAX('Per Line'!$AP$2:$AP$1001),MATCH(ROWS($Y$2:$Y147),'Per Line'!$AP$2:$AP$1001,0),"")</f>
        <v/>
      </c>
    </row>
    <row r="148">
      <c r="A148" s="12" t="n"/>
      <c r="B148">
        <f>IF($Y148="","",INDEX('Per Line'!$E$2:$E$1001,$Y148)&amp;"")</f>
        <v/>
      </c>
      <c r="C148">
        <f>IF($Y148="","",INDEX('Per Line'!$F$2:$F$1001,$Y148)&amp;"")</f>
        <v/>
      </c>
      <c r="D148">
        <f>IF($Y148="","",INDEX('Per Line'!$A$2:$A$1001,$Y148)&amp;"")</f>
        <v/>
      </c>
      <c r="E148">
        <f>IF($Y148="","",INDEX('Per Line'!$B$2:$B$1001,$Y148))</f>
        <v/>
      </c>
      <c r="F148">
        <f>IF($Y148="","",INDEX('Per Line'!$G$2:$G$1001,$Y148)&amp;"")</f>
        <v/>
      </c>
      <c r="G148" s="11">
        <f>IF($Y148="","",INDEX('Per Line'!$H$2:$H$1001,$Y148))</f>
        <v/>
      </c>
      <c r="H148">
        <f>IF($Y148="","",INDEX('Per Line'!$K$2:$K$1001,$Y148)&amp;"")</f>
        <v/>
      </c>
      <c r="I148">
        <f>IF($Y148="","",INDEX('Per Line'!$L$2:$L$1001,$Y148)&amp;"")</f>
        <v/>
      </c>
      <c r="J148">
        <f>IF($Y148="","",INDEX('Per Line'!$M$2:$M$1001,$Y148)&amp;"")</f>
        <v/>
      </c>
      <c r="K148">
        <f>IF($Y148="","",INDEX('Per Line'!$Q$2:$Q$1001,$Y148))</f>
        <v/>
      </c>
      <c r="L148" s="7">
        <f>IF($Y148="","",K148*W148/100)</f>
        <v/>
      </c>
      <c r="M148">
        <f>IF($Y148="","",INDEX('Per Line'!$AD$2:$AD$1001,$Y148)&amp;"")</f>
        <v/>
      </c>
      <c r="N148" s="7">
        <f>IF($Y148="","",SUMIFS('Per Line'!$Z$2:$Z$1001,'Per Line'!$E$2:$E$1001,$B148,'Per Line'!$AR$2:$AR$1001,1))</f>
        <v/>
      </c>
      <c r="O148">
        <f>IF($Y148="","",Settings!$C$7)</f>
        <v/>
      </c>
      <c r="P148" s="7">
        <f>IF($Y148="","",SUMIFS('Per Line'!$Z$2:$Z$1001,'Per Line'!$E$2:$E$1001,$B148,'Per Line'!$AQ$2:$AQ$1001,0,'Per Line'!$AR$2:$AR$1001,0))</f>
        <v/>
      </c>
      <c r="Q148" s="7">
        <f>IF($Y148="","",P148*O148)</f>
        <v/>
      </c>
      <c r="R148">
        <f>IF($Y148="","",Settings!$C$6)</f>
        <v/>
      </c>
      <c r="S148" s="7">
        <f>IF($Y148="","",SUMIFS('Per Line'!$Z$2:$Z$1001,'Per Line'!$E$2:$E$1001,$B148,'Per Line'!$AQ$2:$AQ$1001,1,'Per Line'!$AR$2:$AR$1001,0))</f>
        <v/>
      </c>
      <c r="T148" s="7">
        <f>IF($Y148="","",S148*R148)</f>
        <v/>
      </c>
      <c r="U148" s="7">
        <f>IF($Y148="","",T148+Q148)</f>
        <v/>
      </c>
      <c r="V148" s="7">
        <f>IF($Y148="","",W148-U148)</f>
        <v/>
      </c>
      <c r="W148" s="7">
        <f>IF($Y148="","",P148+S148+N148)</f>
        <v/>
      </c>
      <c r="X148" s="7">
        <f>IF($Y148="","",W148-U148-L148)</f>
        <v/>
      </c>
      <c r="Y148" s="13">
        <f>IF(ROWS($Y$2:$Y148)&lt;=MAX('Per Line'!$AP$2:$AP$1001),MATCH(ROWS($Y$2:$Y148),'Per Line'!$AP$2:$AP$1001,0),"")</f>
        <v/>
      </c>
    </row>
    <row r="149">
      <c r="A149" s="12" t="n"/>
      <c r="B149">
        <f>IF($Y149="","",INDEX('Per Line'!$E$2:$E$1001,$Y149)&amp;"")</f>
        <v/>
      </c>
      <c r="C149">
        <f>IF($Y149="","",INDEX('Per Line'!$F$2:$F$1001,$Y149)&amp;"")</f>
        <v/>
      </c>
      <c r="D149">
        <f>IF($Y149="","",INDEX('Per Line'!$A$2:$A$1001,$Y149)&amp;"")</f>
        <v/>
      </c>
      <c r="E149">
        <f>IF($Y149="","",INDEX('Per Line'!$B$2:$B$1001,$Y149))</f>
        <v/>
      </c>
      <c r="F149">
        <f>IF($Y149="","",INDEX('Per Line'!$G$2:$G$1001,$Y149)&amp;"")</f>
        <v/>
      </c>
      <c r="G149" s="11">
        <f>IF($Y149="","",INDEX('Per Line'!$H$2:$H$1001,$Y149))</f>
        <v/>
      </c>
      <c r="H149">
        <f>IF($Y149="","",INDEX('Per Line'!$K$2:$K$1001,$Y149)&amp;"")</f>
        <v/>
      </c>
      <c r="I149">
        <f>IF($Y149="","",INDEX('Per Line'!$L$2:$L$1001,$Y149)&amp;"")</f>
        <v/>
      </c>
      <c r="J149">
        <f>IF($Y149="","",INDEX('Per Line'!$M$2:$M$1001,$Y149)&amp;"")</f>
        <v/>
      </c>
      <c r="K149">
        <f>IF($Y149="","",INDEX('Per Line'!$Q$2:$Q$1001,$Y149))</f>
        <v/>
      </c>
      <c r="L149" s="7">
        <f>IF($Y149="","",K149*W149/100)</f>
        <v/>
      </c>
      <c r="M149">
        <f>IF($Y149="","",INDEX('Per Line'!$AD$2:$AD$1001,$Y149)&amp;"")</f>
        <v/>
      </c>
      <c r="N149" s="7">
        <f>IF($Y149="","",SUMIFS('Per Line'!$Z$2:$Z$1001,'Per Line'!$E$2:$E$1001,$B149,'Per Line'!$AR$2:$AR$1001,1))</f>
        <v/>
      </c>
      <c r="O149">
        <f>IF($Y149="","",Settings!$C$7)</f>
        <v/>
      </c>
      <c r="P149" s="7">
        <f>IF($Y149="","",SUMIFS('Per Line'!$Z$2:$Z$1001,'Per Line'!$E$2:$E$1001,$B149,'Per Line'!$AQ$2:$AQ$1001,0,'Per Line'!$AR$2:$AR$1001,0))</f>
        <v/>
      </c>
      <c r="Q149" s="7">
        <f>IF($Y149="","",P149*O149)</f>
        <v/>
      </c>
      <c r="R149">
        <f>IF($Y149="","",Settings!$C$6)</f>
        <v/>
      </c>
      <c r="S149" s="7">
        <f>IF($Y149="","",SUMIFS('Per Line'!$Z$2:$Z$1001,'Per Line'!$E$2:$E$1001,$B149,'Per Line'!$AQ$2:$AQ$1001,1,'Per Line'!$AR$2:$AR$1001,0))</f>
        <v/>
      </c>
      <c r="T149" s="7">
        <f>IF($Y149="","",S149*R149)</f>
        <v/>
      </c>
      <c r="U149" s="7">
        <f>IF($Y149="","",T149+Q149)</f>
        <v/>
      </c>
      <c r="V149" s="7">
        <f>IF($Y149="","",W149-U149)</f>
        <v/>
      </c>
      <c r="W149" s="7">
        <f>IF($Y149="","",P149+S149+N149)</f>
        <v/>
      </c>
      <c r="X149" s="7">
        <f>IF($Y149="","",W149-U149-L149)</f>
        <v/>
      </c>
      <c r="Y149" s="13">
        <f>IF(ROWS($Y$2:$Y149)&lt;=MAX('Per Line'!$AP$2:$AP$1001),MATCH(ROWS($Y$2:$Y149),'Per Line'!$AP$2:$AP$1001,0),"")</f>
        <v/>
      </c>
    </row>
    <row r="150">
      <c r="A150" s="12" t="n"/>
      <c r="B150">
        <f>IF($Y150="","",INDEX('Per Line'!$E$2:$E$1001,$Y150)&amp;"")</f>
        <v/>
      </c>
      <c r="C150">
        <f>IF($Y150="","",INDEX('Per Line'!$F$2:$F$1001,$Y150)&amp;"")</f>
        <v/>
      </c>
      <c r="D150">
        <f>IF($Y150="","",INDEX('Per Line'!$A$2:$A$1001,$Y150)&amp;"")</f>
        <v/>
      </c>
      <c r="E150">
        <f>IF($Y150="","",INDEX('Per Line'!$B$2:$B$1001,$Y150))</f>
        <v/>
      </c>
      <c r="F150">
        <f>IF($Y150="","",INDEX('Per Line'!$G$2:$G$1001,$Y150)&amp;"")</f>
        <v/>
      </c>
      <c r="G150" s="11">
        <f>IF($Y150="","",INDEX('Per Line'!$H$2:$H$1001,$Y150))</f>
        <v/>
      </c>
      <c r="H150">
        <f>IF($Y150="","",INDEX('Per Line'!$K$2:$K$1001,$Y150)&amp;"")</f>
        <v/>
      </c>
      <c r="I150">
        <f>IF($Y150="","",INDEX('Per Line'!$L$2:$L$1001,$Y150)&amp;"")</f>
        <v/>
      </c>
      <c r="J150">
        <f>IF($Y150="","",INDEX('Per Line'!$M$2:$M$1001,$Y150)&amp;"")</f>
        <v/>
      </c>
      <c r="K150">
        <f>IF($Y150="","",INDEX('Per Line'!$Q$2:$Q$1001,$Y150))</f>
        <v/>
      </c>
      <c r="L150" s="7">
        <f>IF($Y150="","",K150*W150/100)</f>
        <v/>
      </c>
      <c r="M150">
        <f>IF($Y150="","",INDEX('Per Line'!$AD$2:$AD$1001,$Y150)&amp;"")</f>
        <v/>
      </c>
      <c r="N150" s="7">
        <f>IF($Y150="","",SUMIFS('Per Line'!$Z$2:$Z$1001,'Per Line'!$E$2:$E$1001,$B150,'Per Line'!$AR$2:$AR$1001,1))</f>
        <v/>
      </c>
      <c r="O150">
        <f>IF($Y150="","",Settings!$C$7)</f>
        <v/>
      </c>
      <c r="P150" s="7">
        <f>IF($Y150="","",SUMIFS('Per Line'!$Z$2:$Z$1001,'Per Line'!$E$2:$E$1001,$B150,'Per Line'!$AQ$2:$AQ$1001,0,'Per Line'!$AR$2:$AR$1001,0))</f>
        <v/>
      </c>
      <c r="Q150" s="7">
        <f>IF($Y150="","",P150*O150)</f>
        <v/>
      </c>
      <c r="R150">
        <f>IF($Y150="","",Settings!$C$6)</f>
        <v/>
      </c>
      <c r="S150" s="7">
        <f>IF($Y150="","",SUMIFS('Per Line'!$Z$2:$Z$1001,'Per Line'!$E$2:$E$1001,$B150,'Per Line'!$AQ$2:$AQ$1001,1,'Per Line'!$AR$2:$AR$1001,0))</f>
        <v/>
      </c>
      <c r="T150" s="7">
        <f>IF($Y150="","",S150*R150)</f>
        <v/>
      </c>
      <c r="U150" s="7">
        <f>IF($Y150="","",T150+Q150)</f>
        <v/>
      </c>
      <c r="V150" s="7">
        <f>IF($Y150="","",W150-U150)</f>
        <v/>
      </c>
      <c r="W150" s="7">
        <f>IF($Y150="","",P150+S150+N150)</f>
        <v/>
      </c>
      <c r="X150" s="7">
        <f>IF($Y150="","",W150-U150-L150)</f>
        <v/>
      </c>
      <c r="Y150" s="13">
        <f>IF(ROWS($Y$2:$Y150)&lt;=MAX('Per Line'!$AP$2:$AP$1001),MATCH(ROWS($Y$2:$Y150),'Per Line'!$AP$2:$AP$1001,0),"")</f>
        <v/>
      </c>
    </row>
    <row r="151">
      <c r="A151" s="12" t="n"/>
      <c r="B151">
        <f>IF($Y151="","",INDEX('Per Line'!$E$2:$E$1001,$Y151)&amp;"")</f>
        <v/>
      </c>
      <c r="C151">
        <f>IF($Y151="","",INDEX('Per Line'!$F$2:$F$1001,$Y151)&amp;"")</f>
        <v/>
      </c>
      <c r="D151">
        <f>IF($Y151="","",INDEX('Per Line'!$A$2:$A$1001,$Y151)&amp;"")</f>
        <v/>
      </c>
      <c r="E151">
        <f>IF($Y151="","",INDEX('Per Line'!$B$2:$B$1001,$Y151))</f>
        <v/>
      </c>
      <c r="F151">
        <f>IF($Y151="","",INDEX('Per Line'!$G$2:$G$1001,$Y151)&amp;"")</f>
        <v/>
      </c>
      <c r="G151" s="11">
        <f>IF($Y151="","",INDEX('Per Line'!$H$2:$H$1001,$Y151))</f>
        <v/>
      </c>
      <c r="H151">
        <f>IF($Y151="","",INDEX('Per Line'!$K$2:$K$1001,$Y151)&amp;"")</f>
        <v/>
      </c>
      <c r="I151">
        <f>IF($Y151="","",INDEX('Per Line'!$L$2:$L$1001,$Y151)&amp;"")</f>
        <v/>
      </c>
      <c r="J151">
        <f>IF($Y151="","",INDEX('Per Line'!$M$2:$M$1001,$Y151)&amp;"")</f>
        <v/>
      </c>
      <c r="K151">
        <f>IF($Y151="","",INDEX('Per Line'!$Q$2:$Q$1001,$Y151))</f>
        <v/>
      </c>
      <c r="L151" s="7">
        <f>IF($Y151="","",K151*W151/100)</f>
        <v/>
      </c>
      <c r="M151">
        <f>IF($Y151="","",INDEX('Per Line'!$AD$2:$AD$1001,$Y151)&amp;"")</f>
        <v/>
      </c>
      <c r="N151" s="7">
        <f>IF($Y151="","",SUMIFS('Per Line'!$Z$2:$Z$1001,'Per Line'!$E$2:$E$1001,$B151,'Per Line'!$AR$2:$AR$1001,1))</f>
        <v/>
      </c>
      <c r="O151">
        <f>IF($Y151="","",Settings!$C$7)</f>
        <v/>
      </c>
      <c r="P151" s="7">
        <f>IF($Y151="","",SUMIFS('Per Line'!$Z$2:$Z$1001,'Per Line'!$E$2:$E$1001,$B151,'Per Line'!$AQ$2:$AQ$1001,0,'Per Line'!$AR$2:$AR$1001,0))</f>
        <v/>
      </c>
      <c r="Q151" s="7">
        <f>IF($Y151="","",P151*O151)</f>
        <v/>
      </c>
      <c r="R151">
        <f>IF($Y151="","",Settings!$C$6)</f>
        <v/>
      </c>
      <c r="S151" s="7">
        <f>IF($Y151="","",SUMIFS('Per Line'!$Z$2:$Z$1001,'Per Line'!$E$2:$E$1001,$B151,'Per Line'!$AQ$2:$AQ$1001,1,'Per Line'!$AR$2:$AR$1001,0))</f>
        <v/>
      </c>
      <c r="T151" s="7">
        <f>IF($Y151="","",S151*R151)</f>
        <v/>
      </c>
      <c r="U151" s="7">
        <f>IF($Y151="","",T151+Q151)</f>
        <v/>
      </c>
      <c r="V151" s="7">
        <f>IF($Y151="","",W151-U151)</f>
        <v/>
      </c>
      <c r="W151" s="7">
        <f>IF($Y151="","",P151+S151+N151)</f>
        <v/>
      </c>
      <c r="X151" s="7">
        <f>IF($Y151="","",W151-U151-L151)</f>
        <v/>
      </c>
      <c r="Y151" s="13">
        <f>IF(ROWS($Y$2:$Y151)&lt;=MAX('Per Line'!$AP$2:$AP$1001),MATCH(ROWS($Y$2:$Y151),'Per Line'!$AP$2:$AP$1001,0),"")</f>
        <v/>
      </c>
    </row>
    <row r="152">
      <c r="A152" s="12" t="n"/>
      <c r="B152">
        <f>IF($Y152="","",INDEX('Per Line'!$E$2:$E$1001,$Y152)&amp;"")</f>
        <v/>
      </c>
      <c r="C152">
        <f>IF($Y152="","",INDEX('Per Line'!$F$2:$F$1001,$Y152)&amp;"")</f>
        <v/>
      </c>
      <c r="D152">
        <f>IF($Y152="","",INDEX('Per Line'!$A$2:$A$1001,$Y152)&amp;"")</f>
        <v/>
      </c>
      <c r="E152">
        <f>IF($Y152="","",INDEX('Per Line'!$B$2:$B$1001,$Y152))</f>
        <v/>
      </c>
      <c r="F152">
        <f>IF($Y152="","",INDEX('Per Line'!$G$2:$G$1001,$Y152)&amp;"")</f>
        <v/>
      </c>
      <c r="G152" s="11">
        <f>IF($Y152="","",INDEX('Per Line'!$H$2:$H$1001,$Y152))</f>
        <v/>
      </c>
      <c r="H152">
        <f>IF($Y152="","",INDEX('Per Line'!$K$2:$K$1001,$Y152)&amp;"")</f>
        <v/>
      </c>
      <c r="I152">
        <f>IF($Y152="","",INDEX('Per Line'!$L$2:$L$1001,$Y152)&amp;"")</f>
        <v/>
      </c>
      <c r="J152">
        <f>IF($Y152="","",INDEX('Per Line'!$M$2:$M$1001,$Y152)&amp;"")</f>
        <v/>
      </c>
      <c r="K152">
        <f>IF($Y152="","",INDEX('Per Line'!$Q$2:$Q$1001,$Y152))</f>
        <v/>
      </c>
      <c r="L152" s="7">
        <f>IF($Y152="","",K152*W152/100)</f>
        <v/>
      </c>
      <c r="M152">
        <f>IF($Y152="","",INDEX('Per Line'!$AD$2:$AD$1001,$Y152)&amp;"")</f>
        <v/>
      </c>
      <c r="N152" s="7">
        <f>IF($Y152="","",SUMIFS('Per Line'!$Z$2:$Z$1001,'Per Line'!$E$2:$E$1001,$B152,'Per Line'!$AR$2:$AR$1001,1))</f>
        <v/>
      </c>
      <c r="O152">
        <f>IF($Y152="","",Settings!$C$7)</f>
        <v/>
      </c>
      <c r="P152" s="7">
        <f>IF($Y152="","",SUMIFS('Per Line'!$Z$2:$Z$1001,'Per Line'!$E$2:$E$1001,$B152,'Per Line'!$AQ$2:$AQ$1001,0,'Per Line'!$AR$2:$AR$1001,0))</f>
        <v/>
      </c>
      <c r="Q152" s="7">
        <f>IF($Y152="","",P152*O152)</f>
        <v/>
      </c>
      <c r="R152">
        <f>IF($Y152="","",Settings!$C$6)</f>
        <v/>
      </c>
      <c r="S152" s="7">
        <f>IF($Y152="","",SUMIFS('Per Line'!$Z$2:$Z$1001,'Per Line'!$E$2:$E$1001,$B152,'Per Line'!$AQ$2:$AQ$1001,1,'Per Line'!$AR$2:$AR$1001,0))</f>
        <v/>
      </c>
      <c r="T152" s="7">
        <f>IF($Y152="","",S152*R152)</f>
        <v/>
      </c>
      <c r="U152" s="7">
        <f>IF($Y152="","",T152+Q152)</f>
        <v/>
      </c>
      <c r="V152" s="7">
        <f>IF($Y152="","",W152-U152)</f>
        <v/>
      </c>
      <c r="W152" s="7">
        <f>IF($Y152="","",P152+S152+N152)</f>
        <v/>
      </c>
      <c r="X152" s="7">
        <f>IF($Y152="","",W152-U152-L152)</f>
        <v/>
      </c>
      <c r="Y152" s="13">
        <f>IF(ROWS($Y$2:$Y152)&lt;=MAX('Per Line'!$AP$2:$AP$1001),MATCH(ROWS($Y$2:$Y152),'Per Line'!$AP$2:$AP$1001,0),"")</f>
        <v/>
      </c>
    </row>
    <row r="153">
      <c r="A153" s="12" t="n"/>
      <c r="B153">
        <f>IF($Y153="","",INDEX('Per Line'!$E$2:$E$1001,$Y153)&amp;"")</f>
        <v/>
      </c>
      <c r="C153">
        <f>IF($Y153="","",INDEX('Per Line'!$F$2:$F$1001,$Y153)&amp;"")</f>
        <v/>
      </c>
      <c r="D153">
        <f>IF($Y153="","",INDEX('Per Line'!$A$2:$A$1001,$Y153)&amp;"")</f>
        <v/>
      </c>
      <c r="E153">
        <f>IF($Y153="","",INDEX('Per Line'!$B$2:$B$1001,$Y153))</f>
        <v/>
      </c>
      <c r="F153">
        <f>IF($Y153="","",INDEX('Per Line'!$G$2:$G$1001,$Y153)&amp;"")</f>
        <v/>
      </c>
      <c r="G153" s="11">
        <f>IF($Y153="","",INDEX('Per Line'!$H$2:$H$1001,$Y153))</f>
        <v/>
      </c>
      <c r="H153">
        <f>IF($Y153="","",INDEX('Per Line'!$K$2:$K$1001,$Y153)&amp;"")</f>
        <v/>
      </c>
      <c r="I153">
        <f>IF($Y153="","",INDEX('Per Line'!$L$2:$L$1001,$Y153)&amp;"")</f>
        <v/>
      </c>
      <c r="J153">
        <f>IF($Y153="","",INDEX('Per Line'!$M$2:$M$1001,$Y153)&amp;"")</f>
        <v/>
      </c>
      <c r="K153">
        <f>IF($Y153="","",INDEX('Per Line'!$Q$2:$Q$1001,$Y153))</f>
        <v/>
      </c>
      <c r="L153" s="7">
        <f>IF($Y153="","",K153*W153/100)</f>
        <v/>
      </c>
      <c r="M153">
        <f>IF($Y153="","",INDEX('Per Line'!$AD$2:$AD$1001,$Y153)&amp;"")</f>
        <v/>
      </c>
      <c r="N153" s="7">
        <f>IF($Y153="","",SUMIFS('Per Line'!$Z$2:$Z$1001,'Per Line'!$E$2:$E$1001,$B153,'Per Line'!$AR$2:$AR$1001,1))</f>
        <v/>
      </c>
      <c r="O153">
        <f>IF($Y153="","",Settings!$C$7)</f>
        <v/>
      </c>
      <c r="P153" s="7">
        <f>IF($Y153="","",SUMIFS('Per Line'!$Z$2:$Z$1001,'Per Line'!$E$2:$E$1001,$B153,'Per Line'!$AQ$2:$AQ$1001,0,'Per Line'!$AR$2:$AR$1001,0))</f>
        <v/>
      </c>
      <c r="Q153" s="7">
        <f>IF($Y153="","",P153*O153)</f>
        <v/>
      </c>
      <c r="R153">
        <f>IF($Y153="","",Settings!$C$6)</f>
        <v/>
      </c>
      <c r="S153" s="7">
        <f>IF($Y153="","",SUMIFS('Per Line'!$Z$2:$Z$1001,'Per Line'!$E$2:$E$1001,$B153,'Per Line'!$AQ$2:$AQ$1001,1,'Per Line'!$AR$2:$AR$1001,0))</f>
        <v/>
      </c>
      <c r="T153" s="7">
        <f>IF($Y153="","",S153*R153)</f>
        <v/>
      </c>
      <c r="U153" s="7">
        <f>IF($Y153="","",T153+Q153)</f>
        <v/>
      </c>
      <c r="V153" s="7">
        <f>IF($Y153="","",W153-U153)</f>
        <v/>
      </c>
      <c r="W153" s="7">
        <f>IF($Y153="","",P153+S153+N153)</f>
        <v/>
      </c>
      <c r="X153" s="7">
        <f>IF($Y153="","",W153-U153-L153)</f>
        <v/>
      </c>
      <c r="Y153" s="13">
        <f>IF(ROWS($Y$2:$Y153)&lt;=MAX('Per Line'!$AP$2:$AP$1001),MATCH(ROWS($Y$2:$Y153),'Per Line'!$AP$2:$AP$1001,0),"")</f>
        <v/>
      </c>
    </row>
    <row r="154">
      <c r="A154" s="12" t="n"/>
      <c r="B154">
        <f>IF($Y154="","",INDEX('Per Line'!$E$2:$E$1001,$Y154)&amp;"")</f>
        <v/>
      </c>
      <c r="C154">
        <f>IF($Y154="","",INDEX('Per Line'!$F$2:$F$1001,$Y154)&amp;"")</f>
        <v/>
      </c>
      <c r="D154">
        <f>IF($Y154="","",INDEX('Per Line'!$A$2:$A$1001,$Y154)&amp;"")</f>
        <v/>
      </c>
      <c r="E154">
        <f>IF($Y154="","",INDEX('Per Line'!$B$2:$B$1001,$Y154))</f>
        <v/>
      </c>
      <c r="F154">
        <f>IF($Y154="","",INDEX('Per Line'!$G$2:$G$1001,$Y154)&amp;"")</f>
        <v/>
      </c>
      <c r="G154" s="11">
        <f>IF($Y154="","",INDEX('Per Line'!$H$2:$H$1001,$Y154))</f>
        <v/>
      </c>
      <c r="H154">
        <f>IF($Y154="","",INDEX('Per Line'!$K$2:$K$1001,$Y154)&amp;"")</f>
        <v/>
      </c>
      <c r="I154">
        <f>IF($Y154="","",INDEX('Per Line'!$L$2:$L$1001,$Y154)&amp;"")</f>
        <v/>
      </c>
      <c r="J154">
        <f>IF($Y154="","",INDEX('Per Line'!$M$2:$M$1001,$Y154)&amp;"")</f>
        <v/>
      </c>
      <c r="K154">
        <f>IF($Y154="","",INDEX('Per Line'!$Q$2:$Q$1001,$Y154))</f>
        <v/>
      </c>
      <c r="L154" s="7">
        <f>IF($Y154="","",K154*W154/100)</f>
        <v/>
      </c>
      <c r="M154">
        <f>IF($Y154="","",INDEX('Per Line'!$AD$2:$AD$1001,$Y154)&amp;"")</f>
        <v/>
      </c>
      <c r="N154" s="7">
        <f>IF($Y154="","",SUMIFS('Per Line'!$Z$2:$Z$1001,'Per Line'!$E$2:$E$1001,$B154,'Per Line'!$AR$2:$AR$1001,1))</f>
        <v/>
      </c>
      <c r="O154">
        <f>IF($Y154="","",Settings!$C$7)</f>
        <v/>
      </c>
      <c r="P154" s="7">
        <f>IF($Y154="","",SUMIFS('Per Line'!$Z$2:$Z$1001,'Per Line'!$E$2:$E$1001,$B154,'Per Line'!$AQ$2:$AQ$1001,0,'Per Line'!$AR$2:$AR$1001,0))</f>
        <v/>
      </c>
      <c r="Q154" s="7">
        <f>IF($Y154="","",P154*O154)</f>
        <v/>
      </c>
      <c r="R154">
        <f>IF($Y154="","",Settings!$C$6)</f>
        <v/>
      </c>
      <c r="S154" s="7">
        <f>IF($Y154="","",SUMIFS('Per Line'!$Z$2:$Z$1001,'Per Line'!$E$2:$E$1001,$B154,'Per Line'!$AQ$2:$AQ$1001,1,'Per Line'!$AR$2:$AR$1001,0))</f>
        <v/>
      </c>
      <c r="T154" s="7">
        <f>IF($Y154="","",S154*R154)</f>
        <v/>
      </c>
      <c r="U154" s="7">
        <f>IF($Y154="","",T154+Q154)</f>
        <v/>
      </c>
      <c r="V154" s="7">
        <f>IF($Y154="","",W154-U154)</f>
        <v/>
      </c>
      <c r="W154" s="7">
        <f>IF($Y154="","",P154+S154+N154)</f>
        <v/>
      </c>
      <c r="X154" s="7">
        <f>IF($Y154="","",W154-U154-L154)</f>
        <v/>
      </c>
      <c r="Y154" s="13">
        <f>IF(ROWS($Y$2:$Y154)&lt;=MAX('Per Line'!$AP$2:$AP$1001),MATCH(ROWS($Y$2:$Y154),'Per Line'!$AP$2:$AP$1001,0),"")</f>
        <v/>
      </c>
    </row>
    <row r="155">
      <c r="A155" s="12" t="n"/>
      <c r="B155">
        <f>IF($Y155="","",INDEX('Per Line'!$E$2:$E$1001,$Y155)&amp;"")</f>
        <v/>
      </c>
      <c r="C155">
        <f>IF($Y155="","",INDEX('Per Line'!$F$2:$F$1001,$Y155)&amp;"")</f>
        <v/>
      </c>
      <c r="D155">
        <f>IF($Y155="","",INDEX('Per Line'!$A$2:$A$1001,$Y155)&amp;"")</f>
        <v/>
      </c>
      <c r="E155">
        <f>IF($Y155="","",INDEX('Per Line'!$B$2:$B$1001,$Y155))</f>
        <v/>
      </c>
      <c r="F155">
        <f>IF($Y155="","",INDEX('Per Line'!$G$2:$G$1001,$Y155)&amp;"")</f>
        <v/>
      </c>
      <c r="G155" s="11">
        <f>IF($Y155="","",INDEX('Per Line'!$H$2:$H$1001,$Y155))</f>
        <v/>
      </c>
      <c r="H155">
        <f>IF($Y155="","",INDEX('Per Line'!$K$2:$K$1001,$Y155)&amp;"")</f>
        <v/>
      </c>
      <c r="I155">
        <f>IF($Y155="","",INDEX('Per Line'!$L$2:$L$1001,$Y155)&amp;"")</f>
        <v/>
      </c>
      <c r="J155">
        <f>IF($Y155="","",INDEX('Per Line'!$M$2:$M$1001,$Y155)&amp;"")</f>
        <v/>
      </c>
      <c r="K155">
        <f>IF($Y155="","",INDEX('Per Line'!$Q$2:$Q$1001,$Y155))</f>
        <v/>
      </c>
      <c r="L155" s="7">
        <f>IF($Y155="","",K155*W155/100)</f>
        <v/>
      </c>
      <c r="M155">
        <f>IF($Y155="","",INDEX('Per Line'!$AD$2:$AD$1001,$Y155)&amp;"")</f>
        <v/>
      </c>
      <c r="N155" s="7">
        <f>IF($Y155="","",SUMIFS('Per Line'!$Z$2:$Z$1001,'Per Line'!$E$2:$E$1001,$B155,'Per Line'!$AR$2:$AR$1001,1))</f>
        <v/>
      </c>
      <c r="O155">
        <f>IF($Y155="","",Settings!$C$7)</f>
        <v/>
      </c>
      <c r="P155" s="7">
        <f>IF($Y155="","",SUMIFS('Per Line'!$Z$2:$Z$1001,'Per Line'!$E$2:$E$1001,$B155,'Per Line'!$AQ$2:$AQ$1001,0,'Per Line'!$AR$2:$AR$1001,0))</f>
        <v/>
      </c>
      <c r="Q155" s="7">
        <f>IF($Y155="","",P155*O155)</f>
        <v/>
      </c>
      <c r="R155">
        <f>IF($Y155="","",Settings!$C$6)</f>
        <v/>
      </c>
      <c r="S155" s="7">
        <f>IF($Y155="","",SUMIFS('Per Line'!$Z$2:$Z$1001,'Per Line'!$E$2:$E$1001,$B155,'Per Line'!$AQ$2:$AQ$1001,1,'Per Line'!$AR$2:$AR$1001,0))</f>
        <v/>
      </c>
      <c r="T155" s="7">
        <f>IF($Y155="","",S155*R155)</f>
        <v/>
      </c>
      <c r="U155" s="7">
        <f>IF($Y155="","",T155+Q155)</f>
        <v/>
      </c>
      <c r="V155" s="7">
        <f>IF($Y155="","",W155-U155)</f>
        <v/>
      </c>
      <c r="W155" s="7">
        <f>IF($Y155="","",P155+S155+N155)</f>
        <v/>
      </c>
      <c r="X155" s="7">
        <f>IF($Y155="","",W155-U155-L155)</f>
        <v/>
      </c>
      <c r="Y155" s="13">
        <f>IF(ROWS($Y$2:$Y155)&lt;=MAX('Per Line'!$AP$2:$AP$1001),MATCH(ROWS($Y$2:$Y155),'Per Line'!$AP$2:$AP$1001,0),"")</f>
        <v/>
      </c>
    </row>
    <row r="156">
      <c r="A156" s="12" t="n"/>
      <c r="B156">
        <f>IF($Y156="","",INDEX('Per Line'!$E$2:$E$1001,$Y156)&amp;"")</f>
        <v/>
      </c>
      <c r="C156">
        <f>IF($Y156="","",INDEX('Per Line'!$F$2:$F$1001,$Y156)&amp;"")</f>
        <v/>
      </c>
      <c r="D156">
        <f>IF($Y156="","",INDEX('Per Line'!$A$2:$A$1001,$Y156)&amp;"")</f>
        <v/>
      </c>
      <c r="E156">
        <f>IF($Y156="","",INDEX('Per Line'!$B$2:$B$1001,$Y156))</f>
        <v/>
      </c>
      <c r="F156">
        <f>IF($Y156="","",INDEX('Per Line'!$G$2:$G$1001,$Y156)&amp;"")</f>
        <v/>
      </c>
      <c r="G156" s="11">
        <f>IF($Y156="","",INDEX('Per Line'!$H$2:$H$1001,$Y156))</f>
        <v/>
      </c>
      <c r="H156">
        <f>IF($Y156="","",INDEX('Per Line'!$K$2:$K$1001,$Y156)&amp;"")</f>
        <v/>
      </c>
      <c r="I156">
        <f>IF($Y156="","",INDEX('Per Line'!$L$2:$L$1001,$Y156)&amp;"")</f>
        <v/>
      </c>
      <c r="J156">
        <f>IF($Y156="","",INDEX('Per Line'!$M$2:$M$1001,$Y156)&amp;"")</f>
        <v/>
      </c>
      <c r="K156">
        <f>IF($Y156="","",INDEX('Per Line'!$Q$2:$Q$1001,$Y156))</f>
        <v/>
      </c>
      <c r="L156" s="7">
        <f>IF($Y156="","",K156*W156/100)</f>
        <v/>
      </c>
      <c r="M156">
        <f>IF($Y156="","",INDEX('Per Line'!$AD$2:$AD$1001,$Y156)&amp;"")</f>
        <v/>
      </c>
      <c r="N156" s="7">
        <f>IF($Y156="","",SUMIFS('Per Line'!$Z$2:$Z$1001,'Per Line'!$E$2:$E$1001,$B156,'Per Line'!$AR$2:$AR$1001,1))</f>
        <v/>
      </c>
      <c r="O156">
        <f>IF($Y156="","",Settings!$C$7)</f>
        <v/>
      </c>
      <c r="P156" s="7">
        <f>IF($Y156="","",SUMIFS('Per Line'!$Z$2:$Z$1001,'Per Line'!$E$2:$E$1001,$B156,'Per Line'!$AQ$2:$AQ$1001,0,'Per Line'!$AR$2:$AR$1001,0))</f>
        <v/>
      </c>
      <c r="Q156" s="7">
        <f>IF($Y156="","",P156*O156)</f>
        <v/>
      </c>
      <c r="R156">
        <f>IF($Y156="","",Settings!$C$6)</f>
        <v/>
      </c>
      <c r="S156" s="7">
        <f>IF($Y156="","",SUMIFS('Per Line'!$Z$2:$Z$1001,'Per Line'!$E$2:$E$1001,$B156,'Per Line'!$AQ$2:$AQ$1001,1,'Per Line'!$AR$2:$AR$1001,0))</f>
        <v/>
      </c>
      <c r="T156" s="7">
        <f>IF($Y156="","",S156*R156)</f>
        <v/>
      </c>
      <c r="U156" s="7">
        <f>IF($Y156="","",T156+Q156)</f>
        <v/>
      </c>
      <c r="V156" s="7">
        <f>IF($Y156="","",W156-U156)</f>
        <v/>
      </c>
      <c r="W156" s="7">
        <f>IF($Y156="","",P156+S156+N156)</f>
        <v/>
      </c>
      <c r="X156" s="7">
        <f>IF($Y156="","",W156-U156-L156)</f>
        <v/>
      </c>
      <c r="Y156" s="13">
        <f>IF(ROWS($Y$2:$Y156)&lt;=MAX('Per Line'!$AP$2:$AP$1001),MATCH(ROWS($Y$2:$Y156),'Per Line'!$AP$2:$AP$1001,0),"")</f>
        <v/>
      </c>
    </row>
    <row r="157">
      <c r="A157" s="12" t="n"/>
      <c r="B157">
        <f>IF($Y157="","",INDEX('Per Line'!$E$2:$E$1001,$Y157)&amp;"")</f>
        <v/>
      </c>
      <c r="C157">
        <f>IF($Y157="","",INDEX('Per Line'!$F$2:$F$1001,$Y157)&amp;"")</f>
        <v/>
      </c>
      <c r="D157">
        <f>IF($Y157="","",INDEX('Per Line'!$A$2:$A$1001,$Y157)&amp;"")</f>
        <v/>
      </c>
      <c r="E157">
        <f>IF($Y157="","",INDEX('Per Line'!$B$2:$B$1001,$Y157))</f>
        <v/>
      </c>
      <c r="F157">
        <f>IF($Y157="","",INDEX('Per Line'!$G$2:$G$1001,$Y157)&amp;"")</f>
        <v/>
      </c>
      <c r="G157" s="11">
        <f>IF($Y157="","",INDEX('Per Line'!$H$2:$H$1001,$Y157))</f>
        <v/>
      </c>
      <c r="H157">
        <f>IF($Y157="","",INDEX('Per Line'!$K$2:$K$1001,$Y157)&amp;"")</f>
        <v/>
      </c>
      <c r="I157">
        <f>IF($Y157="","",INDEX('Per Line'!$L$2:$L$1001,$Y157)&amp;"")</f>
        <v/>
      </c>
      <c r="J157">
        <f>IF($Y157="","",INDEX('Per Line'!$M$2:$M$1001,$Y157)&amp;"")</f>
        <v/>
      </c>
      <c r="K157">
        <f>IF($Y157="","",INDEX('Per Line'!$Q$2:$Q$1001,$Y157))</f>
        <v/>
      </c>
      <c r="L157" s="7">
        <f>IF($Y157="","",K157*W157/100)</f>
        <v/>
      </c>
      <c r="M157">
        <f>IF($Y157="","",INDEX('Per Line'!$AD$2:$AD$1001,$Y157)&amp;"")</f>
        <v/>
      </c>
      <c r="N157" s="7">
        <f>IF($Y157="","",SUMIFS('Per Line'!$Z$2:$Z$1001,'Per Line'!$E$2:$E$1001,$B157,'Per Line'!$AR$2:$AR$1001,1))</f>
        <v/>
      </c>
      <c r="O157">
        <f>IF($Y157="","",Settings!$C$7)</f>
        <v/>
      </c>
      <c r="P157" s="7">
        <f>IF($Y157="","",SUMIFS('Per Line'!$Z$2:$Z$1001,'Per Line'!$E$2:$E$1001,$B157,'Per Line'!$AQ$2:$AQ$1001,0,'Per Line'!$AR$2:$AR$1001,0))</f>
        <v/>
      </c>
      <c r="Q157" s="7">
        <f>IF($Y157="","",P157*O157)</f>
        <v/>
      </c>
      <c r="R157">
        <f>IF($Y157="","",Settings!$C$6)</f>
        <v/>
      </c>
      <c r="S157" s="7">
        <f>IF($Y157="","",SUMIFS('Per Line'!$Z$2:$Z$1001,'Per Line'!$E$2:$E$1001,$B157,'Per Line'!$AQ$2:$AQ$1001,1,'Per Line'!$AR$2:$AR$1001,0))</f>
        <v/>
      </c>
      <c r="T157" s="7">
        <f>IF($Y157="","",S157*R157)</f>
        <v/>
      </c>
      <c r="U157" s="7">
        <f>IF($Y157="","",T157+Q157)</f>
        <v/>
      </c>
      <c r="V157" s="7">
        <f>IF($Y157="","",W157-U157)</f>
        <v/>
      </c>
      <c r="W157" s="7">
        <f>IF($Y157="","",P157+S157+N157)</f>
        <v/>
      </c>
      <c r="X157" s="7">
        <f>IF($Y157="","",W157-U157-L157)</f>
        <v/>
      </c>
      <c r="Y157" s="13">
        <f>IF(ROWS($Y$2:$Y157)&lt;=MAX('Per Line'!$AP$2:$AP$1001),MATCH(ROWS($Y$2:$Y157),'Per Line'!$AP$2:$AP$1001,0),"")</f>
        <v/>
      </c>
    </row>
    <row r="158">
      <c r="A158" s="12" t="n"/>
      <c r="B158">
        <f>IF($Y158="","",INDEX('Per Line'!$E$2:$E$1001,$Y158)&amp;"")</f>
        <v/>
      </c>
      <c r="C158">
        <f>IF($Y158="","",INDEX('Per Line'!$F$2:$F$1001,$Y158)&amp;"")</f>
        <v/>
      </c>
      <c r="D158">
        <f>IF($Y158="","",INDEX('Per Line'!$A$2:$A$1001,$Y158)&amp;"")</f>
        <v/>
      </c>
      <c r="E158">
        <f>IF($Y158="","",INDEX('Per Line'!$B$2:$B$1001,$Y158))</f>
        <v/>
      </c>
      <c r="F158">
        <f>IF($Y158="","",INDEX('Per Line'!$G$2:$G$1001,$Y158)&amp;"")</f>
        <v/>
      </c>
      <c r="G158" s="11">
        <f>IF($Y158="","",INDEX('Per Line'!$H$2:$H$1001,$Y158))</f>
        <v/>
      </c>
      <c r="H158">
        <f>IF($Y158="","",INDEX('Per Line'!$K$2:$K$1001,$Y158)&amp;"")</f>
        <v/>
      </c>
      <c r="I158">
        <f>IF($Y158="","",INDEX('Per Line'!$L$2:$L$1001,$Y158)&amp;"")</f>
        <v/>
      </c>
      <c r="J158">
        <f>IF($Y158="","",INDEX('Per Line'!$M$2:$M$1001,$Y158)&amp;"")</f>
        <v/>
      </c>
      <c r="K158">
        <f>IF($Y158="","",INDEX('Per Line'!$Q$2:$Q$1001,$Y158))</f>
        <v/>
      </c>
      <c r="L158" s="7">
        <f>IF($Y158="","",K158*W158/100)</f>
        <v/>
      </c>
      <c r="M158">
        <f>IF($Y158="","",INDEX('Per Line'!$AD$2:$AD$1001,$Y158)&amp;"")</f>
        <v/>
      </c>
      <c r="N158" s="7">
        <f>IF($Y158="","",SUMIFS('Per Line'!$Z$2:$Z$1001,'Per Line'!$E$2:$E$1001,$B158,'Per Line'!$AR$2:$AR$1001,1))</f>
        <v/>
      </c>
      <c r="O158">
        <f>IF($Y158="","",Settings!$C$7)</f>
        <v/>
      </c>
      <c r="P158" s="7">
        <f>IF($Y158="","",SUMIFS('Per Line'!$Z$2:$Z$1001,'Per Line'!$E$2:$E$1001,$B158,'Per Line'!$AQ$2:$AQ$1001,0,'Per Line'!$AR$2:$AR$1001,0))</f>
        <v/>
      </c>
      <c r="Q158" s="7">
        <f>IF($Y158="","",P158*O158)</f>
        <v/>
      </c>
      <c r="R158">
        <f>IF($Y158="","",Settings!$C$6)</f>
        <v/>
      </c>
      <c r="S158" s="7">
        <f>IF($Y158="","",SUMIFS('Per Line'!$Z$2:$Z$1001,'Per Line'!$E$2:$E$1001,$B158,'Per Line'!$AQ$2:$AQ$1001,1,'Per Line'!$AR$2:$AR$1001,0))</f>
        <v/>
      </c>
      <c r="T158" s="7">
        <f>IF($Y158="","",S158*R158)</f>
        <v/>
      </c>
      <c r="U158" s="7">
        <f>IF($Y158="","",T158+Q158)</f>
        <v/>
      </c>
      <c r="V158" s="7">
        <f>IF($Y158="","",W158-U158)</f>
        <v/>
      </c>
      <c r="W158" s="7">
        <f>IF($Y158="","",P158+S158+N158)</f>
        <v/>
      </c>
      <c r="X158" s="7">
        <f>IF($Y158="","",W158-U158-L158)</f>
        <v/>
      </c>
      <c r="Y158" s="13">
        <f>IF(ROWS($Y$2:$Y158)&lt;=MAX('Per Line'!$AP$2:$AP$1001),MATCH(ROWS($Y$2:$Y158),'Per Line'!$AP$2:$AP$1001,0),"")</f>
        <v/>
      </c>
    </row>
    <row r="159">
      <c r="A159" s="12" t="n"/>
      <c r="B159">
        <f>IF($Y159="","",INDEX('Per Line'!$E$2:$E$1001,$Y159)&amp;"")</f>
        <v/>
      </c>
      <c r="C159">
        <f>IF($Y159="","",INDEX('Per Line'!$F$2:$F$1001,$Y159)&amp;"")</f>
        <v/>
      </c>
      <c r="D159">
        <f>IF($Y159="","",INDEX('Per Line'!$A$2:$A$1001,$Y159)&amp;"")</f>
        <v/>
      </c>
      <c r="E159">
        <f>IF($Y159="","",INDEX('Per Line'!$B$2:$B$1001,$Y159))</f>
        <v/>
      </c>
      <c r="F159">
        <f>IF($Y159="","",INDEX('Per Line'!$G$2:$G$1001,$Y159)&amp;"")</f>
        <v/>
      </c>
      <c r="G159" s="11">
        <f>IF($Y159="","",INDEX('Per Line'!$H$2:$H$1001,$Y159))</f>
        <v/>
      </c>
      <c r="H159">
        <f>IF($Y159="","",INDEX('Per Line'!$K$2:$K$1001,$Y159)&amp;"")</f>
        <v/>
      </c>
      <c r="I159">
        <f>IF($Y159="","",INDEX('Per Line'!$L$2:$L$1001,$Y159)&amp;"")</f>
        <v/>
      </c>
      <c r="J159">
        <f>IF($Y159="","",INDEX('Per Line'!$M$2:$M$1001,$Y159)&amp;"")</f>
        <v/>
      </c>
      <c r="K159">
        <f>IF($Y159="","",INDEX('Per Line'!$Q$2:$Q$1001,$Y159))</f>
        <v/>
      </c>
      <c r="L159" s="7">
        <f>IF($Y159="","",K159*W159/100)</f>
        <v/>
      </c>
      <c r="M159">
        <f>IF($Y159="","",INDEX('Per Line'!$AD$2:$AD$1001,$Y159)&amp;"")</f>
        <v/>
      </c>
      <c r="N159" s="7">
        <f>IF($Y159="","",SUMIFS('Per Line'!$Z$2:$Z$1001,'Per Line'!$E$2:$E$1001,$B159,'Per Line'!$AR$2:$AR$1001,1))</f>
        <v/>
      </c>
      <c r="O159">
        <f>IF($Y159="","",Settings!$C$7)</f>
        <v/>
      </c>
      <c r="P159" s="7">
        <f>IF($Y159="","",SUMIFS('Per Line'!$Z$2:$Z$1001,'Per Line'!$E$2:$E$1001,$B159,'Per Line'!$AQ$2:$AQ$1001,0,'Per Line'!$AR$2:$AR$1001,0))</f>
        <v/>
      </c>
      <c r="Q159" s="7">
        <f>IF($Y159="","",P159*O159)</f>
        <v/>
      </c>
      <c r="R159">
        <f>IF($Y159="","",Settings!$C$6)</f>
        <v/>
      </c>
      <c r="S159" s="7">
        <f>IF($Y159="","",SUMIFS('Per Line'!$Z$2:$Z$1001,'Per Line'!$E$2:$E$1001,$B159,'Per Line'!$AQ$2:$AQ$1001,1,'Per Line'!$AR$2:$AR$1001,0))</f>
        <v/>
      </c>
      <c r="T159" s="7">
        <f>IF($Y159="","",S159*R159)</f>
        <v/>
      </c>
      <c r="U159" s="7">
        <f>IF($Y159="","",T159+Q159)</f>
        <v/>
      </c>
      <c r="V159" s="7">
        <f>IF($Y159="","",W159-U159)</f>
        <v/>
      </c>
      <c r="W159" s="7">
        <f>IF($Y159="","",P159+S159+N159)</f>
        <v/>
      </c>
      <c r="X159" s="7">
        <f>IF($Y159="","",W159-U159-L159)</f>
        <v/>
      </c>
      <c r="Y159" s="13">
        <f>IF(ROWS($Y$2:$Y159)&lt;=MAX('Per Line'!$AP$2:$AP$1001),MATCH(ROWS($Y$2:$Y159),'Per Line'!$AP$2:$AP$1001,0),"")</f>
        <v/>
      </c>
    </row>
    <row r="160">
      <c r="A160" s="12" t="n"/>
      <c r="B160">
        <f>IF($Y160="","",INDEX('Per Line'!$E$2:$E$1001,$Y160)&amp;"")</f>
        <v/>
      </c>
      <c r="C160">
        <f>IF($Y160="","",INDEX('Per Line'!$F$2:$F$1001,$Y160)&amp;"")</f>
        <v/>
      </c>
      <c r="D160">
        <f>IF($Y160="","",INDEX('Per Line'!$A$2:$A$1001,$Y160)&amp;"")</f>
        <v/>
      </c>
      <c r="E160">
        <f>IF($Y160="","",INDEX('Per Line'!$B$2:$B$1001,$Y160))</f>
        <v/>
      </c>
      <c r="F160">
        <f>IF($Y160="","",INDEX('Per Line'!$G$2:$G$1001,$Y160)&amp;"")</f>
        <v/>
      </c>
      <c r="G160" s="11">
        <f>IF($Y160="","",INDEX('Per Line'!$H$2:$H$1001,$Y160))</f>
        <v/>
      </c>
      <c r="H160">
        <f>IF($Y160="","",INDEX('Per Line'!$K$2:$K$1001,$Y160)&amp;"")</f>
        <v/>
      </c>
      <c r="I160">
        <f>IF($Y160="","",INDEX('Per Line'!$L$2:$L$1001,$Y160)&amp;"")</f>
        <v/>
      </c>
      <c r="J160">
        <f>IF($Y160="","",INDEX('Per Line'!$M$2:$M$1001,$Y160)&amp;"")</f>
        <v/>
      </c>
      <c r="K160">
        <f>IF($Y160="","",INDEX('Per Line'!$Q$2:$Q$1001,$Y160))</f>
        <v/>
      </c>
      <c r="L160" s="7">
        <f>IF($Y160="","",K160*W160/100)</f>
        <v/>
      </c>
      <c r="M160">
        <f>IF($Y160="","",INDEX('Per Line'!$AD$2:$AD$1001,$Y160)&amp;"")</f>
        <v/>
      </c>
      <c r="N160" s="7">
        <f>IF($Y160="","",SUMIFS('Per Line'!$Z$2:$Z$1001,'Per Line'!$E$2:$E$1001,$B160,'Per Line'!$AR$2:$AR$1001,1))</f>
        <v/>
      </c>
      <c r="O160">
        <f>IF($Y160="","",Settings!$C$7)</f>
        <v/>
      </c>
      <c r="P160" s="7">
        <f>IF($Y160="","",SUMIFS('Per Line'!$Z$2:$Z$1001,'Per Line'!$E$2:$E$1001,$B160,'Per Line'!$AQ$2:$AQ$1001,0,'Per Line'!$AR$2:$AR$1001,0))</f>
        <v/>
      </c>
      <c r="Q160" s="7">
        <f>IF($Y160="","",P160*O160)</f>
        <v/>
      </c>
      <c r="R160">
        <f>IF($Y160="","",Settings!$C$6)</f>
        <v/>
      </c>
      <c r="S160" s="7">
        <f>IF($Y160="","",SUMIFS('Per Line'!$Z$2:$Z$1001,'Per Line'!$E$2:$E$1001,$B160,'Per Line'!$AQ$2:$AQ$1001,1,'Per Line'!$AR$2:$AR$1001,0))</f>
        <v/>
      </c>
      <c r="T160" s="7">
        <f>IF($Y160="","",S160*R160)</f>
        <v/>
      </c>
      <c r="U160" s="7">
        <f>IF($Y160="","",T160+Q160)</f>
        <v/>
      </c>
      <c r="V160" s="7">
        <f>IF($Y160="","",W160-U160)</f>
        <v/>
      </c>
      <c r="W160" s="7">
        <f>IF($Y160="","",P160+S160+N160)</f>
        <v/>
      </c>
      <c r="X160" s="7">
        <f>IF($Y160="","",W160-U160-L160)</f>
        <v/>
      </c>
      <c r="Y160" s="13">
        <f>IF(ROWS($Y$2:$Y160)&lt;=MAX('Per Line'!$AP$2:$AP$1001),MATCH(ROWS($Y$2:$Y160),'Per Line'!$AP$2:$AP$1001,0),"")</f>
        <v/>
      </c>
    </row>
    <row r="161">
      <c r="A161" s="12" t="n"/>
      <c r="B161">
        <f>IF($Y161="","",INDEX('Per Line'!$E$2:$E$1001,$Y161)&amp;"")</f>
        <v/>
      </c>
      <c r="C161">
        <f>IF($Y161="","",INDEX('Per Line'!$F$2:$F$1001,$Y161)&amp;"")</f>
        <v/>
      </c>
      <c r="D161">
        <f>IF($Y161="","",INDEX('Per Line'!$A$2:$A$1001,$Y161)&amp;"")</f>
        <v/>
      </c>
      <c r="E161">
        <f>IF($Y161="","",INDEX('Per Line'!$B$2:$B$1001,$Y161))</f>
        <v/>
      </c>
      <c r="F161">
        <f>IF($Y161="","",INDEX('Per Line'!$G$2:$G$1001,$Y161)&amp;"")</f>
        <v/>
      </c>
      <c r="G161" s="11">
        <f>IF($Y161="","",INDEX('Per Line'!$H$2:$H$1001,$Y161))</f>
        <v/>
      </c>
      <c r="H161">
        <f>IF($Y161="","",INDEX('Per Line'!$K$2:$K$1001,$Y161)&amp;"")</f>
        <v/>
      </c>
      <c r="I161">
        <f>IF($Y161="","",INDEX('Per Line'!$L$2:$L$1001,$Y161)&amp;"")</f>
        <v/>
      </c>
      <c r="J161">
        <f>IF($Y161="","",INDEX('Per Line'!$M$2:$M$1001,$Y161)&amp;"")</f>
        <v/>
      </c>
      <c r="K161">
        <f>IF($Y161="","",INDEX('Per Line'!$Q$2:$Q$1001,$Y161))</f>
        <v/>
      </c>
      <c r="L161" s="7">
        <f>IF($Y161="","",K161*W161/100)</f>
        <v/>
      </c>
      <c r="M161">
        <f>IF($Y161="","",INDEX('Per Line'!$AD$2:$AD$1001,$Y161)&amp;"")</f>
        <v/>
      </c>
      <c r="N161" s="7">
        <f>IF($Y161="","",SUMIFS('Per Line'!$Z$2:$Z$1001,'Per Line'!$E$2:$E$1001,$B161,'Per Line'!$AR$2:$AR$1001,1))</f>
        <v/>
      </c>
      <c r="O161">
        <f>IF($Y161="","",Settings!$C$7)</f>
        <v/>
      </c>
      <c r="P161" s="7">
        <f>IF($Y161="","",SUMIFS('Per Line'!$Z$2:$Z$1001,'Per Line'!$E$2:$E$1001,$B161,'Per Line'!$AQ$2:$AQ$1001,0,'Per Line'!$AR$2:$AR$1001,0))</f>
        <v/>
      </c>
      <c r="Q161" s="7">
        <f>IF($Y161="","",P161*O161)</f>
        <v/>
      </c>
      <c r="R161">
        <f>IF($Y161="","",Settings!$C$6)</f>
        <v/>
      </c>
      <c r="S161" s="7">
        <f>IF($Y161="","",SUMIFS('Per Line'!$Z$2:$Z$1001,'Per Line'!$E$2:$E$1001,$B161,'Per Line'!$AQ$2:$AQ$1001,1,'Per Line'!$AR$2:$AR$1001,0))</f>
        <v/>
      </c>
      <c r="T161" s="7">
        <f>IF($Y161="","",S161*R161)</f>
        <v/>
      </c>
      <c r="U161" s="7">
        <f>IF($Y161="","",T161+Q161)</f>
        <v/>
      </c>
      <c r="V161" s="7">
        <f>IF($Y161="","",W161-U161)</f>
        <v/>
      </c>
      <c r="W161" s="7">
        <f>IF($Y161="","",P161+S161+N161)</f>
        <v/>
      </c>
      <c r="X161" s="7">
        <f>IF($Y161="","",W161-U161-L161)</f>
        <v/>
      </c>
      <c r="Y161" s="13">
        <f>IF(ROWS($Y$2:$Y161)&lt;=MAX('Per Line'!$AP$2:$AP$1001),MATCH(ROWS($Y$2:$Y161),'Per Line'!$AP$2:$AP$1001,0),"")</f>
        <v/>
      </c>
    </row>
    <row r="162">
      <c r="A162" s="12" t="n"/>
      <c r="B162">
        <f>IF($Y162="","",INDEX('Per Line'!$E$2:$E$1001,$Y162)&amp;"")</f>
        <v/>
      </c>
      <c r="C162">
        <f>IF($Y162="","",INDEX('Per Line'!$F$2:$F$1001,$Y162)&amp;"")</f>
        <v/>
      </c>
      <c r="D162">
        <f>IF($Y162="","",INDEX('Per Line'!$A$2:$A$1001,$Y162)&amp;"")</f>
        <v/>
      </c>
      <c r="E162">
        <f>IF($Y162="","",INDEX('Per Line'!$B$2:$B$1001,$Y162))</f>
        <v/>
      </c>
      <c r="F162">
        <f>IF($Y162="","",INDEX('Per Line'!$G$2:$G$1001,$Y162)&amp;"")</f>
        <v/>
      </c>
      <c r="G162" s="11">
        <f>IF($Y162="","",INDEX('Per Line'!$H$2:$H$1001,$Y162))</f>
        <v/>
      </c>
      <c r="H162">
        <f>IF($Y162="","",INDEX('Per Line'!$K$2:$K$1001,$Y162)&amp;"")</f>
        <v/>
      </c>
      <c r="I162">
        <f>IF($Y162="","",INDEX('Per Line'!$L$2:$L$1001,$Y162)&amp;"")</f>
        <v/>
      </c>
      <c r="J162">
        <f>IF($Y162="","",INDEX('Per Line'!$M$2:$M$1001,$Y162)&amp;"")</f>
        <v/>
      </c>
      <c r="K162">
        <f>IF($Y162="","",INDEX('Per Line'!$Q$2:$Q$1001,$Y162))</f>
        <v/>
      </c>
      <c r="L162" s="7">
        <f>IF($Y162="","",K162*W162/100)</f>
        <v/>
      </c>
      <c r="M162">
        <f>IF($Y162="","",INDEX('Per Line'!$AD$2:$AD$1001,$Y162)&amp;"")</f>
        <v/>
      </c>
      <c r="N162" s="7">
        <f>IF($Y162="","",SUMIFS('Per Line'!$Z$2:$Z$1001,'Per Line'!$E$2:$E$1001,$B162,'Per Line'!$AR$2:$AR$1001,1))</f>
        <v/>
      </c>
      <c r="O162">
        <f>IF($Y162="","",Settings!$C$7)</f>
        <v/>
      </c>
      <c r="P162" s="7">
        <f>IF($Y162="","",SUMIFS('Per Line'!$Z$2:$Z$1001,'Per Line'!$E$2:$E$1001,$B162,'Per Line'!$AQ$2:$AQ$1001,0,'Per Line'!$AR$2:$AR$1001,0))</f>
        <v/>
      </c>
      <c r="Q162" s="7">
        <f>IF($Y162="","",P162*O162)</f>
        <v/>
      </c>
      <c r="R162">
        <f>IF($Y162="","",Settings!$C$6)</f>
        <v/>
      </c>
      <c r="S162" s="7">
        <f>IF($Y162="","",SUMIFS('Per Line'!$Z$2:$Z$1001,'Per Line'!$E$2:$E$1001,$B162,'Per Line'!$AQ$2:$AQ$1001,1,'Per Line'!$AR$2:$AR$1001,0))</f>
        <v/>
      </c>
      <c r="T162" s="7">
        <f>IF($Y162="","",S162*R162)</f>
        <v/>
      </c>
      <c r="U162" s="7">
        <f>IF($Y162="","",T162+Q162)</f>
        <v/>
      </c>
      <c r="V162" s="7">
        <f>IF($Y162="","",W162-U162)</f>
        <v/>
      </c>
      <c r="W162" s="7">
        <f>IF($Y162="","",P162+S162+N162)</f>
        <v/>
      </c>
      <c r="X162" s="7">
        <f>IF($Y162="","",W162-U162-L162)</f>
        <v/>
      </c>
      <c r="Y162" s="13">
        <f>IF(ROWS($Y$2:$Y162)&lt;=MAX('Per Line'!$AP$2:$AP$1001),MATCH(ROWS($Y$2:$Y162),'Per Line'!$AP$2:$AP$1001,0),"")</f>
        <v/>
      </c>
    </row>
    <row r="163">
      <c r="A163" s="12" t="n"/>
      <c r="B163">
        <f>IF($Y163="","",INDEX('Per Line'!$E$2:$E$1001,$Y163)&amp;"")</f>
        <v/>
      </c>
      <c r="C163">
        <f>IF($Y163="","",INDEX('Per Line'!$F$2:$F$1001,$Y163)&amp;"")</f>
        <v/>
      </c>
      <c r="D163">
        <f>IF($Y163="","",INDEX('Per Line'!$A$2:$A$1001,$Y163)&amp;"")</f>
        <v/>
      </c>
      <c r="E163">
        <f>IF($Y163="","",INDEX('Per Line'!$B$2:$B$1001,$Y163))</f>
        <v/>
      </c>
      <c r="F163">
        <f>IF($Y163="","",INDEX('Per Line'!$G$2:$G$1001,$Y163)&amp;"")</f>
        <v/>
      </c>
      <c r="G163" s="11">
        <f>IF($Y163="","",INDEX('Per Line'!$H$2:$H$1001,$Y163))</f>
        <v/>
      </c>
      <c r="H163">
        <f>IF($Y163="","",INDEX('Per Line'!$K$2:$K$1001,$Y163)&amp;"")</f>
        <v/>
      </c>
      <c r="I163">
        <f>IF($Y163="","",INDEX('Per Line'!$L$2:$L$1001,$Y163)&amp;"")</f>
        <v/>
      </c>
      <c r="J163">
        <f>IF($Y163="","",INDEX('Per Line'!$M$2:$M$1001,$Y163)&amp;"")</f>
        <v/>
      </c>
      <c r="K163">
        <f>IF($Y163="","",INDEX('Per Line'!$Q$2:$Q$1001,$Y163))</f>
        <v/>
      </c>
      <c r="L163" s="7">
        <f>IF($Y163="","",K163*W163/100)</f>
        <v/>
      </c>
      <c r="M163">
        <f>IF($Y163="","",INDEX('Per Line'!$AD$2:$AD$1001,$Y163)&amp;"")</f>
        <v/>
      </c>
      <c r="N163" s="7">
        <f>IF($Y163="","",SUMIFS('Per Line'!$Z$2:$Z$1001,'Per Line'!$E$2:$E$1001,$B163,'Per Line'!$AR$2:$AR$1001,1))</f>
        <v/>
      </c>
      <c r="O163">
        <f>IF($Y163="","",Settings!$C$7)</f>
        <v/>
      </c>
      <c r="P163" s="7">
        <f>IF($Y163="","",SUMIFS('Per Line'!$Z$2:$Z$1001,'Per Line'!$E$2:$E$1001,$B163,'Per Line'!$AQ$2:$AQ$1001,0,'Per Line'!$AR$2:$AR$1001,0))</f>
        <v/>
      </c>
      <c r="Q163" s="7">
        <f>IF($Y163="","",P163*O163)</f>
        <v/>
      </c>
      <c r="R163">
        <f>IF($Y163="","",Settings!$C$6)</f>
        <v/>
      </c>
      <c r="S163" s="7">
        <f>IF($Y163="","",SUMIFS('Per Line'!$Z$2:$Z$1001,'Per Line'!$E$2:$E$1001,$B163,'Per Line'!$AQ$2:$AQ$1001,1,'Per Line'!$AR$2:$AR$1001,0))</f>
        <v/>
      </c>
      <c r="T163" s="7">
        <f>IF($Y163="","",S163*R163)</f>
        <v/>
      </c>
      <c r="U163" s="7">
        <f>IF($Y163="","",T163+Q163)</f>
        <v/>
      </c>
      <c r="V163" s="7">
        <f>IF($Y163="","",W163-U163)</f>
        <v/>
      </c>
      <c r="W163" s="7">
        <f>IF($Y163="","",P163+S163+N163)</f>
        <v/>
      </c>
      <c r="X163" s="7">
        <f>IF($Y163="","",W163-U163-L163)</f>
        <v/>
      </c>
      <c r="Y163" s="13">
        <f>IF(ROWS($Y$2:$Y163)&lt;=MAX('Per Line'!$AP$2:$AP$1001),MATCH(ROWS($Y$2:$Y163),'Per Line'!$AP$2:$AP$1001,0),"")</f>
        <v/>
      </c>
    </row>
    <row r="164">
      <c r="A164" s="12" t="n"/>
      <c r="B164">
        <f>IF($Y164="","",INDEX('Per Line'!$E$2:$E$1001,$Y164)&amp;"")</f>
        <v/>
      </c>
      <c r="C164">
        <f>IF($Y164="","",INDEX('Per Line'!$F$2:$F$1001,$Y164)&amp;"")</f>
        <v/>
      </c>
      <c r="D164">
        <f>IF($Y164="","",INDEX('Per Line'!$A$2:$A$1001,$Y164)&amp;"")</f>
        <v/>
      </c>
      <c r="E164">
        <f>IF($Y164="","",INDEX('Per Line'!$B$2:$B$1001,$Y164))</f>
        <v/>
      </c>
      <c r="F164">
        <f>IF($Y164="","",INDEX('Per Line'!$G$2:$G$1001,$Y164)&amp;"")</f>
        <v/>
      </c>
      <c r="G164" s="11">
        <f>IF($Y164="","",INDEX('Per Line'!$H$2:$H$1001,$Y164))</f>
        <v/>
      </c>
      <c r="H164">
        <f>IF($Y164="","",INDEX('Per Line'!$K$2:$K$1001,$Y164)&amp;"")</f>
        <v/>
      </c>
      <c r="I164">
        <f>IF($Y164="","",INDEX('Per Line'!$L$2:$L$1001,$Y164)&amp;"")</f>
        <v/>
      </c>
      <c r="J164">
        <f>IF($Y164="","",INDEX('Per Line'!$M$2:$M$1001,$Y164)&amp;"")</f>
        <v/>
      </c>
      <c r="K164">
        <f>IF($Y164="","",INDEX('Per Line'!$Q$2:$Q$1001,$Y164))</f>
        <v/>
      </c>
      <c r="L164" s="7">
        <f>IF($Y164="","",K164*W164/100)</f>
        <v/>
      </c>
      <c r="M164">
        <f>IF($Y164="","",INDEX('Per Line'!$AD$2:$AD$1001,$Y164)&amp;"")</f>
        <v/>
      </c>
      <c r="N164" s="7">
        <f>IF($Y164="","",SUMIFS('Per Line'!$Z$2:$Z$1001,'Per Line'!$E$2:$E$1001,$B164,'Per Line'!$AR$2:$AR$1001,1))</f>
        <v/>
      </c>
      <c r="O164">
        <f>IF($Y164="","",Settings!$C$7)</f>
        <v/>
      </c>
      <c r="P164" s="7">
        <f>IF($Y164="","",SUMIFS('Per Line'!$Z$2:$Z$1001,'Per Line'!$E$2:$E$1001,$B164,'Per Line'!$AQ$2:$AQ$1001,0,'Per Line'!$AR$2:$AR$1001,0))</f>
        <v/>
      </c>
      <c r="Q164" s="7">
        <f>IF($Y164="","",P164*O164)</f>
        <v/>
      </c>
      <c r="R164">
        <f>IF($Y164="","",Settings!$C$6)</f>
        <v/>
      </c>
      <c r="S164" s="7">
        <f>IF($Y164="","",SUMIFS('Per Line'!$Z$2:$Z$1001,'Per Line'!$E$2:$E$1001,$B164,'Per Line'!$AQ$2:$AQ$1001,1,'Per Line'!$AR$2:$AR$1001,0))</f>
        <v/>
      </c>
      <c r="T164" s="7">
        <f>IF($Y164="","",S164*R164)</f>
        <v/>
      </c>
      <c r="U164" s="7">
        <f>IF($Y164="","",T164+Q164)</f>
        <v/>
      </c>
      <c r="V164" s="7">
        <f>IF($Y164="","",W164-U164)</f>
        <v/>
      </c>
      <c r="W164" s="7">
        <f>IF($Y164="","",P164+S164+N164)</f>
        <v/>
      </c>
      <c r="X164" s="7">
        <f>IF($Y164="","",W164-U164-L164)</f>
        <v/>
      </c>
      <c r="Y164" s="13">
        <f>IF(ROWS($Y$2:$Y164)&lt;=MAX('Per Line'!$AP$2:$AP$1001),MATCH(ROWS($Y$2:$Y164),'Per Line'!$AP$2:$AP$1001,0),"")</f>
        <v/>
      </c>
    </row>
    <row r="165">
      <c r="A165" s="12" t="n"/>
      <c r="B165">
        <f>IF($Y165="","",INDEX('Per Line'!$E$2:$E$1001,$Y165)&amp;"")</f>
        <v/>
      </c>
      <c r="C165">
        <f>IF($Y165="","",INDEX('Per Line'!$F$2:$F$1001,$Y165)&amp;"")</f>
        <v/>
      </c>
      <c r="D165">
        <f>IF($Y165="","",INDEX('Per Line'!$A$2:$A$1001,$Y165)&amp;"")</f>
        <v/>
      </c>
      <c r="E165">
        <f>IF($Y165="","",INDEX('Per Line'!$B$2:$B$1001,$Y165))</f>
        <v/>
      </c>
      <c r="F165">
        <f>IF($Y165="","",INDEX('Per Line'!$G$2:$G$1001,$Y165)&amp;"")</f>
        <v/>
      </c>
      <c r="G165" s="11">
        <f>IF($Y165="","",INDEX('Per Line'!$H$2:$H$1001,$Y165))</f>
        <v/>
      </c>
      <c r="H165">
        <f>IF($Y165="","",INDEX('Per Line'!$K$2:$K$1001,$Y165)&amp;"")</f>
        <v/>
      </c>
      <c r="I165">
        <f>IF($Y165="","",INDEX('Per Line'!$L$2:$L$1001,$Y165)&amp;"")</f>
        <v/>
      </c>
      <c r="J165">
        <f>IF($Y165="","",INDEX('Per Line'!$M$2:$M$1001,$Y165)&amp;"")</f>
        <v/>
      </c>
      <c r="K165">
        <f>IF($Y165="","",INDEX('Per Line'!$Q$2:$Q$1001,$Y165))</f>
        <v/>
      </c>
      <c r="L165" s="7">
        <f>IF($Y165="","",K165*W165/100)</f>
        <v/>
      </c>
      <c r="M165">
        <f>IF($Y165="","",INDEX('Per Line'!$AD$2:$AD$1001,$Y165)&amp;"")</f>
        <v/>
      </c>
      <c r="N165" s="7">
        <f>IF($Y165="","",SUMIFS('Per Line'!$Z$2:$Z$1001,'Per Line'!$E$2:$E$1001,$B165,'Per Line'!$AR$2:$AR$1001,1))</f>
        <v/>
      </c>
      <c r="O165">
        <f>IF($Y165="","",Settings!$C$7)</f>
        <v/>
      </c>
      <c r="P165" s="7">
        <f>IF($Y165="","",SUMIFS('Per Line'!$Z$2:$Z$1001,'Per Line'!$E$2:$E$1001,$B165,'Per Line'!$AQ$2:$AQ$1001,0,'Per Line'!$AR$2:$AR$1001,0))</f>
        <v/>
      </c>
      <c r="Q165" s="7">
        <f>IF($Y165="","",P165*O165)</f>
        <v/>
      </c>
      <c r="R165">
        <f>IF($Y165="","",Settings!$C$6)</f>
        <v/>
      </c>
      <c r="S165" s="7">
        <f>IF($Y165="","",SUMIFS('Per Line'!$Z$2:$Z$1001,'Per Line'!$E$2:$E$1001,$B165,'Per Line'!$AQ$2:$AQ$1001,1,'Per Line'!$AR$2:$AR$1001,0))</f>
        <v/>
      </c>
      <c r="T165" s="7">
        <f>IF($Y165="","",S165*R165)</f>
        <v/>
      </c>
      <c r="U165" s="7">
        <f>IF($Y165="","",T165+Q165)</f>
        <v/>
      </c>
      <c r="V165" s="7">
        <f>IF($Y165="","",W165-U165)</f>
        <v/>
      </c>
      <c r="W165" s="7">
        <f>IF($Y165="","",P165+S165+N165)</f>
        <v/>
      </c>
      <c r="X165" s="7">
        <f>IF($Y165="","",W165-U165-L165)</f>
        <v/>
      </c>
      <c r="Y165" s="13">
        <f>IF(ROWS($Y$2:$Y165)&lt;=MAX('Per Line'!$AP$2:$AP$1001),MATCH(ROWS($Y$2:$Y165),'Per Line'!$AP$2:$AP$1001,0),"")</f>
        <v/>
      </c>
    </row>
    <row r="166">
      <c r="A166" s="12" t="n"/>
      <c r="B166">
        <f>IF($Y166="","",INDEX('Per Line'!$E$2:$E$1001,$Y166)&amp;"")</f>
        <v/>
      </c>
      <c r="C166">
        <f>IF($Y166="","",INDEX('Per Line'!$F$2:$F$1001,$Y166)&amp;"")</f>
        <v/>
      </c>
      <c r="D166">
        <f>IF($Y166="","",INDEX('Per Line'!$A$2:$A$1001,$Y166)&amp;"")</f>
        <v/>
      </c>
      <c r="E166">
        <f>IF($Y166="","",INDEX('Per Line'!$B$2:$B$1001,$Y166))</f>
        <v/>
      </c>
      <c r="F166">
        <f>IF($Y166="","",INDEX('Per Line'!$G$2:$G$1001,$Y166)&amp;"")</f>
        <v/>
      </c>
      <c r="G166" s="11">
        <f>IF($Y166="","",INDEX('Per Line'!$H$2:$H$1001,$Y166))</f>
        <v/>
      </c>
      <c r="H166">
        <f>IF($Y166="","",INDEX('Per Line'!$K$2:$K$1001,$Y166)&amp;"")</f>
        <v/>
      </c>
      <c r="I166">
        <f>IF($Y166="","",INDEX('Per Line'!$L$2:$L$1001,$Y166)&amp;"")</f>
        <v/>
      </c>
      <c r="J166">
        <f>IF($Y166="","",INDEX('Per Line'!$M$2:$M$1001,$Y166)&amp;"")</f>
        <v/>
      </c>
      <c r="K166">
        <f>IF($Y166="","",INDEX('Per Line'!$Q$2:$Q$1001,$Y166))</f>
        <v/>
      </c>
      <c r="L166" s="7">
        <f>IF($Y166="","",K166*W166/100)</f>
        <v/>
      </c>
      <c r="M166">
        <f>IF($Y166="","",INDEX('Per Line'!$AD$2:$AD$1001,$Y166)&amp;"")</f>
        <v/>
      </c>
      <c r="N166" s="7">
        <f>IF($Y166="","",SUMIFS('Per Line'!$Z$2:$Z$1001,'Per Line'!$E$2:$E$1001,$B166,'Per Line'!$AR$2:$AR$1001,1))</f>
        <v/>
      </c>
      <c r="O166">
        <f>IF($Y166="","",Settings!$C$7)</f>
        <v/>
      </c>
      <c r="P166" s="7">
        <f>IF($Y166="","",SUMIFS('Per Line'!$Z$2:$Z$1001,'Per Line'!$E$2:$E$1001,$B166,'Per Line'!$AQ$2:$AQ$1001,0,'Per Line'!$AR$2:$AR$1001,0))</f>
        <v/>
      </c>
      <c r="Q166" s="7">
        <f>IF($Y166="","",P166*O166)</f>
        <v/>
      </c>
      <c r="R166">
        <f>IF($Y166="","",Settings!$C$6)</f>
        <v/>
      </c>
      <c r="S166" s="7">
        <f>IF($Y166="","",SUMIFS('Per Line'!$Z$2:$Z$1001,'Per Line'!$E$2:$E$1001,$B166,'Per Line'!$AQ$2:$AQ$1001,1,'Per Line'!$AR$2:$AR$1001,0))</f>
        <v/>
      </c>
      <c r="T166" s="7">
        <f>IF($Y166="","",S166*R166)</f>
        <v/>
      </c>
      <c r="U166" s="7">
        <f>IF($Y166="","",T166+Q166)</f>
        <v/>
      </c>
      <c r="V166" s="7">
        <f>IF($Y166="","",W166-U166)</f>
        <v/>
      </c>
      <c r="W166" s="7">
        <f>IF($Y166="","",P166+S166+N166)</f>
        <v/>
      </c>
      <c r="X166" s="7">
        <f>IF($Y166="","",W166-U166-L166)</f>
        <v/>
      </c>
      <c r="Y166" s="13">
        <f>IF(ROWS($Y$2:$Y166)&lt;=MAX('Per Line'!$AP$2:$AP$1001),MATCH(ROWS($Y$2:$Y166),'Per Line'!$AP$2:$AP$1001,0),"")</f>
        <v/>
      </c>
    </row>
    <row r="167">
      <c r="A167" s="12" t="n"/>
      <c r="B167">
        <f>IF($Y167="","",INDEX('Per Line'!$E$2:$E$1001,$Y167)&amp;"")</f>
        <v/>
      </c>
      <c r="C167">
        <f>IF($Y167="","",INDEX('Per Line'!$F$2:$F$1001,$Y167)&amp;"")</f>
        <v/>
      </c>
      <c r="D167">
        <f>IF($Y167="","",INDEX('Per Line'!$A$2:$A$1001,$Y167)&amp;"")</f>
        <v/>
      </c>
      <c r="E167">
        <f>IF($Y167="","",INDEX('Per Line'!$B$2:$B$1001,$Y167))</f>
        <v/>
      </c>
      <c r="F167">
        <f>IF($Y167="","",INDEX('Per Line'!$G$2:$G$1001,$Y167)&amp;"")</f>
        <v/>
      </c>
      <c r="G167" s="11">
        <f>IF($Y167="","",INDEX('Per Line'!$H$2:$H$1001,$Y167))</f>
        <v/>
      </c>
      <c r="H167">
        <f>IF($Y167="","",INDEX('Per Line'!$K$2:$K$1001,$Y167)&amp;"")</f>
        <v/>
      </c>
      <c r="I167">
        <f>IF($Y167="","",INDEX('Per Line'!$L$2:$L$1001,$Y167)&amp;"")</f>
        <v/>
      </c>
      <c r="J167">
        <f>IF($Y167="","",INDEX('Per Line'!$M$2:$M$1001,$Y167)&amp;"")</f>
        <v/>
      </c>
      <c r="K167">
        <f>IF($Y167="","",INDEX('Per Line'!$Q$2:$Q$1001,$Y167))</f>
        <v/>
      </c>
      <c r="L167" s="7">
        <f>IF($Y167="","",K167*W167/100)</f>
        <v/>
      </c>
      <c r="M167">
        <f>IF($Y167="","",INDEX('Per Line'!$AD$2:$AD$1001,$Y167)&amp;"")</f>
        <v/>
      </c>
      <c r="N167" s="7">
        <f>IF($Y167="","",SUMIFS('Per Line'!$Z$2:$Z$1001,'Per Line'!$E$2:$E$1001,$B167,'Per Line'!$AR$2:$AR$1001,1))</f>
        <v/>
      </c>
      <c r="O167">
        <f>IF($Y167="","",Settings!$C$7)</f>
        <v/>
      </c>
      <c r="P167" s="7">
        <f>IF($Y167="","",SUMIFS('Per Line'!$Z$2:$Z$1001,'Per Line'!$E$2:$E$1001,$B167,'Per Line'!$AQ$2:$AQ$1001,0,'Per Line'!$AR$2:$AR$1001,0))</f>
        <v/>
      </c>
      <c r="Q167" s="7">
        <f>IF($Y167="","",P167*O167)</f>
        <v/>
      </c>
      <c r="R167">
        <f>IF($Y167="","",Settings!$C$6)</f>
        <v/>
      </c>
      <c r="S167" s="7">
        <f>IF($Y167="","",SUMIFS('Per Line'!$Z$2:$Z$1001,'Per Line'!$E$2:$E$1001,$B167,'Per Line'!$AQ$2:$AQ$1001,1,'Per Line'!$AR$2:$AR$1001,0))</f>
        <v/>
      </c>
      <c r="T167" s="7">
        <f>IF($Y167="","",S167*R167)</f>
        <v/>
      </c>
      <c r="U167" s="7">
        <f>IF($Y167="","",T167+Q167)</f>
        <v/>
      </c>
      <c r="V167" s="7">
        <f>IF($Y167="","",W167-U167)</f>
        <v/>
      </c>
      <c r="W167" s="7">
        <f>IF($Y167="","",P167+S167+N167)</f>
        <v/>
      </c>
      <c r="X167" s="7">
        <f>IF($Y167="","",W167-U167-L167)</f>
        <v/>
      </c>
      <c r="Y167" s="13">
        <f>IF(ROWS($Y$2:$Y167)&lt;=MAX('Per Line'!$AP$2:$AP$1001),MATCH(ROWS($Y$2:$Y167),'Per Line'!$AP$2:$AP$1001,0),"")</f>
        <v/>
      </c>
    </row>
    <row r="168">
      <c r="A168" s="12" t="n"/>
      <c r="B168">
        <f>IF($Y168="","",INDEX('Per Line'!$E$2:$E$1001,$Y168)&amp;"")</f>
        <v/>
      </c>
      <c r="C168">
        <f>IF($Y168="","",INDEX('Per Line'!$F$2:$F$1001,$Y168)&amp;"")</f>
        <v/>
      </c>
      <c r="D168">
        <f>IF($Y168="","",INDEX('Per Line'!$A$2:$A$1001,$Y168)&amp;"")</f>
        <v/>
      </c>
      <c r="E168">
        <f>IF($Y168="","",INDEX('Per Line'!$B$2:$B$1001,$Y168))</f>
        <v/>
      </c>
      <c r="F168">
        <f>IF($Y168="","",INDEX('Per Line'!$G$2:$G$1001,$Y168)&amp;"")</f>
        <v/>
      </c>
      <c r="G168" s="11">
        <f>IF($Y168="","",INDEX('Per Line'!$H$2:$H$1001,$Y168))</f>
        <v/>
      </c>
      <c r="H168">
        <f>IF($Y168="","",INDEX('Per Line'!$K$2:$K$1001,$Y168)&amp;"")</f>
        <v/>
      </c>
      <c r="I168">
        <f>IF($Y168="","",INDEX('Per Line'!$L$2:$L$1001,$Y168)&amp;"")</f>
        <v/>
      </c>
      <c r="J168">
        <f>IF($Y168="","",INDEX('Per Line'!$M$2:$M$1001,$Y168)&amp;"")</f>
        <v/>
      </c>
      <c r="K168">
        <f>IF($Y168="","",INDEX('Per Line'!$Q$2:$Q$1001,$Y168))</f>
        <v/>
      </c>
      <c r="L168" s="7">
        <f>IF($Y168="","",K168*W168/100)</f>
        <v/>
      </c>
      <c r="M168">
        <f>IF($Y168="","",INDEX('Per Line'!$AD$2:$AD$1001,$Y168)&amp;"")</f>
        <v/>
      </c>
      <c r="N168" s="7">
        <f>IF($Y168="","",SUMIFS('Per Line'!$Z$2:$Z$1001,'Per Line'!$E$2:$E$1001,$B168,'Per Line'!$AR$2:$AR$1001,1))</f>
        <v/>
      </c>
      <c r="O168">
        <f>IF($Y168="","",Settings!$C$7)</f>
        <v/>
      </c>
      <c r="P168" s="7">
        <f>IF($Y168="","",SUMIFS('Per Line'!$Z$2:$Z$1001,'Per Line'!$E$2:$E$1001,$B168,'Per Line'!$AQ$2:$AQ$1001,0,'Per Line'!$AR$2:$AR$1001,0))</f>
        <v/>
      </c>
      <c r="Q168" s="7">
        <f>IF($Y168="","",P168*O168)</f>
        <v/>
      </c>
      <c r="R168">
        <f>IF($Y168="","",Settings!$C$6)</f>
        <v/>
      </c>
      <c r="S168" s="7">
        <f>IF($Y168="","",SUMIFS('Per Line'!$Z$2:$Z$1001,'Per Line'!$E$2:$E$1001,$B168,'Per Line'!$AQ$2:$AQ$1001,1,'Per Line'!$AR$2:$AR$1001,0))</f>
        <v/>
      </c>
      <c r="T168" s="7">
        <f>IF($Y168="","",S168*R168)</f>
        <v/>
      </c>
      <c r="U168" s="7">
        <f>IF($Y168="","",T168+Q168)</f>
        <v/>
      </c>
      <c r="V168" s="7">
        <f>IF($Y168="","",W168-U168)</f>
        <v/>
      </c>
      <c r="W168" s="7">
        <f>IF($Y168="","",P168+S168+N168)</f>
        <v/>
      </c>
      <c r="X168" s="7">
        <f>IF($Y168="","",W168-U168-L168)</f>
        <v/>
      </c>
      <c r="Y168" s="13">
        <f>IF(ROWS($Y$2:$Y168)&lt;=MAX('Per Line'!$AP$2:$AP$1001),MATCH(ROWS($Y$2:$Y168),'Per Line'!$AP$2:$AP$1001,0),"")</f>
        <v/>
      </c>
    </row>
    <row r="169">
      <c r="A169" s="12" t="n"/>
      <c r="B169">
        <f>IF($Y169="","",INDEX('Per Line'!$E$2:$E$1001,$Y169)&amp;"")</f>
        <v/>
      </c>
      <c r="C169">
        <f>IF($Y169="","",INDEX('Per Line'!$F$2:$F$1001,$Y169)&amp;"")</f>
        <v/>
      </c>
      <c r="D169">
        <f>IF($Y169="","",INDEX('Per Line'!$A$2:$A$1001,$Y169)&amp;"")</f>
        <v/>
      </c>
      <c r="E169">
        <f>IF($Y169="","",INDEX('Per Line'!$B$2:$B$1001,$Y169))</f>
        <v/>
      </c>
      <c r="F169">
        <f>IF($Y169="","",INDEX('Per Line'!$G$2:$G$1001,$Y169)&amp;"")</f>
        <v/>
      </c>
      <c r="G169" s="11">
        <f>IF($Y169="","",INDEX('Per Line'!$H$2:$H$1001,$Y169))</f>
        <v/>
      </c>
      <c r="H169">
        <f>IF($Y169="","",INDEX('Per Line'!$K$2:$K$1001,$Y169)&amp;"")</f>
        <v/>
      </c>
      <c r="I169">
        <f>IF($Y169="","",INDEX('Per Line'!$L$2:$L$1001,$Y169)&amp;"")</f>
        <v/>
      </c>
      <c r="J169">
        <f>IF($Y169="","",INDEX('Per Line'!$M$2:$M$1001,$Y169)&amp;"")</f>
        <v/>
      </c>
      <c r="K169">
        <f>IF($Y169="","",INDEX('Per Line'!$Q$2:$Q$1001,$Y169))</f>
        <v/>
      </c>
      <c r="L169" s="7">
        <f>IF($Y169="","",K169*W169/100)</f>
        <v/>
      </c>
      <c r="M169">
        <f>IF($Y169="","",INDEX('Per Line'!$AD$2:$AD$1001,$Y169)&amp;"")</f>
        <v/>
      </c>
      <c r="N169" s="7">
        <f>IF($Y169="","",SUMIFS('Per Line'!$Z$2:$Z$1001,'Per Line'!$E$2:$E$1001,$B169,'Per Line'!$AR$2:$AR$1001,1))</f>
        <v/>
      </c>
      <c r="O169">
        <f>IF($Y169="","",Settings!$C$7)</f>
        <v/>
      </c>
      <c r="P169" s="7">
        <f>IF($Y169="","",SUMIFS('Per Line'!$Z$2:$Z$1001,'Per Line'!$E$2:$E$1001,$B169,'Per Line'!$AQ$2:$AQ$1001,0,'Per Line'!$AR$2:$AR$1001,0))</f>
        <v/>
      </c>
      <c r="Q169" s="7">
        <f>IF($Y169="","",P169*O169)</f>
        <v/>
      </c>
      <c r="R169">
        <f>IF($Y169="","",Settings!$C$6)</f>
        <v/>
      </c>
      <c r="S169" s="7">
        <f>IF($Y169="","",SUMIFS('Per Line'!$Z$2:$Z$1001,'Per Line'!$E$2:$E$1001,$B169,'Per Line'!$AQ$2:$AQ$1001,1,'Per Line'!$AR$2:$AR$1001,0))</f>
        <v/>
      </c>
      <c r="T169" s="7">
        <f>IF($Y169="","",S169*R169)</f>
        <v/>
      </c>
      <c r="U169" s="7">
        <f>IF($Y169="","",T169+Q169)</f>
        <v/>
      </c>
      <c r="V169" s="7">
        <f>IF($Y169="","",W169-U169)</f>
        <v/>
      </c>
      <c r="W169" s="7">
        <f>IF($Y169="","",P169+S169+N169)</f>
        <v/>
      </c>
      <c r="X169" s="7">
        <f>IF($Y169="","",W169-U169-L169)</f>
        <v/>
      </c>
      <c r="Y169" s="13">
        <f>IF(ROWS($Y$2:$Y169)&lt;=MAX('Per Line'!$AP$2:$AP$1001),MATCH(ROWS($Y$2:$Y169),'Per Line'!$AP$2:$AP$1001,0),"")</f>
        <v/>
      </c>
    </row>
    <row r="170">
      <c r="A170" s="12" t="n"/>
      <c r="B170">
        <f>IF($Y170="","",INDEX('Per Line'!$E$2:$E$1001,$Y170)&amp;"")</f>
        <v/>
      </c>
      <c r="C170">
        <f>IF($Y170="","",INDEX('Per Line'!$F$2:$F$1001,$Y170)&amp;"")</f>
        <v/>
      </c>
      <c r="D170">
        <f>IF($Y170="","",INDEX('Per Line'!$A$2:$A$1001,$Y170)&amp;"")</f>
        <v/>
      </c>
      <c r="E170">
        <f>IF($Y170="","",INDEX('Per Line'!$B$2:$B$1001,$Y170))</f>
        <v/>
      </c>
      <c r="F170">
        <f>IF($Y170="","",INDEX('Per Line'!$G$2:$G$1001,$Y170)&amp;"")</f>
        <v/>
      </c>
      <c r="G170" s="11">
        <f>IF($Y170="","",INDEX('Per Line'!$H$2:$H$1001,$Y170))</f>
        <v/>
      </c>
      <c r="H170">
        <f>IF($Y170="","",INDEX('Per Line'!$K$2:$K$1001,$Y170)&amp;"")</f>
        <v/>
      </c>
      <c r="I170">
        <f>IF($Y170="","",INDEX('Per Line'!$L$2:$L$1001,$Y170)&amp;"")</f>
        <v/>
      </c>
      <c r="J170">
        <f>IF($Y170="","",INDEX('Per Line'!$M$2:$M$1001,$Y170)&amp;"")</f>
        <v/>
      </c>
      <c r="K170">
        <f>IF($Y170="","",INDEX('Per Line'!$Q$2:$Q$1001,$Y170))</f>
        <v/>
      </c>
      <c r="L170" s="7">
        <f>IF($Y170="","",K170*W170/100)</f>
        <v/>
      </c>
      <c r="M170">
        <f>IF($Y170="","",INDEX('Per Line'!$AD$2:$AD$1001,$Y170)&amp;"")</f>
        <v/>
      </c>
      <c r="N170" s="7">
        <f>IF($Y170="","",SUMIFS('Per Line'!$Z$2:$Z$1001,'Per Line'!$E$2:$E$1001,$B170,'Per Line'!$AR$2:$AR$1001,1))</f>
        <v/>
      </c>
      <c r="O170">
        <f>IF($Y170="","",Settings!$C$7)</f>
        <v/>
      </c>
      <c r="P170" s="7">
        <f>IF($Y170="","",SUMIFS('Per Line'!$Z$2:$Z$1001,'Per Line'!$E$2:$E$1001,$B170,'Per Line'!$AQ$2:$AQ$1001,0,'Per Line'!$AR$2:$AR$1001,0))</f>
        <v/>
      </c>
      <c r="Q170" s="7">
        <f>IF($Y170="","",P170*O170)</f>
        <v/>
      </c>
      <c r="R170">
        <f>IF($Y170="","",Settings!$C$6)</f>
        <v/>
      </c>
      <c r="S170" s="7">
        <f>IF($Y170="","",SUMIFS('Per Line'!$Z$2:$Z$1001,'Per Line'!$E$2:$E$1001,$B170,'Per Line'!$AQ$2:$AQ$1001,1,'Per Line'!$AR$2:$AR$1001,0))</f>
        <v/>
      </c>
      <c r="T170" s="7">
        <f>IF($Y170="","",S170*R170)</f>
        <v/>
      </c>
      <c r="U170" s="7">
        <f>IF($Y170="","",T170+Q170)</f>
        <v/>
      </c>
      <c r="V170" s="7">
        <f>IF($Y170="","",W170-U170)</f>
        <v/>
      </c>
      <c r="W170" s="7">
        <f>IF($Y170="","",P170+S170+N170)</f>
        <v/>
      </c>
      <c r="X170" s="7">
        <f>IF($Y170="","",W170-U170-L170)</f>
        <v/>
      </c>
      <c r="Y170" s="13">
        <f>IF(ROWS($Y$2:$Y170)&lt;=MAX('Per Line'!$AP$2:$AP$1001),MATCH(ROWS($Y$2:$Y170),'Per Line'!$AP$2:$AP$1001,0),"")</f>
        <v/>
      </c>
    </row>
    <row r="171">
      <c r="A171" s="12" t="n"/>
      <c r="B171">
        <f>IF($Y171="","",INDEX('Per Line'!$E$2:$E$1001,$Y171)&amp;"")</f>
        <v/>
      </c>
      <c r="C171">
        <f>IF($Y171="","",INDEX('Per Line'!$F$2:$F$1001,$Y171)&amp;"")</f>
        <v/>
      </c>
      <c r="D171">
        <f>IF($Y171="","",INDEX('Per Line'!$A$2:$A$1001,$Y171)&amp;"")</f>
        <v/>
      </c>
      <c r="E171">
        <f>IF($Y171="","",INDEX('Per Line'!$B$2:$B$1001,$Y171))</f>
        <v/>
      </c>
      <c r="F171">
        <f>IF($Y171="","",INDEX('Per Line'!$G$2:$G$1001,$Y171)&amp;"")</f>
        <v/>
      </c>
      <c r="G171" s="11">
        <f>IF($Y171="","",INDEX('Per Line'!$H$2:$H$1001,$Y171))</f>
        <v/>
      </c>
      <c r="H171">
        <f>IF($Y171="","",INDEX('Per Line'!$K$2:$K$1001,$Y171)&amp;"")</f>
        <v/>
      </c>
      <c r="I171">
        <f>IF($Y171="","",INDEX('Per Line'!$L$2:$L$1001,$Y171)&amp;"")</f>
        <v/>
      </c>
      <c r="J171">
        <f>IF($Y171="","",INDEX('Per Line'!$M$2:$M$1001,$Y171)&amp;"")</f>
        <v/>
      </c>
      <c r="K171">
        <f>IF($Y171="","",INDEX('Per Line'!$Q$2:$Q$1001,$Y171))</f>
        <v/>
      </c>
      <c r="L171" s="7">
        <f>IF($Y171="","",K171*W171/100)</f>
        <v/>
      </c>
      <c r="M171">
        <f>IF($Y171="","",INDEX('Per Line'!$AD$2:$AD$1001,$Y171)&amp;"")</f>
        <v/>
      </c>
      <c r="N171" s="7">
        <f>IF($Y171="","",SUMIFS('Per Line'!$Z$2:$Z$1001,'Per Line'!$E$2:$E$1001,$B171,'Per Line'!$AR$2:$AR$1001,1))</f>
        <v/>
      </c>
      <c r="O171">
        <f>IF($Y171="","",Settings!$C$7)</f>
        <v/>
      </c>
      <c r="P171" s="7">
        <f>IF($Y171="","",SUMIFS('Per Line'!$Z$2:$Z$1001,'Per Line'!$E$2:$E$1001,$B171,'Per Line'!$AQ$2:$AQ$1001,0,'Per Line'!$AR$2:$AR$1001,0))</f>
        <v/>
      </c>
      <c r="Q171" s="7">
        <f>IF($Y171="","",P171*O171)</f>
        <v/>
      </c>
      <c r="R171">
        <f>IF($Y171="","",Settings!$C$6)</f>
        <v/>
      </c>
      <c r="S171" s="7">
        <f>IF($Y171="","",SUMIFS('Per Line'!$Z$2:$Z$1001,'Per Line'!$E$2:$E$1001,$B171,'Per Line'!$AQ$2:$AQ$1001,1,'Per Line'!$AR$2:$AR$1001,0))</f>
        <v/>
      </c>
      <c r="T171" s="7">
        <f>IF($Y171="","",S171*R171)</f>
        <v/>
      </c>
      <c r="U171" s="7">
        <f>IF($Y171="","",T171+Q171)</f>
        <v/>
      </c>
      <c r="V171" s="7">
        <f>IF($Y171="","",W171-U171)</f>
        <v/>
      </c>
      <c r="W171" s="7">
        <f>IF($Y171="","",P171+S171+N171)</f>
        <v/>
      </c>
      <c r="X171" s="7">
        <f>IF($Y171="","",W171-U171-L171)</f>
        <v/>
      </c>
      <c r="Y171" s="13">
        <f>IF(ROWS($Y$2:$Y171)&lt;=MAX('Per Line'!$AP$2:$AP$1001),MATCH(ROWS($Y$2:$Y171),'Per Line'!$AP$2:$AP$1001,0),"")</f>
        <v/>
      </c>
    </row>
    <row r="172">
      <c r="A172" s="12" t="n"/>
      <c r="B172">
        <f>IF($Y172="","",INDEX('Per Line'!$E$2:$E$1001,$Y172)&amp;"")</f>
        <v/>
      </c>
      <c r="C172">
        <f>IF($Y172="","",INDEX('Per Line'!$F$2:$F$1001,$Y172)&amp;"")</f>
        <v/>
      </c>
      <c r="D172">
        <f>IF($Y172="","",INDEX('Per Line'!$A$2:$A$1001,$Y172)&amp;"")</f>
        <v/>
      </c>
      <c r="E172">
        <f>IF($Y172="","",INDEX('Per Line'!$B$2:$B$1001,$Y172))</f>
        <v/>
      </c>
      <c r="F172">
        <f>IF($Y172="","",INDEX('Per Line'!$G$2:$G$1001,$Y172)&amp;"")</f>
        <v/>
      </c>
      <c r="G172" s="11">
        <f>IF($Y172="","",INDEX('Per Line'!$H$2:$H$1001,$Y172))</f>
        <v/>
      </c>
      <c r="H172">
        <f>IF($Y172="","",INDEX('Per Line'!$K$2:$K$1001,$Y172)&amp;"")</f>
        <v/>
      </c>
      <c r="I172">
        <f>IF($Y172="","",INDEX('Per Line'!$L$2:$L$1001,$Y172)&amp;"")</f>
        <v/>
      </c>
      <c r="J172">
        <f>IF($Y172="","",INDEX('Per Line'!$M$2:$M$1001,$Y172)&amp;"")</f>
        <v/>
      </c>
      <c r="K172">
        <f>IF($Y172="","",INDEX('Per Line'!$Q$2:$Q$1001,$Y172))</f>
        <v/>
      </c>
      <c r="L172" s="7">
        <f>IF($Y172="","",K172*W172/100)</f>
        <v/>
      </c>
      <c r="M172">
        <f>IF($Y172="","",INDEX('Per Line'!$AD$2:$AD$1001,$Y172)&amp;"")</f>
        <v/>
      </c>
      <c r="N172" s="7">
        <f>IF($Y172="","",SUMIFS('Per Line'!$Z$2:$Z$1001,'Per Line'!$E$2:$E$1001,$B172,'Per Line'!$AR$2:$AR$1001,1))</f>
        <v/>
      </c>
      <c r="O172">
        <f>IF($Y172="","",Settings!$C$7)</f>
        <v/>
      </c>
      <c r="P172" s="7">
        <f>IF($Y172="","",SUMIFS('Per Line'!$Z$2:$Z$1001,'Per Line'!$E$2:$E$1001,$B172,'Per Line'!$AQ$2:$AQ$1001,0,'Per Line'!$AR$2:$AR$1001,0))</f>
        <v/>
      </c>
      <c r="Q172" s="7">
        <f>IF($Y172="","",P172*O172)</f>
        <v/>
      </c>
      <c r="R172">
        <f>IF($Y172="","",Settings!$C$6)</f>
        <v/>
      </c>
      <c r="S172" s="7">
        <f>IF($Y172="","",SUMIFS('Per Line'!$Z$2:$Z$1001,'Per Line'!$E$2:$E$1001,$B172,'Per Line'!$AQ$2:$AQ$1001,1,'Per Line'!$AR$2:$AR$1001,0))</f>
        <v/>
      </c>
      <c r="T172" s="7">
        <f>IF($Y172="","",S172*R172)</f>
        <v/>
      </c>
      <c r="U172" s="7">
        <f>IF($Y172="","",T172+Q172)</f>
        <v/>
      </c>
      <c r="V172" s="7">
        <f>IF($Y172="","",W172-U172)</f>
        <v/>
      </c>
      <c r="W172" s="7">
        <f>IF($Y172="","",P172+S172+N172)</f>
        <v/>
      </c>
      <c r="X172" s="7">
        <f>IF($Y172="","",W172-U172-L172)</f>
        <v/>
      </c>
      <c r="Y172" s="13">
        <f>IF(ROWS($Y$2:$Y172)&lt;=MAX('Per Line'!$AP$2:$AP$1001),MATCH(ROWS($Y$2:$Y172),'Per Line'!$AP$2:$AP$1001,0),"")</f>
        <v/>
      </c>
    </row>
    <row r="173">
      <c r="A173" s="12" t="n"/>
      <c r="B173">
        <f>IF($Y173="","",INDEX('Per Line'!$E$2:$E$1001,$Y173)&amp;"")</f>
        <v/>
      </c>
      <c r="C173">
        <f>IF($Y173="","",INDEX('Per Line'!$F$2:$F$1001,$Y173)&amp;"")</f>
        <v/>
      </c>
      <c r="D173">
        <f>IF($Y173="","",INDEX('Per Line'!$A$2:$A$1001,$Y173)&amp;"")</f>
        <v/>
      </c>
      <c r="E173">
        <f>IF($Y173="","",INDEX('Per Line'!$B$2:$B$1001,$Y173))</f>
        <v/>
      </c>
      <c r="F173">
        <f>IF($Y173="","",INDEX('Per Line'!$G$2:$G$1001,$Y173)&amp;"")</f>
        <v/>
      </c>
      <c r="G173" s="11">
        <f>IF($Y173="","",INDEX('Per Line'!$H$2:$H$1001,$Y173))</f>
        <v/>
      </c>
      <c r="H173">
        <f>IF($Y173="","",INDEX('Per Line'!$K$2:$K$1001,$Y173)&amp;"")</f>
        <v/>
      </c>
      <c r="I173">
        <f>IF($Y173="","",INDEX('Per Line'!$L$2:$L$1001,$Y173)&amp;"")</f>
        <v/>
      </c>
      <c r="J173">
        <f>IF($Y173="","",INDEX('Per Line'!$M$2:$M$1001,$Y173)&amp;"")</f>
        <v/>
      </c>
      <c r="K173">
        <f>IF($Y173="","",INDEX('Per Line'!$Q$2:$Q$1001,$Y173))</f>
        <v/>
      </c>
      <c r="L173" s="7">
        <f>IF($Y173="","",K173*W173/100)</f>
        <v/>
      </c>
      <c r="M173">
        <f>IF($Y173="","",INDEX('Per Line'!$AD$2:$AD$1001,$Y173)&amp;"")</f>
        <v/>
      </c>
      <c r="N173" s="7">
        <f>IF($Y173="","",SUMIFS('Per Line'!$Z$2:$Z$1001,'Per Line'!$E$2:$E$1001,$B173,'Per Line'!$AR$2:$AR$1001,1))</f>
        <v/>
      </c>
      <c r="O173">
        <f>IF($Y173="","",Settings!$C$7)</f>
        <v/>
      </c>
      <c r="P173" s="7">
        <f>IF($Y173="","",SUMIFS('Per Line'!$Z$2:$Z$1001,'Per Line'!$E$2:$E$1001,$B173,'Per Line'!$AQ$2:$AQ$1001,0,'Per Line'!$AR$2:$AR$1001,0))</f>
        <v/>
      </c>
      <c r="Q173" s="7">
        <f>IF($Y173="","",P173*O173)</f>
        <v/>
      </c>
      <c r="R173">
        <f>IF($Y173="","",Settings!$C$6)</f>
        <v/>
      </c>
      <c r="S173" s="7">
        <f>IF($Y173="","",SUMIFS('Per Line'!$Z$2:$Z$1001,'Per Line'!$E$2:$E$1001,$B173,'Per Line'!$AQ$2:$AQ$1001,1,'Per Line'!$AR$2:$AR$1001,0))</f>
        <v/>
      </c>
      <c r="T173" s="7">
        <f>IF($Y173="","",S173*R173)</f>
        <v/>
      </c>
      <c r="U173" s="7">
        <f>IF($Y173="","",T173+Q173)</f>
        <v/>
      </c>
      <c r="V173" s="7">
        <f>IF($Y173="","",W173-U173)</f>
        <v/>
      </c>
      <c r="W173" s="7">
        <f>IF($Y173="","",P173+S173+N173)</f>
        <v/>
      </c>
      <c r="X173" s="7">
        <f>IF($Y173="","",W173-U173-L173)</f>
        <v/>
      </c>
      <c r="Y173" s="13">
        <f>IF(ROWS($Y$2:$Y173)&lt;=MAX('Per Line'!$AP$2:$AP$1001),MATCH(ROWS($Y$2:$Y173),'Per Line'!$AP$2:$AP$1001,0),"")</f>
        <v/>
      </c>
    </row>
    <row r="174">
      <c r="A174" s="12" t="n"/>
      <c r="B174">
        <f>IF($Y174="","",INDEX('Per Line'!$E$2:$E$1001,$Y174)&amp;"")</f>
        <v/>
      </c>
      <c r="C174">
        <f>IF($Y174="","",INDEX('Per Line'!$F$2:$F$1001,$Y174)&amp;"")</f>
        <v/>
      </c>
      <c r="D174">
        <f>IF($Y174="","",INDEX('Per Line'!$A$2:$A$1001,$Y174)&amp;"")</f>
        <v/>
      </c>
      <c r="E174">
        <f>IF($Y174="","",INDEX('Per Line'!$B$2:$B$1001,$Y174))</f>
        <v/>
      </c>
      <c r="F174">
        <f>IF($Y174="","",INDEX('Per Line'!$G$2:$G$1001,$Y174)&amp;"")</f>
        <v/>
      </c>
      <c r="G174" s="11">
        <f>IF($Y174="","",INDEX('Per Line'!$H$2:$H$1001,$Y174))</f>
        <v/>
      </c>
      <c r="H174">
        <f>IF($Y174="","",INDEX('Per Line'!$K$2:$K$1001,$Y174)&amp;"")</f>
        <v/>
      </c>
      <c r="I174">
        <f>IF($Y174="","",INDEX('Per Line'!$L$2:$L$1001,$Y174)&amp;"")</f>
        <v/>
      </c>
      <c r="J174">
        <f>IF($Y174="","",INDEX('Per Line'!$M$2:$M$1001,$Y174)&amp;"")</f>
        <v/>
      </c>
      <c r="K174">
        <f>IF($Y174="","",INDEX('Per Line'!$Q$2:$Q$1001,$Y174))</f>
        <v/>
      </c>
      <c r="L174" s="7">
        <f>IF($Y174="","",K174*W174/100)</f>
        <v/>
      </c>
      <c r="M174">
        <f>IF($Y174="","",INDEX('Per Line'!$AD$2:$AD$1001,$Y174)&amp;"")</f>
        <v/>
      </c>
      <c r="N174" s="7">
        <f>IF($Y174="","",SUMIFS('Per Line'!$Z$2:$Z$1001,'Per Line'!$E$2:$E$1001,$B174,'Per Line'!$AR$2:$AR$1001,1))</f>
        <v/>
      </c>
      <c r="O174">
        <f>IF($Y174="","",Settings!$C$7)</f>
        <v/>
      </c>
      <c r="P174" s="7">
        <f>IF($Y174="","",SUMIFS('Per Line'!$Z$2:$Z$1001,'Per Line'!$E$2:$E$1001,$B174,'Per Line'!$AQ$2:$AQ$1001,0,'Per Line'!$AR$2:$AR$1001,0))</f>
        <v/>
      </c>
      <c r="Q174" s="7">
        <f>IF($Y174="","",P174*O174)</f>
        <v/>
      </c>
      <c r="R174">
        <f>IF($Y174="","",Settings!$C$6)</f>
        <v/>
      </c>
      <c r="S174" s="7">
        <f>IF($Y174="","",SUMIFS('Per Line'!$Z$2:$Z$1001,'Per Line'!$E$2:$E$1001,$B174,'Per Line'!$AQ$2:$AQ$1001,1,'Per Line'!$AR$2:$AR$1001,0))</f>
        <v/>
      </c>
      <c r="T174" s="7">
        <f>IF($Y174="","",S174*R174)</f>
        <v/>
      </c>
      <c r="U174" s="7">
        <f>IF($Y174="","",T174+Q174)</f>
        <v/>
      </c>
      <c r="V174" s="7">
        <f>IF($Y174="","",W174-U174)</f>
        <v/>
      </c>
      <c r="W174" s="7">
        <f>IF($Y174="","",P174+S174+N174)</f>
        <v/>
      </c>
      <c r="X174" s="7">
        <f>IF($Y174="","",W174-U174-L174)</f>
        <v/>
      </c>
      <c r="Y174" s="13">
        <f>IF(ROWS($Y$2:$Y174)&lt;=MAX('Per Line'!$AP$2:$AP$1001),MATCH(ROWS($Y$2:$Y174),'Per Line'!$AP$2:$AP$1001,0),"")</f>
        <v/>
      </c>
    </row>
    <row r="175">
      <c r="A175" s="12" t="n"/>
      <c r="B175">
        <f>IF($Y175="","",INDEX('Per Line'!$E$2:$E$1001,$Y175)&amp;"")</f>
        <v/>
      </c>
      <c r="C175">
        <f>IF($Y175="","",INDEX('Per Line'!$F$2:$F$1001,$Y175)&amp;"")</f>
        <v/>
      </c>
      <c r="D175">
        <f>IF($Y175="","",INDEX('Per Line'!$A$2:$A$1001,$Y175)&amp;"")</f>
        <v/>
      </c>
      <c r="E175">
        <f>IF($Y175="","",INDEX('Per Line'!$B$2:$B$1001,$Y175))</f>
        <v/>
      </c>
      <c r="F175">
        <f>IF($Y175="","",INDEX('Per Line'!$G$2:$G$1001,$Y175)&amp;"")</f>
        <v/>
      </c>
      <c r="G175" s="11">
        <f>IF($Y175="","",INDEX('Per Line'!$H$2:$H$1001,$Y175))</f>
        <v/>
      </c>
      <c r="H175">
        <f>IF($Y175="","",INDEX('Per Line'!$K$2:$K$1001,$Y175)&amp;"")</f>
        <v/>
      </c>
      <c r="I175">
        <f>IF($Y175="","",INDEX('Per Line'!$L$2:$L$1001,$Y175)&amp;"")</f>
        <v/>
      </c>
      <c r="J175">
        <f>IF($Y175="","",INDEX('Per Line'!$M$2:$M$1001,$Y175)&amp;"")</f>
        <v/>
      </c>
      <c r="K175">
        <f>IF($Y175="","",INDEX('Per Line'!$Q$2:$Q$1001,$Y175))</f>
        <v/>
      </c>
      <c r="L175" s="7">
        <f>IF($Y175="","",K175*W175/100)</f>
        <v/>
      </c>
      <c r="M175">
        <f>IF($Y175="","",INDEX('Per Line'!$AD$2:$AD$1001,$Y175)&amp;"")</f>
        <v/>
      </c>
      <c r="N175" s="7">
        <f>IF($Y175="","",SUMIFS('Per Line'!$Z$2:$Z$1001,'Per Line'!$E$2:$E$1001,$B175,'Per Line'!$AR$2:$AR$1001,1))</f>
        <v/>
      </c>
      <c r="O175">
        <f>IF($Y175="","",Settings!$C$7)</f>
        <v/>
      </c>
      <c r="P175" s="7">
        <f>IF($Y175="","",SUMIFS('Per Line'!$Z$2:$Z$1001,'Per Line'!$E$2:$E$1001,$B175,'Per Line'!$AQ$2:$AQ$1001,0,'Per Line'!$AR$2:$AR$1001,0))</f>
        <v/>
      </c>
      <c r="Q175" s="7">
        <f>IF($Y175="","",P175*O175)</f>
        <v/>
      </c>
      <c r="R175">
        <f>IF($Y175="","",Settings!$C$6)</f>
        <v/>
      </c>
      <c r="S175" s="7">
        <f>IF($Y175="","",SUMIFS('Per Line'!$Z$2:$Z$1001,'Per Line'!$E$2:$E$1001,$B175,'Per Line'!$AQ$2:$AQ$1001,1,'Per Line'!$AR$2:$AR$1001,0))</f>
        <v/>
      </c>
      <c r="T175" s="7">
        <f>IF($Y175="","",S175*R175)</f>
        <v/>
      </c>
      <c r="U175" s="7">
        <f>IF($Y175="","",T175+Q175)</f>
        <v/>
      </c>
      <c r="V175" s="7">
        <f>IF($Y175="","",W175-U175)</f>
        <v/>
      </c>
      <c r="W175" s="7">
        <f>IF($Y175="","",P175+S175+N175)</f>
        <v/>
      </c>
      <c r="X175" s="7">
        <f>IF($Y175="","",W175-U175-L175)</f>
        <v/>
      </c>
      <c r="Y175" s="13">
        <f>IF(ROWS($Y$2:$Y175)&lt;=MAX('Per Line'!$AP$2:$AP$1001),MATCH(ROWS($Y$2:$Y175),'Per Line'!$AP$2:$AP$1001,0),"")</f>
        <v/>
      </c>
    </row>
    <row r="176">
      <c r="A176" s="12" t="n"/>
      <c r="B176">
        <f>IF($Y176="","",INDEX('Per Line'!$E$2:$E$1001,$Y176)&amp;"")</f>
        <v/>
      </c>
      <c r="C176">
        <f>IF($Y176="","",INDEX('Per Line'!$F$2:$F$1001,$Y176)&amp;"")</f>
        <v/>
      </c>
      <c r="D176">
        <f>IF($Y176="","",INDEX('Per Line'!$A$2:$A$1001,$Y176)&amp;"")</f>
        <v/>
      </c>
      <c r="E176">
        <f>IF($Y176="","",INDEX('Per Line'!$B$2:$B$1001,$Y176))</f>
        <v/>
      </c>
      <c r="F176">
        <f>IF($Y176="","",INDEX('Per Line'!$G$2:$G$1001,$Y176)&amp;"")</f>
        <v/>
      </c>
      <c r="G176" s="11">
        <f>IF($Y176="","",INDEX('Per Line'!$H$2:$H$1001,$Y176))</f>
        <v/>
      </c>
      <c r="H176">
        <f>IF($Y176="","",INDEX('Per Line'!$K$2:$K$1001,$Y176)&amp;"")</f>
        <v/>
      </c>
      <c r="I176">
        <f>IF($Y176="","",INDEX('Per Line'!$L$2:$L$1001,$Y176)&amp;"")</f>
        <v/>
      </c>
      <c r="J176">
        <f>IF($Y176="","",INDEX('Per Line'!$M$2:$M$1001,$Y176)&amp;"")</f>
        <v/>
      </c>
      <c r="K176">
        <f>IF($Y176="","",INDEX('Per Line'!$Q$2:$Q$1001,$Y176))</f>
        <v/>
      </c>
      <c r="L176" s="7">
        <f>IF($Y176="","",K176*W176/100)</f>
        <v/>
      </c>
      <c r="M176">
        <f>IF($Y176="","",INDEX('Per Line'!$AD$2:$AD$1001,$Y176)&amp;"")</f>
        <v/>
      </c>
      <c r="N176" s="7">
        <f>IF($Y176="","",SUMIFS('Per Line'!$Z$2:$Z$1001,'Per Line'!$E$2:$E$1001,$B176,'Per Line'!$AR$2:$AR$1001,1))</f>
        <v/>
      </c>
      <c r="O176">
        <f>IF($Y176="","",Settings!$C$7)</f>
        <v/>
      </c>
      <c r="P176" s="7">
        <f>IF($Y176="","",SUMIFS('Per Line'!$Z$2:$Z$1001,'Per Line'!$E$2:$E$1001,$B176,'Per Line'!$AQ$2:$AQ$1001,0,'Per Line'!$AR$2:$AR$1001,0))</f>
        <v/>
      </c>
      <c r="Q176" s="7">
        <f>IF($Y176="","",P176*O176)</f>
        <v/>
      </c>
      <c r="R176">
        <f>IF($Y176="","",Settings!$C$6)</f>
        <v/>
      </c>
      <c r="S176" s="7">
        <f>IF($Y176="","",SUMIFS('Per Line'!$Z$2:$Z$1001,'Per Line'!$E$2:$E$1001,$B176,'Per Line'!$AQ$2:$AQ$1001,1,'Per Line'!$AR$2:$AR$1001,0))</f>
        <v/>
      </c>
      <c r="T176" s="7">
        <f>IF($Y176="","",S176*R176)</f>
        <v/>
      </c>
      <c r="U176" s="7">
        <f>IF($Y176="","",T176+Q176)</f>
        <v/>
      </c>
      <c r="V176" s="7">
        <f>IF($Y176="","",W176-U176)</f>
        <v/>
      </c>
      <c r="W176" s="7">
        <f>IF($Y176="","",P176+S176+N176)</f>
        <v/>
      </c>
      <c r="X176" s="7">
        <f>IF($Y176="","",W176-U176-L176)</f>
        <v/>
      </c>
      <c r="Y176" s="13">
        <f>IF(ROWS($Y$2:$Y176)&lt;=MAX('Per Line'!$AP$2:$AP$1001),MATCH(ROWS($Y$2:$Y176),'Per Line'!$AP$2:$AP$1001,0),"")</f>
        <v/>
      </c>
    </row>
    <row r="177">
      <c r="A177" s="12" t="n"/>
      <c r="B177">
        <f>IF($Y177="","",INDEX('Per Line'!$E$2:$E$1001,$Y177)&amp;"")</f>
        <v/>
      </c>
      <c r="C177">
        <f>IF($Y177="","",INDEX('Per Line'!$F$2:$F$1001,$Y177)&amp;"")</f>
        <v/>
      </c>
      <c r="D177">
        <f>IF($Y177="","",INDEX('Per Line'!$A$2:$A$1001,$Y177)&amp;"")</f>
        <v/>
      </c>
      <c r="E177">
        <f>IF($Y177="","",INDEX('Per Line'!$B$2:$B$1001,$Y177))</f>
        <v/>
      </c>
      <c r="F177">
        <f>IF($Y177="","",INDEX('Per Line'!$G$2:$G$1001,$Y177)&amp;"")</f>
        <v/>
      </c>
      <c r="G177" s="11">
        <f>IF($Y177="","",INDEX('Per Line'!$H$2:$H$1001,$Y177))</f>
        <v/>
      </c>
      <c r="H177">
        <f>IF($Y177="","",INDEX('Per Line'!$K$2:$K$1001,$Y177)&amp;"")</f>
        <v/>
      </c>
      <c r="I177">
        <f>IF($Y177="","",INDEX('Per Line'!$L$2:$L$1001,$Y177)&amp;"")</f>
        <v/>
      </c>
      <c r="J177">
        <f>IF($Y177="","",INDEX('Per Line'!$M$2:$M$1001,$Y177)&amp;"")</f>
        <v/>
      </c>
      <c r="K177">
        <f>IF($Y177="","",INDEX('Per Line'!$Q$2:$Q$1001,$Y177))</f>
        <v/>
      </c>
      <c r="L177" s="7">
        <f>IF($Y177="","",K177*W177/100)</f>
        <v/>
      </c>
      <c r="M177">
        <f>IF($Y177="","",INDEX('Per Line'!$AD$2:$AD$1001,$Y177)&amp;"")</f>
        <v/>
      </c>
      <c r="N177" s="7">
        <f>IF($Y177="","",SUMIFS('Per Line'!$Z$2:$Z$1001,'Per Line'!$E$2:$E$1001,$B177,'Per Line'!$AR$2:$AR$1001,1))</f>
        <v/>
      </c>
      <c r="O177">
        <f>IF($Y177="","",Settings!$C$7)</f>
        <v/>
      </c>
      <c r="P177" s="7">
        <f>IF($Y177="","",SUMIFS('Per Line'!$Z$2:$Z$1001,'Per Line'!$E$2:$E$1001,$B177,'Per Line'!$AQ$2:$AQ$1001,0,'Per Line'!$AR$2:$AR$1001,0))</f>
        <v/>
      </c>
      <c r="Q177" s="7">
        <f>IF($Y177="","",P177*O177)</f>
        <v/>
      </c>
      <c r="R177">
        <f>IF($Y177="","",Settings!$C$6)</f>
        <v/>
      </c>
      <c r="S177" s="7">
        <f>IF($Y177="","",SUMIFS('Per Line'!$Z$2:$Z$1001,'Per Line'!$E$2:$E$1001,$B177,'Per Line'!$AQ$2:$AQ$1001,1,'Per Line'!$AR$2:$AR$1001,0))</f>
        <v/>
      </c>
      <c r="T177" s="7">
        <f>IF($Y177="","",S177*R177)</f>
        <v/>
      </c>
      <c r="U177" s="7">
        <f>IF($Y177="","",T177+Q177)</f>
        <v/>
      </c>
      <c r="V177" s="7">
        <f>IF($Y177="","",W177-U177)</f>
        <v/>
      </c>
      <c r="W177" s="7">
        <f>IF($Y177="","",P177+S177+N177)</f>
        <v/>
      </c>
      <c r="X177" s="7">
        <f>IF($Y177="","",W177-U177-L177)</f>
        <v/>
      </c>
      <c r="Y177" s="13">
        <f>IF(ROWS($Y$2:$Y177)&lt;=MAX('Per Line'!$AP$2:$AP$1001),MATCH(ROWS($Y$2:$Y177),'Per Line'!$AP$2:$AP$1001,0),"")</f>
        <v/>
      </c>
    </row>
    <row r="178">
      <c r="A178" s="12" t="n"/>
      <c r="B178">
        <f>IF($Y178="","",INDEX('Per Line'!$E$2:$E$1001,$Y178)&amp;"")</f>
        <v/>
      </c>
      <c r="C178">
        <f>IF($Y178="","",INDEX('Per Line'!$F$2:$F$1001,$Y178)&amp;"")</f>
        <v/>
      </c>
      <c r="D178">
        <f>IF($Y178="","",INDEX('Per Line'!$A$2:$A$1001,$Y178)&amp;"")</f>
        <v/>
      </c>
      <c r="E178">
        <f>IF($Y178="","",INDEX('Per Line'!$B$2:$B$1001,$Y178))</f>
        <v/>
      </c>
      <c r="F178">
        <f>IF($Y178="","",INDEX('Per Line'!$G$2:$G$1001,$Y178)&amp;"")</f>
        <v/>
      </c>
      <c r="G178" s="11">
        <f>IF($Y178="","",INDEX('Per Line'!$H$2:$H$1001,$Y178))</f>
        <v/>
      </c>
      <c r="H178">
        <f>IF($Y178="","",INDEX('Per Line'!$K$2:$K$1001,$Y178)&amp;"")</f>
        <v/>
      </c>
      <c r="I178">
        <f>IF($Y178="","",INDEX('Per Line'!$L$2:$L$1001,$Y178)&amp;"")</f>
        <v/>
      </c>
      <c r="J178">
        <f>IF($Y178="","",INDEX('Per Line'!$M$2:$M$1001,$Y178)&amp;"")</f>
        <v/>
      </c>
      <c r="K178">
        <f>IF($Y178="","",INDEX('Per Line'!$Q$2:$Q$1001,$Y178))</f>
        <v/>
      </c>
      <c r="L178" s="7">
        <f>IF($Y178="","",K178*W178/100)</f>
        <v/>
      </c>
      <c r="M178">
        <f>IF($Y178="","",INDEX('Per Line'!$AD$2:$AD$1001,$Y178)&amp;"")</f>
        <v/>
      </c>
      <c r="N178" s="7">
        <f>IF($Y178="","",SUMIFS('Per Line'!$Z$2:$Z$1001,'Per Line'!$E$2:$E$1001,$B178,'Per Line'!$AR$2:$AR$1001,1))</f>
        <v/>
      </c>
      <c r="O178">
        <f>IF($Y178="","",Settings!$C$7)</f>
        <v/>
      </c>
      <c r="P178" s="7">
        <f>IF($Y178="","",SUMIFS('Per Line'!$Z$2:$Z$1001,'Per Line'!$E$2:$E$1001,$B178,'Per Line'!$AQ$2:$AQ$1001,0,'Per Line'!$AR$2:$AR$1001,0))</f>
        <v/>
      </c>
      <c r="Q178" s="7">
        <f>IF($Y178="","",P178*O178)</f>
        <v/>
      </c>
      <c r="R178">
        <f>IF($Y178="","",Settings!$C$6)</f>
        <v/>
      </c>
      <c r="S178" s="7">
        <f>IF($Y178="","",SUMIFS('Per Line'!$Z$2:$Z$1001,'Per Line'!$E$2:$E$1001,$B178,'Per Line'!$AQ$2:$AQ$1001,1,'Per Line'!$AR$2:$AR$1001,0))</f>
        <v/>
      </c>
      <c r="T178" s="7">
        <f>IF($Y178="","",S178*R178)</f>
        <v/>
      </c>
      <c r="U178" s="7">
        <f>IF($Y178="","",T178+Q178)</f>
        <v/>
      </c>
      <c r="V178" s="7">
        <f>IF($Y178="","",W178-U178)</f>
        <v/>
      </c>
      <c r="W178" s="7">
        <f>IF($Y178="","",P178+S178+N178)</f>
        <v/>
      </c>
      <c r="X178" s="7">
        <f>IF($Y178="","",W178-U178-L178)</f>
        <v/>
      </c>
      <c r="Y178" s="13">
        <f>IF(ROWS($Y$2:$Y178)&lt;=MAX('Per Line'!$AP$2:$AP$1001),MATCH(ROWS($Y$2:$Y178),'Per Line'!$AP$2:$AP$1001,0),"")</f>
        <v/>
      </c>
    </row>
    <row r="179">
      <c r="A179" s="12" t="n"/>
      <c r="B179">
        <f>IF($Y179="","",INDEX('Per Line'!$E$2:$E$1001,$Y179)&amp;"")</f>
        <v/>
      </c>
      <c r="C179">
        <f>IF($Y179="","",INDEX('Per Line'!$F$2:$F$1001,$Y179)&amp;"")</f>
        <v/>
      </c>
      <c r="D179">
        <f>IF($Y179="","",INDEX('Per Line'!$A$2:$A$1001,$Y179)&amp;"")</f>
        <v/>
      </c>
      <c r="E179">
        <f>IF($Y179="","",INDEX('Per Line'!$B$2:$B$1001,$Y179))</f>
        <v/>
      </c>
      <c r="F179">
        <f>IF($Y179="","",INDEX('Per Line'!$G$2:$G$1001,$Y179)&amp;"")</f>
        <v/>
      </c>
      <c r="G179" s="11">
        <f>IF($Y179="","",INDEX('Per Line'!$H$2:$H$1001,$Y179))</f>
        <v/>
      </c>
      <c r="H179">
        <f>IF($Y179="","",INDEX('Per Line'!$K$2:$K$1001,$Y179)&amp;"")</f>
        <v/>
      </c>
      <c r="I179">
        <f>IF($Y179="","",INDEX('Per Line'!$L$2:$L$1001,$Y179)&amp;"")</f>
        <v/>
      </c>
      <c r="J179">
        <f>IF($Y179="","",INDEX('Per Line'!$M$2:$M$1001,$Y179)&amp;"")</f>
        <v/>
      </c>
      <c r="K179">
        <f>IF($Y179="","",INDEX('Per Line'!$Q$2:$Q$1001,$Y179))</f>
        <v/>
      </c>
      <c r="L179" s="7">
        <f>IF($Y179="","",K179*W179/100)</f>
        <v/>
      </c>
      <c r="M179">
        <f>IF($Y179="","",INDEX('Per Line'!$AD$2:$AD$1001,$Y179)&amp;"")</f>
        <v/>
      </c>
      <c r="N179" s="7">
        <f>IF($Y179="","",SUMIFS('Per Line'!$Z$2:$Z$1001,'Per Line'!$E$2:$E$1001,$B179,'Per Line'!$AR$2:$AR$1001,1))</f>
        <v/>
      </c>
      <c r="O179">
        <f>IF($Y179="","",Settings!$C$7)</f>
        <v/>
      </c>
      <c r="P179" s="7">
        <f>IF($Y179="","",SUMIFS('Per Line'!$Z$2:$Z$1001,'Per Line'!$E$2:$E$1001,$B179,'Per Line'!$AQ$2:$AQ$1001,0,'Per Line'!$AR$2:$AR$1001,0))</f>
        <v/>
      </c>
      <c r="Q179" s="7">
        <f>IF($Y179="","",P179*O179)</f>
        <v/>
      </c>
      <c r="R179">
        <f>IF($Y179="","",Settings!$C$6)</f>
        <v/>
      </c>
      <c r="S179" s="7">
        <f>IF($Y179="","",SUMIFS('Per Line'!$Z$2:$Z$1001,'Per Line'!$E$2:$E$1001,$B179,'Per Line'!$AQ$2:$AQ$1001,1,'Per Line'!$AR$2:$AR$1001,0))</f>
        <v/>
      </c>
      <c r="T179" s="7">
        <f>IF($Y179="","",S179*R179)</f>
        <v/>
      </c>
      <c r="U179" s="7">
        <f>IF($Y179="","",T179+Q179)</f>
        <v/>
      </c>
      <c r="V179" s="7">
        <f>IF($Y179="","",W179-U179)</f>
        <v/>
      </c>
      <c r="W179" s="7">
        <f>IF($Y179="","",P179+S179+N179)</f>
        <v/>
      </c>
      <c r="X179" s="7">
        <f>IF($Y179="","",W179-U179-L179)</f>
        <v/>
      </c>
      <c r="Y179" s="13">
        <f>IF(ROWS($Y$2:$Y179)&lt;=MAX('Per Line'!$AP$2:$AP$1001),MATCH(ROWS($Y$2:$Y179),'Per Line'!$AP$2:$AP$1001,0),"")</f>
        <v/>
      </c>
    </row>
    <row r="180">
      <c r="A180" s="12" t="n"/>
      <c r="B180">
        <f>IF($Y180="","",INDEX('Per Line'!$E$2:$E$1001,$Y180)&amp;"")</f>
        <v/>
      </c>
      <c r="C180">
        <f>IF($Y180="","",INDEX('Per Line'!$F$2:$F$1001,$Y180)&amp;"")</f>
        <v/>
      </c>
      <c r="D180">
        <f>IF($Y180="","",INDEX('Per Line'!$A$2:$A$1001,$Y180)&amp;"")</f>
        <v/>
      </c>
      <c r="E180">
        <f>IF($Y180="","",INDEX('Per Line'!$B$2:$B$1001,$Y180))</f>
        <v/>
      </c>
      <c r="F180">
        <f>IF($Y180="","",INDEX('Per Line'!$G$2:$G$1001,$Y180)&amp;"")</f>
        <v/>
      </c>
      <c r="G180" s="11">
        <f>IF($Y180="","",INDEX('Per Line'!$H$2:$H$1001,$Y180))</f>
        <v/>
      </c>
      <c r="H180">
        <f>IF($Y180="","",INDEX('Per Line'!$K$2:$K$1001,$Y180)&amp;"")</f>
        <v/>
      </c>
      <c r="I180">
        <f>IF($Y180="","",INDEX('Per Line'!$L$2:$L$1001,$Y180)&amp;"")</f>
        <v/>
      </c>
      <c r="J180">
        <f>IF($Y180="","",INDEX('Per Line'!$M$2:$M$1001,$Y180)&amp;"")</f>
        <v/>
      </c>
      <c r="K180">
        <f>IF($Y180="","",INDEX('Per Line'!$Q$2:$Q$1001,$Y180))</f>
        <v/>
      </c>
      <c r="L180" s="7">
        <f>IF($Y180="","",K180*W180/100)</f>
        <v/>
      </c>
      <c r="M180">
        <f>IF($Y180="","",INDEX('Per Line'!$AD$2:$AD$1001,$Y180)&amp;"")</f>
        <v/>
      </c>
      <c r="N180" s="7">
        <f>IF($Y180="","",SUMIFS('Per Line'!$Z$2:$Z$1001,'Per Line'!$E$2:$E$1001,$B180,'Per Line'!$AR$2:$AR$1001,1))</f>
        <v/>
      </c>
      <c r="O180">
        <f>IF($Y180="","",Settings!$C$7)</f>
        <v/>
      </c>
      <c r="P180" s="7">
        <f>IF($Y180="","",SUMIFS('Per Line'!$Z$2:$Z$1001,'Per Line'!$E$2:$E$1001,$B180,'Per Line'!$AQ$2:$AQ$1001,0,'Per Line'!$AR$2:$AR$1001,0))</f>
        <v/>
      </c>
      <c r="Q180" s="7">
        <f>IF($Y180="","",P180*O180)</f>
        <v/>
      </c>
      <c r="R180">
        <f>IF($Y180="","",Settings!$C$6)</f>
        <v/>
      </c>
      <c r="S180" s="7">
        <f>IF($Y180="","",SUMIFS('Per Line'!$Z$2:$Z$1001,'Per Line'!$E$2:$E$1001,$B180,'Per Line'!$AQ$2:$AQ$1001,1,'Per Line'!$AR$2:$AR$1001,0))</f>
        <v/>
      </c>
      <c r="T180" s="7">
        <f>IF($Y180="","",S180*R180)</f>
        <v/>
      </c>
      <c r="U180" s="7">
        <f>IF($Y180="","",T180+Q180)</f>
        <v/>
      </c>
      <c r="V180" s="7">
        <f>IF($Y180="","",W180-U180)</f>
        <v/>
      </c>
      <c r="W180" s="7">
        <f>IF($Y180="","",P180+S180+N180)</f>
        <v/>
      </c>
      <c r="X180" s="7">
        <f>IF($Y180="","",W180-U180-L180)</f>
        <v/>
      </c>
      <c r="Y180" s="13">
        <f>IF(ROWS($Y$2:$Y180)&lt;=MAX('Per Line'!$AP$2:$AP$1001),MATCH(ROWS($Y$2:$Y180),'Per Line'!$AP$2:$AP$1001,0),"")</f>
        <v/>
      </c>
    </row>
    <row r="181">
      <c r="A181" s="12" t="n"/>
      <c r="B181">
        <f>IF($Y181="","",INDEX('Per Line'!$E$2:$E$1001,$Y181)&amp;"")</f>
        <v/>
      </c>
      <c r="C181">
        <f>IF($Y181="","",INDEX('Per Line'!$F$2:$F$1001,$Y181)&amp;"")</f>
        <v/>
      </c>
      <c r="D181">
        <f>IF($Y181="","",INDEX('Per Line'!$A$2:$A$1001,$Y181)&amp;"")</f>
        <v/>
      </c>
      <c r="E181">
        <f>IF($Y181="","",INDEX('Per Line'!$B$2:$B$1001,$Y181))</f>
        <v/>
      </c>
      <c r="F181">
        <f>IF($Y181="","",INDEX('Per Line'!$G$2:$G$1001,$Y181)&amp;"")</f>
        <v/>
      </c>
      <c r="G181" s="11">
        <f>IF($Y181="","",INDEX('Per Line'!$H$2:$H$1001,$Y181))</f>
        <v/>
      </c>
      <c r="H181">
        <f>IF($Y181="","",INDEX('Per Line'!$K$2:$K$1001,$Y181)&amp;"")</f>
        <v/>
      </c>
      <c r="I181">
        <f>IF($Y181="","",INDEX('Per Line'!$L$2:$L$1001,$Y181)&amp;"")</f>
        <v/>
      </c>
      <c r="J181">
        <f>IF($Y181="","",INDEX('Per Line'!$M$2:$M$1001,$Y181)&amp;"")</f>
        <v/>
      </c>
      <c r="K181">
        <f>IF($Y181="","",INDEX('Per Line'!$Q$2:$Q$1001,$Y181))</f>
        <v/>
      </c>
      <c r="L181" s="7">
        <f>IF($Y181="","",K181*W181/100)</f>
        <v/>
      </c>
      <c r="M181">
        <f>IF($Y181="","",INDEX('Per Line'!$AD$2:$AD$1001,$Y181)&amp;"")</f>
        <v/>
      </c>
      <c r="N181" s="7">
        <f>IF($Y181="","",SUMIFS('Per Line'!$Z$2:$Z$1001,'Per Line'!$E$2:$E$1001,$B181,'Per Line'!$AR$2:$AR$1001,1))</f>
        <v/>
      </c>
      <c r="O181">
        <f>IF($Y181="","",Settings!$C$7)</f>
        <v/>
      </c>
      <c r="P181" s="7">
        <f>IF($Y181="","",SUMIFS('Per Line'!$Z$2:$Z$1001,'Per Line'!$E$2:$E$1001,$B181,'Per Line'!$AQ$2:$AQ$1001,0,'Per Line'!$AR$2:$AR$1001,0))</f>
        <v/>
      </c>
      <c r="Q181" s="7">
        <f>IF($Y181="","",P181*O181)</f>
        <v/>
      </c>
      <c r="R181">
        <f>IF($Y181="","",Settings!$C$6)</f>
        <v/>
      </c>
      <c r="S181" s="7">
        <f>IF($Y181="","",SUMIFS('Per Line'!$Z$2:$Z$1001,'Per Line'!$E$2:$E$1001,$B181,'Per Line'!$AQ$2:$AQ$1001,1,'Per Line'!$AR$2:$AR$1001,0))</f>
        <v/>
      </c>
      <c r="T181" s="7">
        <f>IF($Y181="","",S181*R181)</f>
        <v/>
      </c>
      <c r="U181" s="7">
        <f>IF($Y181="","",T181+Q181)</f>
        <v/>
      </c>
      <c r="V181" s="7">
        <f>IF($Y181="","",W181-U181)</f>
        <v/>
      </c>
      <c r="W181" s="7">
        <f>IF($Y181="","",P181+S181+N181)</f>
        <v/>
      </c>
      <c r="X181" s="7">
        <f>IF($Y181="","",W181-U181-L181)</f>
        <v/>
      </c>
      <c r="Y181" s="13">
        <f>IF(ROWS($Y$2:$Y181)&lt;=MAX('Per Line'!$AP$2:$AP$1001),MATCH(ROWS($Y$2:$Y181),'Per Line'!$AP$2:$AP$1001,0),"")</f>
        <v/>
      </c>
    </row>
    <row r="182">
      <c r="A182" s="12" t="n"/>
      <c r="B182">
        <f>IF($Y182="","",INDEX('Per Line'!$E$2:$E$1001,$Y182)&amp;"")</f>
        <v/>
      </c>
      <c r="C182">
        <f>IF($Y182="","",INDEX('Per Line'!$F$2:$F$1001,$Y182)&amp;"")</f>
        <v/>
      </c>
      <c r="D182">
        <f>IF($Y182="","",INDEX('Per Line'!$A$2:$A$1001,$Y182)&amp;"")</f>
        <v/>
      </c>
      <c r="E182">
        <f>IF($Y182="","",INDEX('Per Line'!$B$2:$B$1001,$Y182))</f>
        <v/>
      </c>
      <c r="F182">
        <f>IF($Y182="","",INDEX('Per Line'!$G$2:$G$1001,$Y182)&amp;"")</f>
        <v/>
      </c>
      <c r="G182" s="11">
        <f>IF($Y182="","",INDEX('Per Line'!$H$2:$H$1001,$Y182))</f>
        <v/>
      </c>
      <c r="H182">
        <f>IF($Y182="","",INDEX('Per Line'!$K$2:$K$1001,$Y182)&amp;"")</f>
        <v/>
      </c>
      <c r="I182">
        <f>IF($Y182="","",INDEX('Per Line'!$L$2:$L$1001,$Y182)&amp;"")</f>
        <v/>
      </c>
      <c r="J182">
        <f>IF($Y182="","",INDEX('Per Line'!$M$2:$M$1001,$Y182)&amp;"")</f>
        <v/>
      </c>
      <c r="K182">
        <f>IF($Y182="","",INDEX('Per Line'!$Q$2:$Q$1001,$Y182))</f>
        <v/>
      </c>
      <c r="L182" s="7">
        <f>IF($Y182="","",K182*W182/100)</f>
        <v/>
      </c>
      <c r="M182">
        <f>IF($Y182="","",INDEX('Per Line'!$AD$2:$AD$1001,$Y182)&amp;"")</f>
        <v/>
      </c>
      <c r="N182" s="7">
        <f>IF($Y182="","",SUMIFS('Per Line'!$Z$2:$Z$1001,'Per Line'!$E$2:$E$1001,$B182,'Per Line'!$AR$2:$AR$1001,1))</f>
        <v/>
      </c>
      <c r="O182">
        <f>IF($Y182="","",Settings!$C$7)</f>
        <v/>
      </c>
      <c r="P182" s="7">
        <f>IF($Y182="","",SUMIFS('Per Line'!$Z$2:$Z$1001,'Per Line'!$E$2:$E$1001,$B182,'Per Line'!$AQ$2:$AQ$1001,0,'Per Line'!$AR$2:$AR$1001,0))</f>
        <v/>
      </c>
      <c r="Q182" s="7">
        <f>IF($Y182="","",P182*O182)</f>
        <v/>
      </c>
      <c r="R182">
        <f>IF($Y182="","",Settings!$C$6)</f>
        <v/>
      </c>
      <c r="S182" s="7">
        <f>IF($Y182="","",SUMIFS('Per Line'!$Z$2:$Z$1001,'Per Line'!$E$2:$E$1001,$B182,'Per Line'!$AQ$2:$AQ$1001,1,'Per Line'!$AR$2:$AR$1001,0))</f>
        <v/>
      </c>
      <c r="T182" s="7">
        <f>IF($Y182="","",S182*R182)</f>
        <v/>
      </c>
      <c r="U182" s="7">
        <f>IF($Y182="","",T182+Q182)</f>
        <v/>
      </c>
      <c r="V182" s="7">
        <f>IF($Y182="","",W182-U182)</f>
        <v/>
      </c>
      <c r="W182" s="7">
        <f>IF($Y182="","",P182+S182+N182)</f>
        <v/>
      </c>
      <c r="X182" s="7">
        <f>IF($Y182="","",W182-U182-L182)</f>
        <v/>
      </c>
      <c r="Y182" s="13">
        <f>IF(ROWS($Y$2:$Y182)&lt;=MAX('Per Line'!$AP$2:$AP$1001),MATCH(ROWS($Y$2:$Y182),'Per Line'!$AP$2:$AP$1001,0),"")</f>
        <v/>
      </c>
    </row>
    <row r="183">
      <c r="A183" s="12" t="n"/>
      <c r="B183">
        <f>IF($Y183="","",INDEX('Per Line'!$E$2:$E$1001,$Y183)&amp;"")</f>
        <v/>
      </c>
      <c r="C183">
        <f>IF($Y183="","",INDEX('Per Line'!$F$2:$F$1001,$Y183)&amp;"")</f>
        <v/>
      </c>
      <c r="D183">
        <f>IF($Y183="","",INDEX('Per Line'!$A$2:$A$1001,$Y183)&amp;"")</f>
        <v/>
      </c>
      <c r="E183">
        <f>IF($Y183="","",INDEX('Per Line'!$B$2:$B$1001,$Y183))</f>
        <v/>
      </c>
      <c r="F183">
        <f>IF($Y183="","",INDEX('Per Line'!$G$2:$G$1001,$Y183)&amp;"")</f>
        <v/>
      </c>
      <c r="G183" s="11">
        <f>IF($Y183="","",INDEX('Per Line'!$H$2:$H$1001,$Y183))</f>
        <v/>
      </c>
      <c r="H183">
        <f>IF($Y183="","",INDEX('Per Line'!$K$2:$K$1001,$Y183)&amp;"")</f>
        <v/>
      </c>
      <c r="I183">
        <f>IF($Y183="","",INDEX('Per Line'!$L$2:$L$1001,$Y183)&amp;"")</f>
        <v/>
      </c>
      <c r="J183">
        <f>IF($Y183="","",INDEX('Per Line'!$M$2:$M$1001,$Y183)&amp;"")</f>
        <v/>
      </c>
      <c r="K183">
        <f>IF($Y183="","",INDEX('Per Line'!$Q$2:$Q$1001,$Y183))</f>
        <v/>
      </c>
      <c r="L183" s="7">
        <f>IF($Y183="","",K183*W183/100)</f>
        <v/>
      </c>
      <c r="M183">
        <f>IF($Y183="","",INDEX('Per Line'!$AD$2:$AD$1001,$Y183)&amp;"")</f>
        <v/>
      </c>
      <c r="N183" s="7">
        <f>IF($Y183="","",SUMIFS('Per Line'!$Z$2:$Z$1001,'Per Line'!$E$2:$E$1001,$B183,'Per Line'!$AR$2:$AR$1001,1))</f>
        <v/>
      </c>
      <c r="O183">
        <f>IF($Y183="","",Settings!$C$7)</f>
        <v/>
      </c>
      <c r="P183" s="7">
        <f>IF($Y183="","",SUMIFS('Per Line'!$Z$2:$Z$1001,'Per Line'!$E$2:$E$1001,$B183,'Per Line'!$AQ$2:$AQ$1001,0,'Per Line'!$AR$2:$AR$1001,0))</f>
        <v/>
      </c>
      <c r="Q183" s="7">
        <f>IF($Y183="","",P183*O183)</f>
        <v/>
      </c>
      <c r="R183">
        <f>IF($Y183="","",Settings!$C$6)</f>
        <v/>
      </c>
      <c r="S183" s="7">
        <f>IF($Y183="","",SUMIFS('Per Line'!$Z$2:$Z$1001,'Per Line'!$E$2:$E$1001,$B183,'Per Line'!$AQ$2:$AQ$1001,1,'Per Line'!$AR$2:$AR$1001,0))</f>
        <v/>
      </c>
      <c r="T183" s="7">
        <f>IF($Y183="","",S183*R183)</f>
        <v/>
      </c>
      <c r="U183" s="7">
        <f>IF($Y183="","",T183+Q183)</f>
        <v/>
      </c>
      <c r="V183" s="7">
        <f>IF($Y183="","",W183-U183)</f>
        <v/>
      </c>
      <c r="W183" s="7">
        <f>IF($Y183="","",P183+S183+N183)</f>
        <v/>
      </c>
      <c r="X183" s="7">
        <f>IF($Y183="","",W183-U183-L183)</f>
        <v/>
      </c>
      <c r="Y183" s="13">
        <f>IF(ROWS($Y$2:$Y183)&lt;=MAX('Per Line'!$AP$2:$AP$1001),MATCH(ROWS($Y$2:$Y183),'Per Line'!$AP$2:$AP$1001,0),"")</f>
        <v/>
      </c>
    </row>
    <row r="184">
      <c r="A184" s="12" t="n"/>
      <c r="B184">
        <f>IF($Y184="","",INDEX('Per Line'!$E$2:$E$1001,$Y184)&amp;"")</f>
        <v/>
      </c>
      <c r="C184">
        <f>IF($Y184="","",INDEX('Per Line'!$F$2:$F$1001,$Y184)&amp;"")</f>
        <v/>
      </c>
      <c r="D184">
        <f>IF($Y184="","",INDEX('Per Line'!$A$2:$A$1001,$Y184)&amp;"")</f>
        <v/>
      </c>
      <c r="E184">
        <f>IF($Y184="","",INDEX('Per Line'!$B$2:$B$1001,$Y184))</f>
        <v/>
      </c>
      <c r="F184">
        <f>IF($Y184="","",INDEX('Per Line'!$G$2:$G$1001,$Y184)&amp;"")</f>
        <v/>
      </c>
      <c r="G184" s="11">
        <f>IF($Y184="","",INDEX('Per Line'!$H$2:$H$1001,$Y184))</f>
        <v/>
      </c>
      <c r="H184">
        <f>IF($Y184="","",INDEX('Per Line'!$K$2:$K$1001,$Y184)&amp;"")</f>
        <v/>
      </c>
      <c r="I184">
        <f>IF($Y184="","",INDEX('Per Line'!$L$2:$L$1001,$Y184)&amp;"")</f>
        <v/>
      </c>
      <c r="J184">
        <f>IF($Y184="","",INDEX('Per Line'!$M$2:$M$1001,$Y184)&amp;"")</f>
        <v/>
      </c>
      <c r="K184">
        <f>IF($Y184="","",INDEX('Per Line'!$Q$2:$Q$1001,$Y184))</f>
        <v/>
      </c>
      <c r="L184" s="7">
        <f>IF($Y184="","",K184*W184/100)</f>
        <v/>
      </c>
      <c r="M184">
        <f>IF($Y184="","",INDEX('Per Line'!$AD$2:$AD$1001,$Y184)&amp;"")</f>
        <v/>
      </c>
      <c r="N184" s="7">
        <f>IF($Y184="","",SUMIFS('Per Line'!$Z$2:$Z$1001,'Per Line'!$E$2:$E$1001,$B184,'Per Line'!$AR$2:$AR$1001,1))</f>
        <v/>
      </c>
      <c r="O184">
        <f>IF($Y184="","",Settings!$C$7)</f>
        <v/>
      </c>
      <c r="P184" s="7">
        <f>IF($Y184="","",SUMIFS('Per Line'!$Z$2:$Z$1001,'Per Line'!$E$2:$E$1001,$B184,'Per Line'!$AQ$2:$AQ$1001,0,'Per Line'!$AR$2:$AR$1001,0))</f>
        <v/>
      </c>
      <c r="Q184" s="7">
        <f>IF($Y184="","",P184*O184)</f>
        <v/>
      </c>
      <c r="R184">
        <f>IF($Y184="","",Settings!$C$6)</f>
        <v/>
      </c>
      <c r="S184" s="7">
        <f>IF($Y184="","",SUMIFS('Per Line'!$Z$2:$Z$1001,'Per Line'!$E$2:$E$1001,$B184,'Per Line'!$AQ$2:$AQ$1001,1,'Per Line'!$AR$2:$AR$1001,0))</f>
        <v/>
      </c>
      <c r="T184" s="7">
        <f>IF($Y184="","",S184*R184)</f>
        <v/>
      </c>
      <c r="U184" s="7">
        <f>IF($Y184="","",T184+Q184)</f>
        <v/>
      </c>
      <c r="V184" s="7">
        <f>IF($Y184="","",W184-U184)</f>
        <v/>
      </c>
      <c r="W184" s="7">
        <f>IF($Y184="","",P184+S184+N184)</f>
        <v/>
      </c>
      <c r="X184" s="7">
        <f>IF($Y184="","",W184-U184-L184)</f>
        <v/>
      </c>
      <c r="Y184" s="13">
        <f>IF(ROWS($Y$2:$Y184)&lt;=MAX('Per Line'!$AP$2:$AP$1001),MATCH(ROWS($Y$2:$Y184),'Per Line'!$AP$2:$AP$1001,0),"")</f>
        <v/>
      </c>
    </row>
    <row r="185">
      <c r="A185" s="12" t="n"/>
      <c r="B185">
        <f>IF($Y185="","",INDEX('Per Line'!$E$2:$E$1001,$Y185)&amp;"")</f>
        <v/>
      </c>
      <c r="C185">
        <f>IF($Y185="","",INDEX('Per Line'!$F$2:$F$1001,$Y185)&amp;"")</f>
        <v/>
      </c>
      <c r="D185">
        <f>IF($Y185="","",INDEX('Per Line'!$A$2:$A$1001,$Y185)&amp;"")</f>
        <v/>
      </c>
      <c r="E185">
        <f>IF($Y185="","",INDEX('Per Line'!$B$2:$B$1001,$Y185))</f>
        <v/>
      </c>
      <c r="F185">
        <f>IF($Y185="","",INDEX('Per Line'!$G$2:$G$1001,$Y185)&amp;"")</f>
        <v/>
      </c>
      <c r="G185" s="11">
        <f>IF($Y185="","",INDEX('Per Line'!$H$2:$H$1001,$Y185))</f>
        <v/>
      </c>
      <c r="H185">
        <f>IF($Y185="","",INDEX('Per Line'!$K$2:$K$1001,$Y185)&amp;"")</f>
        <v/>
      </c>
      <c r="I185">
        <f>IF($Y185="","",INDEX('Per Line'!$L$2:$L$1001,$Y185)&amp;"")</f>
        <v/>
      </c>
      <c r="J185">
        <f>IF($Y185="","",INDEX('Per Line'!$M$2:$M$1001,$Y185)&amp;"")</f>
        <v/>
      </c>
      <c r="K185">
        <f>IF($Y185="","",INDEX('Per Line'!$Q$2:$Q$1001,$Y185))</f>
        <v/>
      </c>
      <c r="L185" s="7">
        <f>IF($Y185="","",K185*W185/100)</f>
        <v/>
      </c>
      <c r="M185">
        <f>IF($Y185="","",INDEX('Per Line'!$AD$2:$AD$1001,$Y185)&amp;"")</f>
        <v/>
      </c>
      <c r="N185" s="7">
        <f>IF($Y185="","",SUMIFS('Per Line'!$Z$2:$Z$1001,'Per Line'!$E$2:$E$1001,$B185,'Per Line'!$AR$2:$AR$1001,1))</f>
        <v/>
      </c>
      <c r="O185">
        <f>IF($Y185="","",Settings!$C$7)</f>
        <v/>
      </c>
      <c r="P185" s="7">
        <f>IF($Y185="","",SUMIFS('Per Line'!$Z$2:$Z$1001,'Per Line'!$E$2:$E$1001,$B185,'Per Line'!$AQ$2:$AQ$1001,0,'Per Line'!$AR$2:$AR$1001,0))</f>
        <v/>
      </c>
      <c r="Q185" s="7">
        <f>IF($Y185="","",P185*O185)</f>
        <v/>
      </c>
      <c r="R185">
        <f>IF($Y185="","",Settings!$C$6)</f>
        <v/>
      </c>
      <c r="S185" s="7">
        <f>IF($Y185="","",SUMIFS('Per Line'!$Z$2:$Z$1001,'Per Line'!$E$2:$E$1001,$B185,'Per Line'!$AQ$2:$AQ$1001,1,'Per Line'!$AR$2:$AR$1001,0))</f>
        <v/>
      </c>
      <c r="T185" s="7">
        <f>IF($Y185="","",S185*R185)</f>
        <v/>
      </c>
      <c r="U185" s="7">
        <f>IF($Y185="","",T185+Q185)</f>
        <v/>
      </c>
      <c r="V185" s="7">
        <f>IF($Y185="","",W185-U185)</f>
        <v/>
      </c>
      <c r="W185" s="7">
        <f>IF($Y185="","",P185+S185+N185)</f>
        <v/>
      </c>
      <c r="X185" s="7">
        <f>IF($Y185="","",W185-U185-L185)</f>
        <v/>
      </c>
      <c r="Y185" s="13">
        <f>IF(ROWS($Y$2:$Y185)&lt;=MAX('Per Line'!$AP$2:$AP$1001),MATCH(ROWS($Y$2:$Y185),'Per Line'!$AP$2:$AP$1001,0),"")</f>
        <v/>
      </c>
    </row>
    <row r="186">
      <c r="A186" s="12" t="n"/>
      <c r="B186">
        <f>IF($Y186="","",INDEX('Per Line'!$E$2:$E$1001,$Y186)&amp;"")</f>
        <v/>
      </c>
      <c r="C186">
        <f>IF($Y186="","",INDEX('Per Line'!$F$2:$F$1001,$Y186)&amp;"")</f>
        <v/>
      </c>
      <c r="D186">
        <f>IF($Y186="","",INDEX('Per Line'!$A$2:$A$1001,$Y186)&amp;"")</f>
        <v/>
      </c>
      <c r="E186">
        <f>IF($Y186="","",INDEX('Per Line'!$B$2:$B$1001,$Y186))</f>
        <v/>
      </c>
      <c r="F186">
        <f>IF($Y186="","",INDEX('Per Line'!$G$2:$G$1001,$Y186)&amp;"")</f>
        <v/>
      </c>
      <c r="G186" s="11">
        <f>IF($Y186="","",INDEX('Per Line'!$H$2:$H$1001,$Y186))</f>
        <v/>
      </c>
      <c r="H186">
        <f>IF($Y186="","",INDEX('Per Line'!$K$2:$K$1001,$Y186)&amp;"")</f>
        <v/>
      </c>
      <c r="I186">
        <f>IF($Y186="","",INDEX('Per Line'!$L$2:$L$1001,$Y186)&amp;"")</f>
        <v/>
      </c>
      <c r="J186">
        <f>IF($Y186="","",INDEX('Per Line'!$M$2:$M$1001,$Y186)&amp;"")</f>
        <v/>
      </c>
      <c r="K186">
        <f>IF($Y186="","",INDEX('Per Line'!$Q$2:$Q$1001,$Y186))</f>
        <v/>
      </c>
      <c r="L186" s="7">
        <f>IF($Y186="","",K186*W186/100)</f>
        <v/>
      </c>
      <c r="M186">
        <f>IF($Y186="","",INDEX('Per Line'!$AD$2:$AD$1001,$Y186)&amp;"")</f>
        <v/>
      </c>
      <c r="N186" s="7">
        <f>IF($Y186="","",SUMIFS('Per Line'!$Z$2:$Z$1001,'Per Line'!$E$2:$E$1001,$B186,'Per Line'!$AR$2:$AR$1001,1))</f>
        <v/>
      </c>
      <c r="O186">
        <f>IF($Y186="","",Settings!$C$7)</f>
        <v/>
      </c>
      <c r="P186" s="7">
        <f>IF($Y186="","",SUMIFS('Per Line'!$Z$2:$Z$1001,'Per Line'!$E$2:$E$1001,$B186,'Per Line'!$AQ$2:$AQ$1001,0,'Per Line'!$AR$2:$AR$1001,0))</f>
        <v/>
      </c>
      <c r="Q186" s="7">
        <f>IF($Y186="","",P186*O186)</f>
        <v/>
      </c>
      <c r="R186">
        <f>IF($Y186="","",Settings!$C$6)</f>
        <v/>
      </c>
      <c r="S186" s="7">
        <f>IF($Y186="","",SUMIFS('Per Line'!$Z$2:$Z$1001,'Per Line'!$E$2:$E$1001,$B186,'Per Line'!$AQ$2:$AQ$1001,1,'Per Line'!$AR$2:$AR$1001,0))</f>
        <v/>
      </c>
      <c r="T186" s="7">
        <f>IF($Y186="","",S186*R186)</f>
        <v/>
      </c>
      <c r="U186" s="7">
        <f>IF($Y186="","",T186+Q186)</f>
        <v/>
      </c>
      <c r="V186" s="7">
        <f>IF($Y186="","",W186-U186)</f>
        <v/>
      </c>
      <c r="W186" s="7">
        <f>IF($Y186="","",P186+S186+N186)</f>
        <v/>
      </c>
      <c r="X186" s="7">
        <f>IF($Y186="","",W186-U186-L186)</f>
        <v/>
      </c>
      <c r="Y186" s="13">
        <f>IF(ROWS($Y$2:$Y186)&lt;=MAX('Per Line'!$AP$2:$AP$1001),MATCH(ROWS($Y$2:$Y186),'Per Line'!$AP$2:$AP$1001,0),"")</f>
        <v/>
      </c>
    </row>
    <row r="187">
      <c r="A187" s="12" t="n"/>
      <c r="B187">
        <f>IF($Y187="","",INDEX('Per Line'!$E$2:$E$1001,$Y187)&amp;"")</f>
        <v/>
      </c>
      <c r="C187">
        <f>IF($Y187="","",INDEX('Per Line'!$F$2:$F$1001,$Y187)&amp;"")</f>
        <v/>
      </c>
      <c r="D187">
        <f>IF($Y187="","",INDEX('Per Line'!$A$2:$A$1001,$Y187)&amp;"")</f>
        <v/>
      </c>
      <c r="E187">
        <f>IF($Y187="","",INDEX('Per Line'!$B$2:$B$1001,$Y187))</f>
        <v/>
      </c>
      <c r="F187">
        <f>IF($Y187="","",INDEX('Per Line'!$G$2:$G$1001,$Y187)&amp;"")</f>
        <v/>
      </c>
      <c r="G187" s="11">
        <f>IF($Y187="","",INDEX('Per Line'!$H$2:$H$1001,$Y187))</f>
        <v/>
      </c>
      <c r="H187">
        <f>IF($Y187="","",INDEX('Per Line'!$K$2:$K$1001,$Y187)&amp;"")</f>
        <v/>
      </c>
      <c r="I187">
        <f>IF($Y187="","",INDEX('Per Line'!$L$2:$L$1001,$Y187)&amp;"")</f>
        <v/>
      </c>
      <c r="J187">
        <f>IF($Y187="","",INDEX('Per Line'!$M$2:$M$1001,$Y187)&amp;"")</f>
        <v/>
      </c>
      <c r="K187">
        <f>IF($Y187="","",INDEX('Per Line'!$Q$2:$Q$1001,$Y187))</f>
        <v/>
      </c>
      <c r="L187" s="7">
        <f>IF($Y187="","",K187*W187/100)</f>
        <v/>
      </c>
      <c r="M187">
        <f>IF($Y187="","",INDEX('Per Line'!$AD$2:$AD$1001,$Y187)&amp;"")</f>
        <v/>
      </c>
      <c r="N187" s="7">
        <f>IF($Y187="","",SUMIFS('Per Line'!$Z$2:$Z$1001,'Per Line'!$E$2:$E$1001,$B187,'Per Line'!$AR$2:$AR$1001,1))</f>
        <v/>
      </c>
      <c r="O187">
        <f>IF($Y187="","",Settings!$C$7)</f>
        <v/>
      </c>
      <c r="P187" s="7">
        <f>IF($Y187="","",SUMIFS('Per Line'!$Z$2:$Z$1001,'Per Line'!$E$2:$E$1001,$B187,'Per Line'!$AQ$2:$AQ$1001,0,'Per Line'!$AR$2:$AR$1001,0))</f>
        <v/>
      </c>
      <c r="Q187" s="7">
        <f>IF($Y187="","",P187*O187)</f>
        <v/>
      </c>
      <c r="R187">
        <f>IF($Y187="","",Settings!$C$6)</f>
        <v/>
      </c>
      <c r="S187" s="7">
        <f>IF($Y187="","",SUMIFS('Per Line'!$Z$2:$Z$1001,'Per Line'!$E$2:$E$1001,$B187,'Per Line'!$AQ$2:$AQ$1001,1,'Per Line'!$AR$2:$AR$1001,0))</f>
        <v/>
      </c>
      <c r="T187" s="7">
        <f>IF($Y187="","",S187*R187)</f>
        <v/>
      </c>
      <c r="U187" s="7">
        <f>IF($Y187="","",T187+Q187)</f>
        <v/>
      </c>
      <c r="V187" s="7">
        <f>IF($Y187="","",W187-U187)</f>
        <v/>
      </c>
      <c r="W187" s="7">
        <f>IF($Y187="","",P187+S187+N187)</f>
        <v/>
      </c>
      <c r="X187" s="7">
        <f>IF($Y187="","",W187-U187-L187)</f>
        <v/>
      </c>
      <c r="Y187" s="13">
        <f>IF(ROWS($Y$2:$Y187)&lt;=MAX('Per Line'!$AP$2:$AP$1001),MATCH(ROWS($Y$2:$Y187),'Per Line'!$AP$2:$AP$1001,0),"")</f>
        <v/>
      </c>
    </row>
    <row r="188">
      <c r="A188" s="12" t="n"/>
      <c r="B188">
        <f>IF($Y188="","",INDEX('Per Line'!$E$2:$E$1001,$Y188)&amp;"")</f>
        <v/>
      </c>
      <c r="C188">
        <f>IF($Y188="","",INDEX('Per Line'!$F$2:$F$1001,$Y188)&amp;"")</f>
        <v/>
      </c>
      <c r="D188">
        <f>IF($Y188="","",INDEX('Per Line'!$A$2:$A$1001,$Y188)&amp;"")</f>
        <v/>
      </c>
      <c r="E188">
        <f>IF($Y188="","",INDEX('Per Line'!$B$2:$B$1001,$Y188))</f>
        <v/>
      </c>
      <c r="F188">
        <f>IF($Y188="","",INDEX('Per Line'!$G$2:$G$1001,$Y188)&amp;"")</f>
        <v/>
      </c>
      <c r="G188" s="11">
        <f>IF($Y188="","",INDEX('Per Line'!$H$2:$H$1001,$Y188))</f>
        <v/>
      </c>
      <c r="H188">
        <f>IF($Y188="","",INDEX('Per Line'!$K$2:$K$1001,$Y188)&amp;"")</f>
        <v/>
      </c>
      <c r="I188">
        <f>IF($Y188="","",INDEX('Per Line'!$L$2:$L$1001,$Y188)&amp;"")</f>
        <v/>
      </c>
      <c r="J188">
        <f>IF($Y188="","",INDEX('Per Line'!$M$2:$M$1001,$Y188)&amp;"")</f>
        <v/>
      </c>
      <c r="K188">
        <f>IF($Y188="","",INDEX('Per Line'!$Q$2:$Q$1001,$Y188))</f>
        <v/>
      </c>
      <c r="L188" s="7">
        <f>IF($Y188="","",K188*W188/100)</f>
        <v/>
      </c>
      <c r="M188">
        <f>IF($Y188="","",INDEX('Per Line'!$AD$2:$AD$1001,$Y188)&amp;"")</f>
        <v/>
      </c>
      <c r="N188" s="7">
        <f>IF($Y188="","",SUMIFS('Per Line'!$Z$2:$Z$1001,'Per Line'!$E$2:$E$1001,$B188,'Per Line'!$AR$2:$AR$1001,1))</f>
        <v/>
      </c>
      <c r="O188">
        <f>IF($Y188="","",Settings!$C$7)</f>
        <v/>
      </c>
      <c r="P188" s="7">
        <f>IF($Y188="","",SUMIFS('Per Line'!$Z$2:$Z$1001,'Per Line'!$E$2:$E$1001,$B188,'Per Line'!$AQ$2:$AQ$1001,0,'Per Line'!$AR$2:$AR$1001,0))</f>
        <v/>
      </c>
      <c r="Q188" s="7">
        <f>IF($Y188="","",P188*O188)</f>
        <v/>
      </c>
      <c r="R188">
        <f>IF($Y188="","",Settings!$C$6)</f>
        <v/>
      </c>
      <c r="S188" s="7">
        <f>IF($Y188="","",SUMIFS('Per Line'!$Z$2:$Z$1001,'Per Line'!$E$2:$E$1001,$B188,'Per Line'!$AQ$2:$AQ$1001,1,'Per Line'!$AR$2:$AR$1001,0))</f>
        <v/>
      </c>
      <c r="T188" s="7">
        <f>IF($Y188="","",S188*R188)</f>
        <v/>
      </c>
      <c r="U188" s="7">
        <f>IF($Y188="","",T188+Q188)</f>
        <v/>
      </c>
      <c r="V188" s="7">
        <f>IF($Y188="","",W188-U188)</f>
        <v/>
      </c>
      <c r="W188" s="7">
        <f>IF($Y188="","",P188+S188+N188)</f>
        <v/>
      </c>
      <c r="X188" s="7">
        <f>IF($Y188="","",W188-U188-L188)</f>
        <v/>
      </c>
      <c r="Y188" s="13">
        <f>IF(ROWS($Y$2:$Y188)&lt;=MAX('Per Line'!$AP$2:$AP$1001),MATCH(ROWS($Y$2:$Y188),'Per Line'!$AP$2:$AP$1001,0),"")</f>
        <v/>
      </c>
    </row>
    <row r="189">
      <c r="A189" s="12" t="n"/>
      <c r="B189">
        <f>IF($Y189="","",INDEX('Per Line'!$E$2:$E$1001,$Y189)&amp;"")</f>
        <v/>
      </c>
      <c r="C189">
        <f>IF($Y189="","",INDEX('Per Line'!$F$2:$F$1001,$Y189)&amp;"")</f>
        <v/>
      </c>
      <c r="D189">
        <f>IF($Y189="","",INDEX('Per Line'!$A$2:$A$1001,$Y189)&amp;"")</f>
        <v/>
      </c>
      <c r="E189">
        <f>IF($Y189="","",INDEX('Per Line'!$B$2:$B$1001,$Y189))</f>
        <v/>
      </c>
      <c r="F189">
        <f>IF($Y189="","",INDEX('Per Line'!$G$2:$G$1001,$Y189)&amp;"")</f>
        <v/>
      </c>
      <c r="G189" s="11">
        <f>IF($Y189="","",INDEX('Per Line'!$H$2:$H$1001,$Y189))</f>
        <v/>
      </c>
      <c r="H189">
        <f>IF($Y189="","",INDEX('Per Line'!$K$2:$K$1001,$Y189)&amp;"")</f>
        <v/>
      </c>
      <c r="I189">
        <f>IF($Y189="","",INDEX('Per Line'!$L$2:$L$1001,$Y189)&amp;"")</f>
        <v/>
      </c>
      <c r="J189">
        <f>IF($Y189="","",INDEX('Per Line'!$M$2:$M$1001,$Y189)&amp;"")</f>
        <v/>
      </c>
      <c r="K189">
        <f>IF($Y189="","",INDEX('Per Line'!$Q$2:$Q$1001,$Y189))</f>
        <v/>
      </c>
      <c r="L189" s="7">
        <f>IF($Y189="","",K189*W189/100)</f>
        <v/>
      </c>
      <c r="M189">
        <f>IF($Y189="","",INDEX('Per Line'!$AD$2:$AD$1001,$Y189)&amp;"")</f>
        <v/>
      </c>
      <c r="N189" s="7">
        <f>IF($Y189="","",SUMIFS('Per Line'!$Z$2:$Z$1001,'Per Line'!$E$2:$E$1001,$B189,'Per Line'!$AR$2:$AR$1001,1))</f>
        <v/>
      </c>
      <c r="O189">
        <f>IF($Y189="","",Settings!$C$7)</f>
        <v/>
      </c>
      <c r="P189" s="7">
        <f>IF($Y189="","",SUMIFS('Per Line'!$Z$2:$Z$1001,'Per Line'!$E$2:$E$1001,$B189,'Per Line'!$AQ$2:$AQ$1001,0,'Per Line'!$AR$2:$AR$1001,0))</f>
        <v/>
      </c>
      <c r="Q189" s="7">
        <f>IF($Y189="","",P189*O189)</f>
        <v/>
      </c>
      <c r="R189">
        <f>IF($Y189="","",Settings!$C$6)</f>
        <v/>
      </c>
      <c r="S189" s="7">
        <f>IF($Y189="","",SUMIFS('Per Line'!$Z$2:$Z$1001,'Per Line'!$E$2:$E$1001,$B189,'Per Line'!$AQ$2:$AQ$1001,1,'Per Line'!$AR$2:$AR$1001,0))</f>
        <v/>
      </c>
      <c r="T189" s="7">
        <f>IF($Y189="","",S189*R189)</f>
        <v/>
      </c>
      <c r="U189" s="7">
        <f>IF($Y189="","",T189+Q189)</f>
        <v/>
      </c>
      <c r="V189" s="7">
        <f>IF($Y189="","",W189-U189)</f>
        <v/>
      </c>
      <c r="W189" s="7">
        <f>IF($Y189="","",P189+S189+N189)</f>
        <v/>
      </c>
      <c r="X189" s="7">
        <f>IF($Y189="","",W189-U189-L189)</f>
        <v/>
      </c>
      <c r="Y189" s="13">
        <f>IF(ROWS($Y$2:$Y189)&lt;=MAX('Per Line'!$AP$2:$AP$1001),MATCH(ROWS($Y$2:$Y189),'Per Line'!$AP$2:$AP$1001,0),"")</f>
        <v/>
      </c>
    </row>
    <row r="190">
      <c r="A190" s="12" t="n"/>
      <c r="B190">
        <f>IF($Y190="","",INDEX('Per Line'!$E$2:$E$1001,$Y190)&amp;"")</f>
        <v/>
      </c>
      <c r="C190">
        <f>IF($Y190="","",INDEX('Per Line'!$F$2:$F$1001,$Y190)&amp;"")</f>
        <v/>
      </c>
      <c r="D190">
        <f>IF($Y190="","",INDEX('Per Line'!$A$2:$A$1001,$Y190)&amp;"")</f>
        <v/>
      </c>
      <c r="E190">
        <f>IF($Y190="","",INDEX('Per Line'!$B$2:$B$1001,$Y190))</f>
        <v/>
      </c>
      <c r="F190">
        <f>IF($Y190="","",INDEX('Per Line'!$G$2:$G$1001,$Y190)&amp;"")</f>
        <v/>
      </c>
      <c r="G190" s="11">
        <f>IF($Y190="","",INDEX('Per Line'!$H$2:$H$1001,$Y190))</f>
        <v/>
      </c>
      <c r="H190">
        <f>IF($Y190="","",INDEX('Per Line'!$K$2:$K$1001,$Y190)&amp;"")</f>
        <v/>
      </c>
      <c r="I190">
        <f>IF($Y190="","",INDEX('Per Line'!$L$2:$L$1001,$Y190)&amp;"")</f>
        <v/>
      </c>
      <c r="J190">
        <f>IF($Y190="","",INDEX('Per Line'!$M$2:$M$1001,$Y190)&amp;"")</f>
        <v/>
      </c>
      <c r="K190">
        <f>IF($Y190="","",INDEX('Per Line'!$Q$2:$Q$1001,$Y190))</f>
        <v/>
      </c>
      <c r="L190" s="7">
        <f>IF($Y190="","",K190*W190/100)</f>
        <v/>
      </c>
      <c r="M190">
        <f>IF($Y190="","",INDEX('Per Line'!$AD$2:$AD$1001,$Y190)&amp;"")</f>
        <v/>
      </c>
      <c r="N190" s="7">
        <f>IF($Y190="","",SUMIFS('Per Line'!$Z$2:$Z$1001,'Per Line'!$E$2:$E$1001,$B190,'Per Line'!$AR$2:$AR$1001,1))</f>
        <v/>
      </c>
      <c r="O190">
        <f>IF($Y190="","",Settings!$C$7)</f>
        <v/>
      </c>
      <c r="P190" s="7">
        <f>IF($Y190="","",SUMIFS('Per Line'!$Z$2:$Z$1001,'Per Line'!$E$2:$E$1001,$B190,'Per Line'!$AQ$2:$AQ$1001,0,'Per Line'!$AR$2:$AR$1001,0))</f>
        <v/>
      </c>
      <c r="Q190" s="7">
        <f>IF($Y190="","",P190*O190)</f>
        <v/>
      </c>
      <c r="R190">
        <f>IF($Y190="","",Settings!$C$6)</f>
        <v/>
      </c>
      <c r="S190" s="7">
        <f>IF($Y190="","",SUMIFS('Per Line'!$Z$2:$Z$1001,'Per Line'!$E$2:$E$1001,$B190,'Per Line'!$AQ$2:$AQ$1001,1,'Per Line'!$AR$2:$AR$1001,0))</f>
        <v/>
      </c>
      <c r="T190" s="7">
        <f>IF($Y190="","",S190*R190)</f>
        <v/>
      </c>
      <c r="U190" s="7">
        <f>IF($Y190="","",T190+Q190)</f>
        <v/>
      </c>
      <c r="V190" s="7">
        <f>IF($Y190="","",W190-U190)</f>
        <v/>
      </c>
      <c r="W190" s="7">
        <f>IF($Y190="","",P190+S190+N190)</f>
        <v/>
      </c>
      <c r="X190" s="7">
        <f>IF($Y190="","",W190-U190-L190)</f>
        <v/>
      </c>
      <c r="Y190" s="13">
        <f>IF(ROWS($Y$2:$Y190)&lt;=MAX('Per Line'!$AP$2:$AP$1001),MATCH(ROWS($Y$2:$Y190),'Per Line'!$AP$2:$AP$1001,0),"")</f>
        <v/>
      </c>
    </row>
    <row r="191">
      <c r="A191" s="12" t="n"/>
      <c r="B191">
        <f>IF($Y191="","",INDEX('Per Line'!$E$2:$E$1001,$Y191)&amp;"")</f>
        <v/>
      </c>
      <c r="C191">
        <f>IF($Y191="","",INDEX('Per Line'!$F$2:$F$1001,$Y191)&amp;"")</f>
        <v/>
      </c>
      <c r="D191">
        <f>IF($Y191="","",INDEX('Per Line'!$A$2:$A$1001,$Y191)&amp;"")</f>
        <v/>
      </c>
      <c r="E191">
        <f>IF($Y191="","",INDEX('Per Line'!$B$2:$B$1001,$Y191))</f>
        <v/>
      </c>
      <c r="F191">
        <f>IF($Y191="","",INDEX('Per Line'!$G$2:$G$1001,$Y191)&amp;"")</f>
        <v/>
      </c>
      <c r="G191" s="11">
        <f>IF($Y191="","",INDEX('Per Line'!$H$2:$H$1001,$Y191))</f>
        <v/>
      </c>
      <c r="H191">
        <f>IF($Y191="","",INDEX('Per Line'!$K$2:$K$1001,$Y191)&amp;"")</f>
        <v/>
      </c>
      <c r="I191">
        <f>IF($Y191="","",INDEX('Per Line'!$L$2:$L$1001,$Y191)&amp;"")</f>
        <v/>
      </c>
      <c r="J191">
        <f>IF($Y191="","",INDEX('Per Line'!$M$2:$M$1001,$Y191)&amp;"")</f>
        <v/>
      </c>
      <c r="K191">
        <f>IF($Y191="","",INDEX('Per Line'!$Q$2:$Q$1001,$Y191))</f>
        <v/>
      </c>
      <c r="L191" s="7">
        <f>IF($Y191="","",K191*W191/100)</f>
        <v/>
      </c>
      <c r="M191">
        <f>IF($Y191="","",INDEX('Per Line'!$AD$2:$AD$1001,$Y191)&amp;"")</f>
        <v/>
      </c>
      <c r="N191" s="7">
        <f>IF($Y191="","",SUMIFS('Per Line'!$Z$2:$Z$1001,'Per Line'!$E$2:$E$1001,$B191,'Per Line'!$AR$2:$AR$1001,1))</f>
        <v/>
      </c>
      <c r="O191">
        <f>IF($Y191="","",Settings!$C$7)</f>
        <v/>
      </c>
      <c r="P191" s="7">
        <f>IF($Y191="","",SUMIFS('Per Line'!$Z$2:$Z$1001,'Per Line'!$E$2:$E$1001,$B191,'Per Line'!$AQ$2:$AQ$1001,0,'Per Line'!$AR$2:$AR$1001,0))</f>
        <v/>
      </c>
      <c r="Q191" s="7">
        <f>IF($Y191="","",P191*O191)</f>
        <v/>
      </c>
      <c r="R191">
        <f>IF($Y191="","",Settings!$C$6)</f>
        <v/>
      </c>
      <c r="S191" s="7">
        <f>IF($Y191="","",SUMIFS('Per Line'!$Z$2:$Z$1001,'Per Line'!$E$2:$E$1001,$B191,'Per Line'!$AQ$2:$AQ$1001,1,'Per Line'!$AR$2:$AR$1001,0))</f>
        <v/>
      </c>
      <c r="T191" s="7">
        <f>IF($Y191="","",S191*R191)</f>
        <v/>
      </c>
      <c r="U191" s="7">
        <f>IF($Y191="","",T191+Q191)</f>
        <v/>
      </c>
      <c r="V191" s="7">
        <f>IF($Y191="","",W191-U191)</f>
        <v/>
      </c>
      <c r="W191" s="7">
        <f>IF($Y191="","",P191+S191+N191)</f>
        <v/>
      </c>
      <c r="X191" s="7">
        <f>IF($Y191="","",W191-U191-L191)</f>
        <v/>
      </c>
      <c r="Y191" s="13">
        <f>IF(ROWS($Y$2:$Y191)&lt;=MAX('Per Line'!$AP$2:$AP$1001),MATCH(ROWS($Y$2:$Y191),'Per Line'!$AP$2:$AP$1001,0),"")</f>
        <v/>
      </c>
    </row>
    <row r="192">
      <c r="A192" s="12" t="n"/>
      <c r="B192">
        <f>IF($Y192="","",INDEX('Per Line'!$E$2:$E$1001,$Y192)&amp;"")</f>
        <v/>
      </c>
      <c r="C192">
        <f>IF($Y192="","",INDEX('Per Line'!$F$2:$F$1001,$Y192)&amp;"")</f>
        <v/>
      </c>
      <c r="D192">
        <f>IF($Y192="","",INDEX('Per Line'!$A$2:$A$1001,$Y192)&amp;"")</f>
        <v/>
      </c>
      <c r="E192">
        <f>IF($Y192="","",INDEX('Per Line'!$B$2:$B$1001,$Y192))</f>
        <v/>
      </c>
      <c r="F192">
        <f>IF($Y192="","",INDEX('Per Line'!$G$2:$G$1001,$Y192)&amp;"")</f>
        <v/>
      </c>
      <c r="G192" s="11">
        <f>IF($Y192="","",INDEX('Per Line'!$H$2:$H$1001,$Y192))</f>
        <v/>
      </c>
      <c r="H192">
        <f>IF($Y192="","",INDEX('Per Line'!$K$2:$K$1001,$Y192)&amp;"")</f>
        <v/>
      </c>
      <c r="I192">
        <f>IF($Y192="","",INDEX('Per Line'!$L$2:$L$1001,$Y192)&amp;"")</f>
        <v/>
      </c>
      <c r="J192">
        <f>IF($Y192="","",INDEX('Per Line'!$M$2:$M$1001,$Y192)&amp;"")</f>
        <v/>
      </c>
      <c r="K192">
        <f>IF($Y192="","",INDEX('Per Line'!$Q$2:$Q$1001,$Y192))</f>
        <v/>
      </c>
      <c r="L192" s="7">
        <f>IF($Y192="","",K192*W192/100)</f>
        <v/>
      </c>
      <c r="M192">
        <f>IF($Y192="","",INDEX('Per Line'!$AD$2:$AD$1001,$Y192)&amp;"")</f>
        <v/>
      </c>
      <c r="N192" s="7">
        <f>IF($Y192="","",SUMIFS('Per Line'!$Z$2:$Z$1001,'Per Line'!$E$2:$E$1001,$B192,'Per Line'!$AR$2:$AR$1001,1))</f>
        <v/>
      </c>
      <c r="O192">
        <f>IF($Y192="","",Settings!$C$7)</f>
        <v/>
      </c>
      <c r="P192" s="7">
        <f>IF($Y192="","",SUMIFS('Per Line'!$Z$2:$Z$1001,'Per Line'!$E$2:$E$1001,$B192,'Per Line'!$AQ$2:$AQ$1001,0,'Per Line'!$AR$2:$AR$1001,0))</f>
        <v/>
      </c>
      <c r="Q192" s="7">
        <f>IF($Y192="","",P192*O192)</f>
        <v/>
      </c>
      <c r="R192">
        <f>IF($Y192="","",Settings!$C$6)</f>
        <v/>
      </c>
      <c r="S192" s="7">
        <f>IF($Y192="","",SUMIFS('Per Line'!$Z$2:$Z$1001,'Per Line'!$E$2:$E$1001,$B192,'Per Line'!$AQ$2:$AQ$1001,1,'Per Line'!$AR$2:$AR$1001,0))</f>
        <v/>
      </c>
      <c r="T192" s="7">
        <f>IF($Y192="","",S192*R192)</f>
        <v/>
      </c>
      <c r="U192" s="7">
        <f>IF($Y192="","",T192+Q192)</f>
        <v/>
      </c>
      <c r="V192" s="7">
        <f>IF($Y192="","",W192-U192)</f>
        <v/>
      </c>
      <c r="W192" s="7">
        <f>IF($Y192="","",P192+S192+N192)</f>
        <v/>
      </c>
      <c r="X192" s="7">
        <f>IF($Y192="","",W192-U192-L192)</f>
        <v/>
      </c>
      <c r="Y192" s="13">
        <f>IF(ROWS($Y$2:$Y192)&lt;=MAX('Per Line'!$AP$2:$AP$1001),MATCH(ROWS($Y$2:$Y192),'Per Line'!$AP$2:$AP$1001,0),"")</f>
        <v/>
      </c>
    </row>
    <row r="193">
      <c r="A193" s="12" t="n"/>
      <c r="B193">
        <f>IF($Y193="","",INDEX('Per Line'!$E$2:$E$1001,$Y193)&amp;"")</f>
        <v/>
      </c>
      <c r="C193">
        <f>IF($Y193="","",INDEX('Per Line'!$F$2:$F$1001,$Y193)&amp;"")</f>
        <v/>
      </c>
      <c r="D193">
        <f>IF($Y193="","",INDEX('Per Line'!$A$2:$A$1001,$Y193)&amp;"")</f>
        <v/>
      </c>
      <c r="E193">
        <f>IF($Y193="","",INDEX('Per Line'!$B$2:$B$1001,$Y193))</f>
        <v/>
      </c>
      <c r="F193">
        <f>IF($Y193="","",INDEX('Per Line'!$G$2:$G$1001,$Y193)&amp;"")</f>
        <v/>
      </c>
      <c r="G193" s="11">
        <f>IF($Y193="","",INDEX('Per Line'!$H$2:$H$1001,$Y193))</f>
        <v/>
      </c>
      <c r="H193">
        <f>IF($Y193="","",INDEX('Per Line'!$K$2:$K$1001,$Y193)&amp;"")</f>
        <v/>
      </c>
      <c r="I193">
        <f>IF($Y193="","",INDEX('Per Line'!$L$2:$L$1001,$Y193)&amp;"")</f>
        <v/>
      </c>
      <c r="J193">
        <f>IF($Y193="","",INDEX('Per Line'!$M$2:$M$1001,$Y193)&amp;"")</f>
        <v/>
      </c>
      <c r="K193">
        <f>IF($Y193="","",INDEX('Per Line'!$Q$2:$Q$1001,$Y193))</f>
        <v/>
      </c>
      <c r="L193" s="7">
        <f>IF($Y193="","",K193*W193/100)</f>
        <v/>
      </c>
      <c r="M193">
        <f>IF($Y193="","",INDEX('Per Line'!$AD$2:$AD$1001,$Y193)&amp;"")</f>
        <v/>
      </c>
      <c r="N193" s="7">
        <f>IF($Y193="","",SUMIFS('Per Line'!$Z$2:$Z$1001,'Per Line'!$E$2:$E$1001,$B193,'Per Line'!$AR$2:$AR$1001,1))</f>
        <v/>
      </c>
      <c r="O193">
        <f>IF($Y193="","",Settings!$C$7)</f>
        <v/>
      </c>
      <c r="P193" s="7">
        <f>IF($Y193="","",SUMIFS('Per Line'!$Z$2:$Z$1001,'Per Line'!$E$2:$E$1001,$B193,'Per Line'!$AQ$2:$AQ$1001,0,'Per Line'!$AR$2:$AR$1001,0))</f>
        <v/>
      </c>
      <c r="Q193" s="7">
        <f>IF($Y193="","",P193*O193)</f>
        <v/>
      </c>
      <c r="R193">
        <f>IF($Y193="","",Settings!$C$6)</f>
        <v/>
      </c>
      <c r="S193" s="7">
        <f>IF($Y193="","",SUMIFS('Per Line'!$Z$2:$Z$1001,'Per Line'!$E$2:$E$1001,$B193,'Per Line'!$AQ$2:$AQ$1001,1,'Per Line'!$AR$2:$AR$1001,0))</f>
        <v/>
      </c>
      <c r="T193" s="7">
        <f>IF($Y193="","",S193*R193)</f>
        <v/>
      </c>
      <c r="U193" s="7">
        <f>IF($Y193="","",T193+Q193)</f>
        <v/>
      </c>
      <c r="V193" s="7">
        <f>IF($Y193="","",W193-U193)</f>
        <v/>
      </c>
      <c r="W193" s="7">
        <f>IF($Y193="","",P193+S193+N193)</f>
        <v/>
      </c>
      <c r="X193" s="7">
        <f>IF($Y193="","",W193-U193-L193)</f>
        <v/>
      </c>
      <c r="Y193" s="13">
        <f>IF(ROWS($Y$2:$Y193)&lt;=MAX('Per Line'!$AP$2:$AP$1001),MATCH(ROWS($Y$2:$Y193),'Per Line'!$AP$2:$AP$1001,0),"")</f>
        <v/>
      </c>
    </row>
    <row r="194">
      <c r="A194" s="12" t="n"/>
      <c r="B194">
        <f>IF($Y194="","",INDEX('Per Line'!$E$2:$E$1001,$Y194)&amp;"")</f>
        <v/>
      </c>
      <c r="C194">
        <f>IF($Y194="","",INDEX('Per Line'!$F$2:$F$1001,$Y194)&amp;"")</f>
        <v/>
      </c>
      <c r="D194">
        <f>IF($Y194="","",INDEX('Per Line'!$A$2:$A$1001,$Y194)&amp;"")</f>
        <v/>
      </c>
      <c r="E194">
        <f>IF($Y194="","",INDEX('Per Line'!$B$2:$B$1001,$Y194))</f>
        <v/>
      </c>
      <c r="F194">
        <f>IF($Y194="","",INDEX('Per Line'!$G$2:$G$1001,$Y194)&amp;"")</f>
        <v/>
      </c>
      <c r="G194" s="11">
        <f>IF($Y194="","",INDEX('Per Line'!$H$2:$H$1001,$Y194))</f>
        <v/>
      </c>
      <c r="H194">
        <f>IF($Y194="","",INDEX('Per Line'!$K$2:$K$1001,$Y194)&amp;"")</f>
        <v/>
      </c>
      <c r="I194">
        <f>IF($Y194="","",INDEX('Per Line'!$L$2:$L$1001,$Y194)&amp;"")</f>
        <v/>
      </c>
      <c r="J194">
        <f>IF($Y194="","",INDEX('Per Line'!$M$2:$M$1001,$Y194)&amp;"")</f>
        <v/>
      </c>
      <c r="K194">
        <f>IF($Y194="","",INDEX('Per Line'!$Q$2:$Q$1001,$Y194))</f>
        <v/>
      </c>
      <c r="L194" s="7">
        <f>IF($Y194="","",K194*W194/100)</f>
        <v/>
      </c>
      <c r="M194">
        <f>IF($Y194="","",INDEX('Per Line'!$AD$2:$AD$1001,$Y194)&amp;"")</f>
        <v/>
      </c>
      <c r="N194" s="7">
        <f>IF($Y194="","",SUMIFS('Per Line'!$Z$2:$Z$1001,'Per Line'!$E$2:$E$1001,$B194,'Per Line'!$AR$2:$AR$1001,1))</f>
        <v/>
      </c>
      <c r="O194">
        <f>IF($Y194="","",Settings!$C$7)</f>
        <v/>
      </c>
      <c r="P194" s="7">
        <f>IF($Y194="","",SUMIFS('Per Line'!$Z$2:$Z$1001,'Per Line'!$E$2:$E$1001,$B194,'Per Line'!$AQ$2:$AQ$1001,0,'Per Line'!$AR$2:$AR$1001,0))</f>
        <v/>
      </c>
      <c r="Q194" s="7">
        <f>IF($Y194="","",P194*O194)</f>
        <v/>
      </c>
      <c r="R194">
        <f>IF($Y194="","",Settings!$C$6)</f>
        <v/>
      </c>
      <c r="S194" s="7">
        <f>IF($Y194="","",SUMIFS('Per Line'!$Z$2:$Z$1001,'Per Line'!$E$2:$E$1001,$B194,'Per Line'!$AQ$2:$AQ$1001,1,'Per Line'!$AR$2:$AR$1001,0))</f>
        <v/>
      </c>
      <c r="T194" s="7">
        <f>IF($Y194="","",S194*R194)</f>
        <v/>
      </c>
      <c r="U194" s="7">
        <f>IF($Y194="","",T194+Q194)</f>
        <v/>
      </c>
      <c r="V194" s="7">
        <f>IF($Y194="","",W194-U194)</f>
        <v/>
      </c>
      <c r="W194" s="7">
        <f>IF($Y194="","",P194+S194+N194)</f>
        <v/>
      </c>
      <c r="X194" s="7">
        <f>IF($Y194="","",W194-U194-L194)</f>
        <v/>
      </c>
      <c r="Y194" s="13">
        <f>IF(ROWS($Y$2:$Y194)&lt;=MAX('Per Line'!$AP$2:$AP$1001),MATCH(ROWS($Y$2:$Y194),'Per Line'!$AP$2:$AP$1001,0),"")</f>
        <v/>
      </c>
    </row>
    <row r="195">
      <c r="A195" s="12" t="n"/>
      <c r="B195">
        <f>IF($Y195="","",INDEX('Per Line'!$E$2:$E$1001,$Y195)&amp;"")</f>
        <v/>
      </c>
      <c r="C195">
        <f>IF($Y195="","",INDEX('Per Line'!$F$2:$F$1001,$Y195)&amp;"")</f>
        <v/>
      </c>
      <c r="D195">
        <f>IF($Y195="","",INDEX('Per Line'!$A$2:$A$1001,$Y195)&amp;"")</f>
        <v/>
      </c>
      <c r="E195">
        <f>IF($Y195="","",INDEX('Per Line'!$B$2:$B$1001,$Y195))</f>
        <v/>
      </c>
      <c r="F195">
        <f>IF($Y195="","",INDEX('Per Line'!$G$2:$G$1001,$Y195)&amp;"")</f>
        <v/>
      </c>
      <c r="G195" s="11">
        <f>IF($Y195="","",INDEX('Per Line'!$H$2:$H$1001,$Y195))</f>
        <v/>
      </c>
      <c r="H195">
        <f>IF($Y195="","",INDEX('Per Line'!$K$2:$K$1001,$Y195)&amp;"")</f>
        <v/>
      </c>
      <c r="I195">
        <f>IF($Y195="","",INDEX('Per Line'!$L$2:$L$1001,$Y195)&amp;"")</f>
        <v/>
      </c>
      <c r="J195">
        <f>IF($Y195="","",INDEX('Per Line'!$M$2:$M$1001,$Y195)&amp;"")</f>
        <v/>
      </c>
      <c r="K195">
        <f>IF($Y195="","",INDEX('Per Line'!$Q$2:$Q$1001,$Y195))</f>
        <v/>
      </c>
      <c r="L195" s="7">
        <f>IF($Y195="","",K195*W195/100)</f>
        <v/>
      </c>
      <c r="M195">
        <f>IF($Y195="","",INDEX('Per Line'!$AD$2:$AD$1001,$Y195)&amp;"")</f>
        <v/>
      </c>
      <c r="N195" s="7">
        <f>IF($Y195="","",SUMIFS('Per Line'!$Z$2:$Z$1001,'Per Line'!$E$2:$E$1001,$B195,'Per Line'!$AR$2:$AR$1001,1))</f>
        <v/>
      </c>
      <c r="O195">
        <f>IF($Y195="","",Settings!$C$7)</f>
        <v/>
      </c>
      <c r="P195" s="7">
        <f>IF($Y195="","",SUMIFS('Per Line'!$Z$2:$Z$1001,'Per Line'!$E$2:$E$1001,$B195,'Per Line'!$AQ$2:$AQ$1001,0,'Per Line'!$AR$2:$AR$1001,0))</f>
        <v/>
      </c>
      <c r="Q195" s="7">
        <f>IF($Y195="","",P195*O195)</f>
        <v/>
      </c>
      <c r="R195">
        <f>IF($Y195="","",Settings!$C$6)</f>
        <v/>
      </c>
      <c r="S195" s="7">
        <f>IF($Y195="","",SUMIFS('Per Line'!$Z$2:$Z$1001,'Per Line'!$E$2:$E$1001,$B195,'Per Line'!$AQ$2:$AQ$1001,1,'Per Line'!$AR$2:$AR$1001,0))</f>
        <v/>
      </c>
      <c r="T195" s="7">
        <f>IF($Y195="","",S195*R195)</f>
        <v/>
      </c>
      <c r="U195" s="7">
        <f>IF($Y195="","",T195+Q195)</f>
        <v/>
      </c>
      <c r="V195" s="7">
        <f>IF($Y195="","",W195-U195)</f>
        <v/>
      </c>
      <c r="W195" s="7">
        <f>IF($Y195="","",P195+S195+N195)</f>
        <v/>
      </c>
      <c r="X195" s="7">
        <f>IF($Y195="","",W195-U195-L195)</f>
        <v/>
      </c>
      <c r="Y195" s="13">
        <f>IF(ROWS($Y$2:$Y195)&lt;=MAX('Per Line'!$AP$2:$AP$1001),MATCH(ROWS($Y$2:$Y195),'Per Line'!$AP$2:$AP$1001,0),"")</f>
        <v/>
      </c>
    </row>
    <row r="196">
      <c r="A196" s="12" t="n"/>
      <c r="B196">
        <f>IF($Y196="","",INDEX('Per Line'!$E$2:$E$1001,$Y196)&amp;"")</f>
        <v/>
      </c>
      <c r="C196">
        <f>IF($Y196="","",INDEX('Per Line'!$F$2:$F$1001,$Y196)&amp;"")</f>
        <v/>
      </c>
      <c r="D196">
        <f>IF($Y196="","",INDEX('Per Line'!$A$2:$A$1001,$Y196)&amp;"")</f>
        <v/>
      </c>
      <c r="E196">
        <f>IF($Y196="","",INDEX('Per Line'!$B$2:$B$1001,$Y196))</f>
        <v/>
      </c>
      <c r="F196">
        <f>IF($Y196="","",INDEX('Per Line'!$G$2:$G$1001,$Y196)&amp;"")</f>
        <v/>
      </c>
      <c r="G196" s="11">
        <f>IF($Y196="","",INDEX('Per Line'!$H$2:$H$1001,$Y196))</f>
        <v/>
      </c>
      <c r="H196">
        <f>IF($Y196="","",INDEX('Per Line'!$K$2:$K$1001,$Y196)&amp;"")</f>
        <v/>
      </c>
      <c r="I196">
        <f>IF($Y196="","",INDEX('Per Line'!$L$2:$L$1001,$Y196)&amp;"")</f>
        <v/>
      </c>
      <c r="J196">
        <f>IF($Y196="","",INDEX('Per Line'!$M$2:$M$1001,$Y196)&amp;"")</f>
        <v/>
      </c>
      <c r="K196">
        <f>IF($Y196="","",INDEX('Per Line'!$Q$2:$Q$1001,$Y196))</f>
        <v/>
      </c>
      <c r="L196" s="7">
        <f>IF($Y196="","",K196*W196/100)</f>
        <v/>
      </c>
      <c r="M196">
        <f>IF($Y196="","",INDEX('Per Line'!$AD$2:$AD$1001,$Y196)&amp;"")</f>
        <v/>
      </c>
      <c r="N196" s="7">
        <f>IF($Y196="","",SUMIFS('Per Line'!$Z$2:$Z$1001,'Per Line'!$E$2:$E$1001,$B196,'Per Line'!$AR$2:$AR$1001,1))</f>
        <v/>
      </c>
      <c r="O196">
        <f>IF($Y196="","",Settings!$C$7)</f>
        <v/>
      </c>
      <c r="P196" s="7">
        <f>IF($Y196="","",SUMIFS('Per Line'!$Z$2:$Z$1001,'Per Line'!$E$2:$E$1001,$B196,'Per Line'!$AQ$2:$AQ$1001,0,'Per Line'!$AR$2:$AR$1001,0))</f>
        <v/>
      </c>
      <c r="Q196" s="7">
        <f>IF($Y196="","",P196*O196)</f>
        <v/>
      </c>
      <c r="R196">
        <f>IF($Y196="","",Settings!$C$6)</f>
        <v/>
      </c>
      <c r="S196" s="7">
        <f>IF($Y196="","",SUMIFS('Per Line'!$Z$2:$Z$1001,'Per Line'!$E$2:$E$1001,$B196,'Per Line'!$AQ$2:$AQ$1001,1,'Per Line'!$AR$2:$AR$1001,0))</f>
        <v/>
      </c>
      <c r="T196" s="7">
        <f>IF($Y196="","",S196*R196)</f>
        <v/>
      </c>
      <c r="U196" s="7">
        <f>IF($Y196="","",T196+Q196)</f>
        <v/>
      </c>
      <c r="V196" s="7">
        <f>IF($Y196="","",W196-U196)</f>
        <v/>
      </c>
      <c r="W196" s="7">
        <f>IF($Y196="","",P196+S196+N196)</f>
        <v/>
      </c>
      <c r="X196" s="7">
        <f>IF($Y196="","",W196-U196-L196)</f>
        <v/>
      </c>
      <c r="Y196" s="13">
        <f>IF(ROWS($Y$2:$Y196)&lt;=MAX('Per Line'!$AP$2:$AP$1001),MATCH(ROWS($Y$2:$Y196),'Per Line'!$AP$2:$AP$1001,0),"")</f>
        <v/>
      </c>
    </row>
    <row r="197">
      <c r="A197" s="12" t="n"/>
      <c r="B197">
        <f>IF($Y197="","",INDEX('Per Line'!$E$2:$E$1001,$Y197)&amp;"")</f>
        <v/>
      </c>
      <c r="C197">
        <f>IF($Y197="","",INDEX('Per Line'!$F$2:$F$1001,$Y197)&amp;"")</f>
        <v/>
      </c>
      <c r="D197">
        <f>IF($Y197="","",INDEX('Per Line'!$A$2:$A$1001,$Y197)&amp;"")</f>
        <v/>
      </c>
      <c r="E197">
        <f>IF($Y197="","",INDEX('Per Line'!$B$2:$B$1001,$Y197))</f>
        <v/>
      </c>
      <c r="F197">
        <f>IF($Y197="","",INDEX('Per Line'!$G$2:$G$1001,$Y197)&amp;"")</f>
        <v/>
      </c>
      <c r="G197" s="11">
        <f>IF($Y197="","",INDEX('Per Line'!$H$2:$H$1001,$Y197))</f>
        <v/>
      </c>
      <c r="H197">
        <f>IF($Y197="","",INDEX('Per Line'!$K$2:$K$1001,$Y197)&amp;"")</f>
        <v/>
      </c>
      <c r="I197">
        <f>IF($Y197="","",INDEX('Per Line'!$L$2:$L$1001,$Y197)&amp;"")</f>
        <v/>
      </c>
      <c r="J197">
        <f>IF($Y197="","",INDEX('Per Line'!$M$2:$M$1001,$Y197)&amp;"")</f>
        <v/>
      </c>
      <c r="K197">
        <f>IF($Y197="","",INDEX('Per Line'!$Q$2:$Q$1001,$Y197))</f>
        <v/>
      </c>
      <c r="L197" s="7">
        <f>IF($Y197="","",K197*W197/100)</f>
        <v/>
      </c>
      <c r="M197">
        <f>IF($Y197="","",INDEX('Per Line'!$AD$2:$AD$1001,$Y197)&amp;"")</f>
        <v/>
      </c>
      <c r="N197" s="7">
        <f>IF($Y197="","",SUMIFS('Per Line'!$Z$2:$Z$1001,'Per Line'!$E$2:$E$1001,$B197,'Per Line'!$AR$2:$AR$1001,1))</f>
        <v/>
      </c>
      <c r="O197">
        <f>IF($Y197="","",Settings!$C$7)</f>
        <v/>
      </c>
      <c r="P197" s="7">
        <f>IF($Y197="","",SUMIFS('Per Line'!$Z$2:$Z$1001,'Per Line'!$E$2:$E$1001,$B197,'Per Line'!$AQ$2:$AQ$1001,0,'Per Line'!$AR$2:$AR$1001,0))</f>
        <v/>
      </c>
      <c r="Q197" s="7">
        <f>IF($Y197="","",P197*O197)</f>
        <v/>
      </c>
      <c r="R197">
        <f>IF($Y197="","",Settings!$C$6)</f>
        <v/>
      </c>
      <c r="S197" s="7">
        <f>IF($Y197="","",SUMIFS('Per Line'!$Z$2:$Z$1001,'Per Line'!$E$2:$E$1001,$B197,'Per Line'!$AQ$2:$AQ$1001,1,'Per Line'!$AR$2:$AR$1001,0))</f>
        <v/>
      </c>
      <c r="T197" s="7">
        <f>IF($Y197="","",S197*R197)</f>
        <v/>
      </c>
      <c r="U197" s="7">
        <f>IF($Y197="","",T197+Q197)</f>
        <v/>
      </c>
      <c r="V197" s="7">
        <f>IF($Y197="","",W197-U197)</f>
        <v/>
      </c>
      <c r="W197" s="7">
        <f>IF($Y197="","",P197+S197+N197)</f>
        <v/>
      </c>
      <c r="X197" s="7">
        <f>IF($Y197="","",W197-U197-L197)</f>
        <v/>
      </c>
      <c r="Y197" s="13">
        <f>IF(ROWS($Y$2:$Y197)&lt;=MAX('Per Line'!$AP$2:$AP$1001),MATCH(ROWS($Y$2:$Y197),'Per Line'!$AP$2:$AP$1001,0),"")</f>
        <v/>
      </c>
    </row>
    <row r="198">
      <c r="A198" s="12" t="n"/>
      <c r="B198">
        <f>IF($Y198="","",INDEX('Per Line'!$E$2:$E$1001,$Y198)&amp;"")</f>
        <v/>
      </c>
      <c r="C198">
        <f>IF($Y198="","",INDEX('Per Line'!$F$2:$F$1001,$Y198)&amp;"")</f>
        <v/>
      </c>
      <c r="D198">
        <f>IF($Y198="","",INDEX('Per Line'!$A$2:$A$1001,$Y198)&amp;"")</f>
        <v/>
      </c>
      <c r="E198">
        <f>IF($Y198="","",INDEX('Per Line'!$B$2:$B$1001,$Y198))</f>
        <v/>
      </c>
      <c r="F198">
        <f>IF($Y198="","",INDEX('Per Line'!$G$2:$G$1001,$Y198)&amp;"")</f>
        <v/>
      </c>
      <c r="G198" s="11">
        <f>IF($Y198="","",INDEX('Per Line'!$H$2:$H$1001,$Y198))</f>
        <v/>
      </c>
      <c r="H198">
        <f>IF($Y198="","",INDEX('Per Line'!$K$2:$K$1001,$Y198)&amp;"")</f>
        <v/>
      </c>
      <c r="I198">
        <f>IF($Y198="","",INDEX('Per Line'!$L$2:$L$1001,$Y198)&amp;"")</f>
        <v/>
      </c>
      <c r="J198">
        <f>IF($Y198="","",INDEX('Per Line'!$M$2:$M$1001,$Y198)&amp;"")</f>
        <v/>
      </c>
      <c r="K198">
        <f>IF($Y198="","",INDEX('Per Line'!$Q$2:$Q$1001,$Y198))</f>
        <v/>
      </c>
      <c r="L198" s="7">
        <f>IF($Y198="","",K198*W198/100)</f>
        <v/>
      </c>
      <c r="M198">
        <f>IF($Y198="","",INDEX('Per Line'!$AD$2:$AD$1001,$Y198)&amp;"")</f>
        <v/>
      </c>
      <c r="N198" s="7">
        <f>IF($Y198="","",SUMIFS('Per Line'!$Z$2:$Z$1001,'Per Line'!$E$2:$E$1001,$B198,'Per Line'!$AR$2:$AR$1001,1))</f>
        <v/>
      </c>
      <c r="O198">
        <f>IF($Y198="","",Settings!$C$7)</f>
        <v/>
      </c>
      <c r="P198" s="7">
        <f>IF($Y198="","",SUMIFS('Per Line'!$Z$2:$Z$1001,'Per Line'!$E$2:$E$1001,$B198,'Per Line'!$AQ$2:$AQ$1001,0,'Per Line'!$AR$2:$AR$1001,0))</f>
        <v/>
      </c>
      <c r="Q198" s="7">
        <f>IF($Y198="","",P198*O198)</f>
        <v/>
      </c>
      <c r="R198">
        <f>IF($Y198="","",Settings!$C$6)</f>
        <v/>
      </c>
      <c r="S198" s="7">
        <f>IF($Y198="","",SUMIFS('Per Line'!$Z$2:$Z$1001,'Per Line'!$E$2:$E$1001,$B198,'Per Line'!$AQ$2:$AQ$1001,1,'Per Line'!$AR$2:$AR$1001,0))</f>
        <v/>
      </c>
      <c r="T198" s="7">
        <f>IF($Y198="","",S198*R198)</f>
        <v/>
      </c>
      <c r="U198" s="7">
        <f>IF($Y198="","",T198+Q198)</f>
        <v/>
      </c>
      <c r="V198" s="7">
        <f>IF($Y198="","",W198-U198)</f>
        <v/>
      </c>
      <c r="W198" s="7">
        <f>IF($Y198="","",P198+S198+N198)</f>
        <v/>
      </c>
      <c r="X198" s="7">
        <f>IF($Y198="","",W198-U198-L198)</f>
        <v/>
      </c>
      <c r="Y198" s="13">
        <f>IF(ROWS($Y$2:$Y198)&lt;=MAX('Per Line'!$AP$2:$AP$1001),MATCH(ROWS($Y$2:$Y198),'Per Line'!$AP$2:$AP$1001,0),"")</f>
        <v/>
      </c>
    </row>
    <row r="199">
      <c r="A199" s="12" t="n"/>
      <c r="B199">
        <f>IF($Y199="","",INDEX('Per Line'!$E$2:$E$1001,$Y199)&amp;"")</f>
        <v/>
      </c>
      <c r="C199">
        <f>IF($Y199="","",INDEX('Per Line'!$F$2:$F$1001,$Y199)&amp;"")</f>
        <v/>
      </c>
      <c r="D199">
        <f>IF($Y199="","",INDEX('Per Line'!$A$2:$A$1001,$Y199)&amp;"")</f>
        <v/>
      </c>
      <c r="E199">
        <f>IF($Y199="","",INDEX('Per Line'!$B$2:$B$1001,$Y199))</f>
        <v/>
      </c>
      <c r="F199">
        <f>IF($Y199="","",INDEX('Per Line'!$G$2:$G$1001,$Y199)&amp;"")</f>
        <v/>
      </c>
      <c r="G199" s="11">
        <f>IF($Y199="","",INDEX('Per Line'!$H$2:$H$1001,$Y199))</f>
        <v/>
      </c>
      <c r="H199">
        <f>IF($Y199="","",INDEX('Per Line'!$K$2:$K$1001,$Y199)&amp;"")</f>
        <v/>
      </c>
      <c r="I199">
        <f>IF($Y199="","",INDEX('Per Line'!$L$2:$L$1001,$Y199)&amp;"")</f>
        <v/>
      </c>
      <c r="J199">
        <f>IF($Y199="","",INDEX('Per Line'!$M$2:$M$1001,$Y199)&amp;"")</f>
        <v/>
      </c>
      <c r="K199">
        <f>IF($Y199="","",INDEX('Per Line'!$Q$2:$Q$1001,$Y199))</f>
        <v/>
      </c>
      <c r="L199" s="7">
        <f>IF($Y199="","",K199*W199/100)</f>
        <v/>
      </c>
      <c r="M199">
        <f>IF($Y199="","",INDEX('Per Line'!$AD$2:$AD$1001,$Y199)&amp;"")</f>
        <v/>
      </c>
      <c r="N199" s="7">
        <f>IF($Y199="","",SUMIFS('Per Line'!$Z$2:$Z$1001,'Per Line'!$E$2:$E$1001,$B199,'Per Line'!$AR$2:$AR$1001,1))</f>
        <v/>
      </c>
      <c r="O199">
        <f>IF($Y199="","",Settings!$C$7)</f>
        <v/>
      </c>
      <c r="P199" s="7">
        <f>IF($Y199="","",SUMIFS('Per Line'!$Z$2:$Z$1001,'Per Line'!$E$2:$E$1001,$B199,'Per Line'!$AQ$2:$AQ$1001,0,'Per Line'!$AR$2:$AR$1001,0))</f>
        <v/>
      </c>
      <c r="Q199" s="7">
        <f>IF($Y199="","",P199*O199)</f>
        <v/>
      </c>
      <c r="R199">
        <f>IF($Y199="","",Settings!$C$6)</f>
        <v/>
      </c>
      <c r="S199" s="7">
        <f>IF($Y199="","",SUMIFS('Per Line'!$Z$2:$Z$1001,'Per Line'!$E$2:$E$1001,$B199,'Per Line'!$AQ$2:$AQ$1001,1,'Per Line'!$AR$2:$AR$1001,0))</f>
        <v/>
      </c>
      <c r="T199" s="7">
        <f>IF($Y199="","",S199*R199)</f>
        <v/>
      </c>
      <c r="U199" s="7">
        <f>IF($Y199="","",T199+Q199)</f>
        <v/>
      </c>
      <c r="V199" s="7">
        <f>IF($Y199="","",W199-U199)</f>
        <v/>
      </c>
      <c r="W199" s="7">
        <f>IF($Y199="","",P199+S199+N199)</f>
        <v/>
      </c>
      <c r="X199" s="7">
        <f>IF($Y199="","",W199-U199-L199)</f>
        <v/>
      </c>
      <c r="Y199" s="13">
        <f>IF(ROWS($Y$2:$Y199)&lt;=MAX('Per Line'!$AP$2:$AP$1001),MATCH(ROWS($Y$2:$Y199),'Per Line'!$AP$2:$AP$1001,0),"")</f>
        <v/>
      </c>
    </row>
    <row r="200">
      <c r="A200" s="12" t="n"/>
      <c r="B200">
        <f>IF($Y200="","",INDEX('Per Line'!$E$2:$E$1001,$Y200)&amp;"")</f>
        <v/>
      </c>
      <c r="C200">
        <f>IF($Y200="","",INDEX('Per Line'!$F$2:$F$1001,$Y200)&amp;"")</f>
        <v/>
      </c>
      <c r="D200">
        <f>IF($Y200="","",INDEX('Per Line'!$A$2:$A$1001,$Y200)&amp;"")</f>
        <v/>
      </c>
      <c r="E200">
        <f>IF($Y200="","",INDEX('Per Line'!$B$2:$B$1001,$Y200))</f>
        <v/>
      </c>
      <c r="F200">
        <f>IF($Y200="","",INDEX('Per Line'!$G$2:$G$1001,$Y200)&amp;"")</f>
        <v/>
      </c>
      <c r="G200" s="11">
        <f>IF($Y200="","",INDEX('Per Line'!$H$2:$H$1001,$Y200))</f>
        <v/>
      </c>
      <c r="H200">
        <f>IF($Y200="","",INDEX('Per Line'!$K$2:$K$1001,$Y200)&amp;"")</f>
        <v/>
      </c>
      <c r="I200">
        <f>IF($Y200="","",INDEX('Per Line'!$L$2:$L$1001,$Y200)&amp;"")</f>
        <v/>
      </c>
      <c r="J200">
        <f>IF($Y200="","",INDEX('Per Line'!$M$2:$M$1001,$Y200)&amp;"")</f>
        <v/>
      </c>
      <c r="K200">
        <f>IF($Y200="","",INDEX('Per Line'!$Q$2:$Q$1001,$Y200))</f>
        <v/>
      </c>
      <c r="L200" s="7">
        <f>IF($Y200="","",K200*W200/100)</f>
        <v/>
      </c>
      <c r="M200">
        <f>IF($Y200="","",INDEX('Per Line'!$AD$2:$AD$1001,$Y200)&amp;"")</f>
        <v/>
      </c>
      <c r="N200" s="7">
        <f>IF($Y200="","",SUMIFS('Per Line'!$Z$2:$Z$1001,'Per Line'!$E$2:$E$1001,$B200,'Per Line'!$AR$2:$AR$1001,1))</f>
        <v/>
      </c>
      <c r="O200">
        <f>IF($Y200="","",Settings!$C$7)</f>
        <v/>
      </c>
      <c r="P200" s="7">
        <f>IF($Y200="","",SUMIFS('Per Line'!$Z$2:$Z$1001,'Per Line'!$E$2:$E$1001,$B200,'Per Line'!$AQ$2:$AQ$1001,0,'Per Line'!$AR$2:$AR$1001,0))</f>
        <v/>
      </c>
      <c r="Q200" s="7">
        <f>IF($Y200="","",P200*O200)</f>
        <v/>
      </c>
      <c r="R200">
        <f>IF($Y200="","",Settings!$C$6)</f>
        <v/>
      </c>
      <c r="S200" s="7">
        <f>IF($Y200="","",SUMIFS('Per Line'!$Z$2:$Z$1001,'Per Line'!$E$2:$E$1001,$B200,'Per Line'!$AQ$2:$AQ$1001,1,'Per Line'!$AR$2:$AR$1001,0))</f>
        <v/>
      </c>
      <c r="T200" s="7">
        <f>IF($Y200="","",S200*R200)</f>
        <v/>
      </c>
      <c r="U200" s="7">
        <f>IF($Y200="","",T200+Q200)</f>
        <v/>
      </c>
      <c r="V200" s="7">
        <f>IF($Y200="","",W200-U200)</f>
        <v/>
      </c>
      <c r="W200" s="7">
        <f>IF($Y200="","",P200+S200+N200)</f>
        <v/>
      </c>
      <c r="X200" s="7">
        <f>IF($Y200="","",W200-U200-L200)</f>
        <v/>
      </c>
      <c r="Y200" s="13">
        <f>IF(ROWS($Y$2:$Y200)&lt;=MAX('Per Line'!$AP$2:$AP$1001),MATCH(ROWS($Y$2:$Y200),'Per Line'!$AP$2:$AP$1001,0),"")</f>
        <v/>
      </c>
    </row>
    <row r="201">
      <c r="A201" s="12" t="n"/>
      <c r="B201">
        <f>IF($Y201="","",INDEX('Per Line'!$E$2:$E$1001,$Y201)&amp;"")</f>
        <v/>
      </c>
      <c r="C201">
        <f>IF($Y201="","",INDEX('Per Line'!$F$2:$F$1001,$Y201)&amp;"")</f>
        <v/>
      </c>
      <c r="D201">
        <f>IF($Y201="","",INDEX('Per Line'!$A$2:$A$1001,$Y201)&amp;"")</f>
        <v/>
      </c>
      <c r="E201">
        <f>IF($Y201="","",INDEX('Per Line'!$B$2:$B$1001,$Y201))</f>
        <v/>
      </c>
      <c r="F201">
        <f>IF($Y201="","",INDEX('Per Line'!$G$2:$G$1001,$Y201)&amp;"")</f>
        <v/>
      </c>
      <c r="G201" s="11">
        <f>IF($Y201="","",INDEX('Per Line'!$H$2:$H$1001,$Y201))</f>
        <v/>
      </c>
      <c r="H201">
        <f>IF($Y201="","",INDEX('Per Line'!$K$2:$K$1001,$Y201)&amp;"")</f>
        <v/>
      </c>
      <c r="I201">
        <f>IF($Y201="","",INDEX('Per Line'!$L$2:$L$1001,$Y201)&amp;"")</f>
        <v/>
      </c>
      <c r="J201">
        <f>IF($Y201="","",INDEX('Per Line'!$M$2:$M$1001,$Y201)&amp;"")</f>
        <v/>
      </c>
      <c r="K201">
        <f>IF($Y201="","",INDEX('Per Line'!$Q$2:$Q$1001,$Y201))</f>
        <v/>
      </c>
      <c r="L201" s="7">
        <f>IF($Y201="","",K201*W201/100)</f>
        <v/>
      </c>
      <c r="M201">
        <f>IF($Y201="","",INDEX('Per Line'!$AD$2:$AD$1001,$Y201)&amp;"")</f>
        <v/>
      </c>
      <c r="N201" s="7">
        <f>IF($Y201="","",SUMIFS('Per Line'!$Z$2:$Z$1001,'Per Line'!$E$2:$E$1001,$B201,'Per Line'!$AR$2:$AR$1001,1))</f>
        <v/>
      </c>
      <c r="O201">
        <f>IF($Y201="","",Settings!$C$7)</f>
        <v/>
      </c>
      <c r="P201" s="7">
        <f>IF($Y201="","",SUMIFS('Per Line'!$Z$2:$Z$1001,'Per Line'!$E$2:$E$1001,$B201,'Per Line'!$AQ$2:$AQ$1001,0,'Per Line'!$AR$2:$AR$1001,0))</f>
        <v/>
      </c>
      <c r="Q201" s="7">
        <f>IF($Y201="","",P201*O201)</f>
        <v/>
      </c>
      <c r="R201">
        <f>IF($Y201="","",Settings!$C$6)</f>
        <v/>
      </c>
      <c r="S201" s="7">
        <f>IF($Y201="","",SUMIFS('Per Line'!$Z$2:$Z$1001,'Per Line'!$E$2:$E$1001,$B201,'Per Line'!$AQ$2:$AQ$1001,1,'Per Line'!$AR$2:$AR$1001,0))</f>
        <v/>
      </c>
      <c r="T201" s="7">
        <f>IF($Y201="","",S201*R201)</f>
        <v/>
      </c>
      <c r="U201" s="7">
        <f>IF($Y201="","",T201+Q201)</f>
        <v/>
      </c>
      <c r="V201" s="7">
        <f>IF($Y201="","",W201-U201)</f>
        <v/>
      </c>
      <c r="W201" s="7">
        <f>IF($Y201="","",P201+S201+N201)</f>
        <v/>
      </c>
      <c r="X201" s="7">
        <f>IF($Y201="","",W201-U201-L201)</f>
        <v/>
      </c>
      <c r="Y201" s="13">
        <f>IF(ROWS($Y$2:$Y201)&lt;=MAX('Per Line'!$AP$2:$AP$1001),MATCH(ROWS($Y$2:$Y201),'Per Line'!$AP$2:$AP$1001,0),"")</f>
        <v/>
      </c>
    </row>
    <row r="202">
      <c r="A202" s="12" t="n"/>
      <c r="B202">
        <f>IF($Y202="","",INDEX('Per Line'!$E$2:$E$1001,$Y202)&amp;"")</f>
        <v/>
      </c>
      <c r="C202">
        <f>IF($Y202="","",INDEX('Per Line'!$F$2:$F$1001,$Y202)&amp;"")</f>
        <v/>
      </c>
      <c r="D202">
        <f>IF($Y202="","",INDEX('Per Line'!$A$2:$A$1001,$Y202)&amp;"")</f>
        <v/>
      </c>
      <c r="E202">
        <f>IF($Y202="","",INDEX('Per Line'!$B$2:$B$1001,$Y202))</f>
        <v/>
      </c>
      <c r="F202">
        <f>IF($Y202="","",INDEX('Per Line'!$G$2:$G$1001,$Y202)&amp;"")</f>
        <v/>
      </c>
      <c r="G202" s="11">
        <f>IF($Y202="","",INDEX('Per Line'!$H$2:$H$1001,$Y202))</f>
        <v/>
      </c>
      <c r="H202">
        <f>IF($Y202="","",INDEX('Per Line'!$K$2:$K$1001,$Y202)&amp;"")</f>
        <v/>
      </c>
      <c r="I202">
        <f>IF($Y202="","",INDEX('Per Line'!$L$2:$L$1001,$Y202)&amp;"")</f>
        <v/>
      </c>
      <c r="J202">
        <f>IF($Y202="","",INDEX('Per Line'!$M$2:$M$1001,$Y202)&amp;"")</f>
        <v/>
      </c>
      <c r="K202">
        <f>IF($Y202="","",INDEX('Per Line'!$Q$2:$Q$1001,$Y202))</f>
        <v/>
      </c>
      <c r="L202" s="7">
        <f>IF($Y202="","",K202*W202/100)</f>
        <v/>
      </c>
      <c r="M202">
        <f>IF($Y202="","",INDEX('Per Line'!$AD$2:$AD$1001,$Y202)&amp;"")</f>
        <v/>
      </c>
      <c r="N202" s="7">
        <f>IF($Y202="","",SUMIFS('Per Line'!$Z$2:$Z$1001,'Per Line'!$E$2:$E$1001,$B202,'Per Line'!$AR$2:$AR$1001,1))</f>
        <v/>
      </c>
      <c r="O202">
        <f>IF($Y202="","",Settings!$C$7)</f>
        <v/>
      </c>
      <c r="P202" s="7">
        <f>IF($Y202="","",SUMIFS('Per Line'!$Z$2:$Z$1001,'Per Line'!$E$2:$E$1001,$B202,'Per Line'!$AQ$2:$AQ$1001,0,'Per Line'!$AR$2:$AR$1001,0))</f>
        <v/>
      </c>
      <c r="Q202" s="7">
        <f>IF($Y202="","",P202*O202)</f>
        <v/>
      </c>
      <c r="R202">
        <f>IF($Y202="","",Settings!$C$6)</f>
        <v/>
      </c>
      <c r="S202" s="7">
        <f>IF($Y202="","",SUMIFS('Per Line'!$Z$2:$Z$1001,'Per Line'!$E$2:$E$1001,$B202,'Per Line'!$AQ$2:$AQ$1001,1,'Per Line'!$AR$2:$AR$1001,0))</f>
        <v/>
      </c>
      <c r="T202" s="7">
        <f>IF($Y202="","",S202*R202)</f>
        <v/>
      </c>
      <c r="U202" s="7">
        <f>IF($Y202="","",T202+Q202)</f>
        <v/>
      </c>
      <c r="V202" s="7">
        <f>IF($Y202="","",W202-U202)</f>
        <v/>
      </c>
      <c r="W202" s="7">
        <f>IF($Y202="","",P202+S202+N202)</f>
        <v/>
      </c>
      <c r="X202" s="7">
        <f>IF($Y202="","",W202-U202-L202)</f>
        <v/>
      </c>
      <c r="Y202" s="13">
        <f>IF(ROWS($Y$2:$Y202)&lt;=MAX('Per Line'!$AP$2:$AP$1001),MATCH(ROWS($Y$2:$Y202),'Per Line'!$AP$2:$AP$1001,0),"")</f>
        <v/>
      </c>
    </row>
    <row r="203">
      <c r="A203" s="12" t="n"/>
      <c r="B203">
        <f>IF($Y203="","",INDEX('Per Line'!$E$2:$E$1001,$Y203)&amp;"")</f>
        <v/>
      </c>
      <c r="C203">
        <f>IF($Y203="","",INDEX('Per Line'!$F$2:$F$1001,$Y203)&amp;"")</f>
        <v/>
      </c>
      <c r="D203">
        <f>IF($Y203="","",INDEX('Per Line'!$A$2:$A$1001,$Y203)&amp;"")</f>
        <v/>
      </c>
      <c r="E203">
        <f>IF($Y203="","",INDEX('Per Line'!$B$2:$B$1001,$Y203))</f>
        <v/>
      </c>
      <c r="F203">
        <f>IF($Y203="","",INDEX('Per Line'!$G$2:$G$1001,$Y203)&amp;"")</f>
        <v/>
      </c>
      <c r="G203" s="11">
        <f>IF($Y203="","",INDEX('Per Line'!$H$2:$H$1001,$Y203))</f>
        <v/>
      </c>
      <c r="H203">
        <f>IF($Y203="","",INDEX('Per Line'!$K$2:$K$1001,$Y203)&amp;"")</f>
        <v/>
      </c>
      <c r="I203">
        <f>IF($Y203="","",INDEX('Per Line'!$L$2:$L$1001,$Y203)&amp;"")</f>
        <v/>
      </c>
      <c r="J203">
        <f>IF($Y203="","",INDEX('Per Line'!$M$2:$M$1001,$Y203)&amp;"")</f>
        <v/>
      </c>
      <c r="K203">
        <f>IF($Y203="","",INDEX('Per Line'!$Q$2:$Q$1001,$Y203))</f>
        <v/>
      </c>
      <c r="L203" s="7">
        <f>IF($Y203="","",K203*W203/100)</f>
        <v/>
      </c>
      <c r="M203">
        <f>IF($Y203="","",INDEX('Per Line'!$AD$2:$AD$1001,$Y203)&amp;"")</f>
        <v/>
      </c>
      <c r="N203" s="7">
        <f>IF($Y203="","",SUMIFS('Per Line'!$Z$2:$Z$1001,'Per Line'!$E$2:$E$1001,$B203,'Per Line'!$AR$2:$AR$1001,1))</f>
        <v/>
      </c>
      <c r="O203">
        <f>IF($Y203="","",Settings!$C$7)</f>
        <v/>
      </c>
      <c r="P203" s="7">
        <f>IF($Y203="","",SUMIFS('Per Line'!$Z$2:$Z$1001,'Per Line'!$E$2:$E$1001,$B203,'Per Line'!$AQ$2:$AQ$1001,0,'Per Line'!$AR$2:$AR$1001,0))</f>
        <v/>
      </c>
      <c r="Q203" s="7">
        <f>IF($Y203="","",P203*O203)</f>
        <v/>
      </c>
      <c r="R203">
        <f>IF($Y203="","",Settings!$C$6)</f>
        <v/>
      </c>
      <c r="S203" s="7">
        <f>IF($Y203="","",SUMIFS('Per Line'!$Z$2:$Z$1001,'Per Line'!$E$2:$E$1001,$B203,'Per Line'!$AQ$2:$AQ$1001,1,'Per Line'!$AR$2:$AR$1001,0))</f>
        <v/>
      </c>
      <c r="T203" s="7">
        <f>IF($Y203="","",S203*R203)</f>
        <v/>
      </c>
      <c r="U203" s="7">
        <f>IF($Y203="","",T203+Q203)</f>
        <v/>
      </c>
      <c r="V203" s="7">
        <f>IF($Y203="","",W203-U203)</f>
        <v/>
      </c>
      <c r="W203" s="7">
        <f>IF($Y203="","",P203+S203+N203)</f>
        <v/>
      </c>
      <c r="X203" s="7">
        <f>IF($Y203="","",W203-U203-L203)</f>
        <v/>
      </c>
      <c r="Y203" s="13">
        <f>IF(ROWS($Y$2:$Y203)&lt;=MAX('Per Line'!$AP$2:$AP$1001),MATCH(ROWS($Y$2:$Y203),'Per Line'!$AP$2:$AP$1001,0),"")</f>
        <v/>
      </c>
    </row>
    <row r="204">
      <c r="A204" s="12" t="n"/>
      <c r="B204">
        <f>IF($Y204="","",INDEX('Per Line'!$E$2:$E$1001,$Y204)&amp;"")</f>
        <v/>
      </c>
      <c r="C204">
        <f>IF($Y204="","",INDEX('Per Line'!$F$2:$F$1001,$Y204)&amp;"")</f>
        <v/>
      </c>
      <c r="D204">
        <f>IF($Y204="","",INDEX('Per Line'!$A$2:$A$1001,$Y204)&amp;"")</f>
        <v/>
      </c>
      <c r="E204">
        <f>IF($Y204="","",INDEX('Per Line'!$B$2:$B$1001,$Y204))</f>
        <v/>
      </c>
      <c r="F204">
        <f>IF($Y204="","",INDEX('Per Line'!$G$2:$G$1001,$Y204)&amp;"")</f>
        <v/>
      </c>
      <c r="G204" s="11">
        <f>IF($Y204="","",INDEX('Per Line'!$H$2:$H$1001,$Y204))</f>
        <v/>
      </c>
      <c r="H204">
        <f>IF($Y204="","",INDEX('Per Line'!$K$2:$K$1001,$Y204)&amp;"")</f>
        <v/>
      </c>
      <c r="I204">
        <f>IF($Y204="","",INDEX('Per Line'!$L$2:$L$1001,$Y204)&amp;"")</f>
        <v/>
      </c>
      <c r="J204">
        <f>IF($Y204="","",INDEX('Per Line'!$M$2:$M$1001,$Y204)&amp;"")</f>
        <v/>
      </c>
      <c r="K204">
        <f>IF($Y204="","",INDEX('Per Line'!$Q$2:$Q$1001,$Y204))</f>
        <v/>
      </c>
      <c r="L204" s="7">
        <f>IF($Y204="","",K204*W204/100)</f>
        <v/>
      </c>
      <c r="M204">
        <f>IF($Y204="","",INDEX('Per Line'!$AD$2:$AD$1001,$Y204)&amp;"")</f>
        <v/>
      </c>
      <c r="N204" s="7">
        <f>IF($Y204="","",SUMIFS('Per Line'!$Z$2:$Z$1001,'Per Line'!$E$2:$E$1001,$B204,'Per Line'!$AR$2:$AR$1001,1))</f>
        <v/>
      </c>
      <c r="O204">
        <f>IF($Y204="","",Settings!$C$7)</f>
        <v/>
      </c>
      <c r="P204" s="7">
        <f>IF($Y204="","",SUMIFS('Per Line'!$Z$2:$Z$1001,'Per Line'!$E$2:$E$1001,$B204,'Per Line'!$AQ$2:$AQ$1001,0,'Per Line'!$AR$2:$AR$1001,0))</f>
        <v/>
      </c>
      <c r="Q204" s="7">
        <f>IF($Y204="","",P204*O204)</f>
        <v/>
      </c>
      <c r="R204">
        <f>IF($Y204="","",Settings!$C$6)</f>
        <v/>
      </c>
      <c r="S204" s="7">
        <f>IF($Y204="","",SUMIFS('Per Line'!$Z$2:$Z$1001,'Per Line'!$E$2:$E$1001,$B204,'Per Line'!$AQ$2:$AQ$1001,1,'Per Line'!$AR$2:$AR$1001,0))</f>
        <v/>
      </c>
      <c r="T204" s="7">
        <f>IF($Y204="","",S204*R204)</f>
        <v/>
      </c>
      <c r="U204" s="7">
        <f>IF($Y204="","",T204+Q204)</f>
        <v/>
      </c>
      <c r="V204" s="7">
        <f>IF($Y204="","",W204-U204)</f>
        <v/>
      </c>
      <c r="W204" s="7">
        <f>IF($Y204="","",P204+S204+N204)</f>
        <v/>
      </c>
      <c r="X204" s="7">
        <f>IF($Y204="","",W204-U204-L204)</f>
        <v/>
      </c>
      <c r="Y204" s="13">
        <f>IF(ROWS($Y$2:$Y204)&lt;=MAX('Per Line'!$AP$2:$AP$1001),MATCH(ROWS($Y$2:$Y204),'Per Line'!$AP$2:$AP$1001,0),"")</f>
        <v/>
      </c>
    </row>
    <row r="205">
      <c r="A205" s="12" t="n"/>
      <c r="B205">
        <f>IF($Y205="","",INDEX('Per Line'!$E$2:$E$1001,$Y205)&amp;"")</f>
        <v/>
      </c>
      <c r="C205">
        <f>IF($Y205="","",INDEX('Per Line'!$F$2:$F$1001,$Y205)&amp;"")</f>
        <v/>
      </c>
      <c r="D205">
        <f>IF($Y205="","",INDEX('Per Line'!$A$2:$A$1001,$Y205)&amp;"")</f>
        <v/>
      </c>
      <c r="E205">
        <f>IF($Y205="","",INDEX('Per Line'!$B$2:$B$1001,$Y205))</f>
        <v/>
      </c>
      <c r="F205">
        <f>IF($Y205="","",INDEX('Per Line'!$G$2:$G$1001,$Y205)&amp;"")</f>
        <v/>
      </c>
      <c r="G205" s="11">
        <f>IF($Y205="","",INDEX('Per Line'!$H$2:$H$1001,$Y205))</f>
        <v/>
      </c>
      <c r="H205">
        <f>IF($Y205="","",INDEX('Per Line'!$K$2:$K$1001,$Y205)&amp;"")</f>
        <v/>
      </c>
      <c r="I205">
        <f>IF($Y205="","",INDEX('Per Line'!$L$2:$L$1001,$Y205)&amp;"")</f>
        <v/>
      </c>
      <c r="J205">
        <f>IF($Y205="","",INDEX('Per Line'!$M$2:$M$1001,$Y205)&amp;"")</f>
        <v/>
      </c>
      <c r="K205">
        <f>IF($Y205="","",INDEX('Per Line'!$Q$2:$Q$1001,$Y205))</f>
        <v/>
      </c>
      <c r="L205" s="7">
        <f>IF($Y205="","",K205*W205/100)</f>
        <v/>
      </c>
      <c r="M205">
        <f>IF($Y205="","",INDEX('Per Line'!$AD$2:$AD$1001,$Y205)&amp;"")</f>
        <v/>
      </c>
      <c r="N205" s="7">
        <f>IF($Y205="","",SUMIFS('Per Line'!$Z$2:$Z$1001,'Per Line'!$E$2:$E$1001,$B205,'Per Line'!$AR$2:$AR$1001,1))</f>
        <v/>
      </c>
      <c r="O205">
        <f>IF($Y205="","",Settings!$C$7)</f>
        <v/>
      </c>
      <c r="P205" s="7">
        <f>IF($Y205="","",SUMIFS('Per Line'!$Z$2:$Z$1001,'Per Line'!$E$2:$E$1001,$B205,'Per Line'!$AQ$2:$AQ$1001,0,'Per Line'!$AR$2:$AR$1001,0))</f>
        <v/>
      </c>
      <c r="Q205" s="7">
        <f>IF($Y205="","",P205*O205)</f>
        <v/>
      </c>
      <c r="R205">
        <f>IF($Y205="","",Settings!$C$6)</f>
        <v/>
      </c>
      <c r="S205" s="7">
        <f>IF($Y205="","",SUMIFS('Per Line'!$Z$2:$Z$1001,'Per Line'!$E$2:$E$1001,$B205,'Per Line'!$AQ$2:$AQ$1001,1,'Per Line'!$AR$2:$AR$1001,0))</f>
        <v/>
      </c>
      <c r="T205" s="7">
        <f>IF($Y205="","",S205*R205)</f>
        <v/>
      </c>
      <c r="U205" s="7">
        <f>IF($Y205="","",T205+Q205)</f>
        <v/>
      </c>
      <c r="V205" s="7">
        <f>IF($Y205="","",W205-U205)</f>
        <v/>
      </c>
      <c r="W205" s="7">
        <f>IF($Y205="","",P205+S205+N205)</f>
        <v/>
      </c>
      <c r="X205" s="7">
        <f>IF($Y205="","",W205-U205-L205)</f>
        <v/>
      </c>
      <c r="Y205" s="13">
        <f>IF(ROWS($Y$2:$Y205)&lt;=MAX('Per Line'!$AP$2:$AP$1001),MATCH(ROWS($Y$2:$Y205),'Per Line'!$AP$2:$AP$1001,0),"")</f>
        <v/>
      </c>
    </row>
    <row r="206">
      <c r="A206" s="12" t="n"/>
      <c r="B206">
        <f>IF($Y206="","",INDEX('Per Line'!$E$2:$E$1001,$Y206)&amp;"")</f>
        <v/>
      </c>
      <c r="C206">
        <f>IF($Y206="","",INDEX('Per Line'!$F$2:$F$1001,$Y206)&amp;"")</f>
        <v/>
      </c>
      <c r="D206">
        <f>IF($Y206="","",INDEX('Per Line'!$A$2:$A$1001,$Y206)&amp;"")</f>
        <v/>
      </c>
      <c r="E206">
        <f>IF($Y206="","",INDEX('Per Line'!$B$2:$B$1001,$Y206))</f>
        <v/>
      </c>
      <c r="F206">
        <f>IF($Y206="","",INDEX('Per Line'!$G$2:$G$1001,$Y206)&amp;"")</f>
        <v/>
      </c>
      <c r="G206" s="11">
        <f>IF($Y206="","",INDEX('Per Line'!$H$2:$H$1001,$Y206))</f>
        <v/>
      </c>
      <c r="H206">
        <f>IF($Y206="","",INDEX('Per Line'!$K$2:$K$1001,$Y206)&amp;"")</f>
        <v/>
      </c>
      <c r="I206">
        <f>IF($Y206="","",INDEX('Per Line'!$L$2:$L$1001,$Y206)&amp;"")</f>
        <v/>
      </c>
      <c r="J206">
        <f>IF($Y206="","",INDEX('Per Line'!$M$2:$M$1001,$Y206)&amp;"")</f>
        <v/>
      </c>
      <c r="K206">
        <f>IF($Y206="","",INDEX('Per Line'!$Q$2:$Q$1001,$Y206))</f>
        <v/>
      </c>
      <c r="L206" s="7">
        <f>IF($Y206="","",K206*W206/100)</f>
        <v/>
      </c>
      <c r="M206">
        <f>IF($Y206="","",INDEX('Per Line'!$AD$2:$AD$1001,$Y206)&amp;"")</f>
        <v/>
      </c>
      <c r="N206" s="7">
        <f>IF($Y206="","",SUMIFS('Per Line'!$Z$2:$Z$1001,'Per Line'!$E$2:$E$1001,$B206,'Per Line'!$AR$2:$AR$1001,1))</f>
        <v/>
      </c>
      <c r="O206">
        <f>IF($Y206="","",Settings!$C$7)</f>
        <v/>
      </c>
      <c r="P206" s="7">
        <f>IF($Y206="","",SUMIFS('Per Line'!$Z$2:$Z$1001,'Per Line'!$E$2:$E$1001,$B206,'Per Line'!$AQ$2:$AQ$1001,0,'Per Line'!$AR$2:$AR$1001,0))</f>
        <v/>
      </c>
      <c r="Q206" s="7">
        <f>IF($Y206="","",P206*O206)</f>
        <v/>
      </c>
      <c r="R206">
        <f>IF($Y206="","",Settings!$C$6)</f>
        <v/>
      </c>
      <c r="S206" s="7">
        <f>IF($Y206="","",SUMIFS('Per Line'!$Z$2:$Z$1001,'Per Line'!$E$2:$E$1001,$B206,'Per Line'!$AQ$2:$AQ$1001,1,'Per Line'!$AR$2:$AR$1001,0))</f>
        <v/>
      </c>
      <c r="T206" s="7">
        <f>IF($Y206="","",S206*R206)</f>
        <v/>
      </c>
      <c r="U206" s="7">
        <f>IF($Y206="","",T206+Q206)</f>
        <v/>
      </c>
      <c r="V206" s="7">
        <f>IF($Y206="","",W206-U206)</f>
        <v/>
      </c>
      <c r="W206" s="7">
        <f>IF($Y206="","",P206+S206+N206)</f>
        <v/>
      </c>
      <c r="X206" s="7">
        <f>IF($Y206="","",W206-U206-L206)</f>
        <v/>
      </c>
      <c r="Y206" s="13">
        <f>IF(ROWS($Y$2:$Y206)&lt;=MAX('Per Line'!$AP$2:$AP$1001),MATCH(ROWS($Y$2:$Y206),'Per Line'!$AP$2:$AP$1001,0),"")</f>
        <v/>
      </c>
    </row>
    <row r="207">
      <c r="A207" s="12" t="n"/>
      <c r="B207">
        <f>IF($Y207="","",INDEX('Per Line'!$E$2:$E$1001,$Y207)&amp;"")</f>
        <v/>
      </c>
      <c r="C207">
        <f>IF($Y207="","",INDEX('Per Line'!$F$2:$F$1001,$Y207)&amp;"")</f>
        <v/>
      </c>
      <c r="D207">
        <f>IF($Y207="","",INDEX('Per Line'!$A$2:$A$1001,$Y207)&amp;"")</f>
        <v/>
      </c>
      <c r="E207">
        <f>IF($Y207="","",INDEX('Per Line'!$B$2:$B$1001,$Y207))</f>
        <v/>
      </c>
      <c r="F207">
        <f>IF($Y207="","",INDEX('Per Line'!$G$2:$G$1001,$Y207)&amp;"")</f>
        <v/>
      </c>
      <c r="G207" s="11">
        <f>IF($Y207="","",INDEX('Per Line'!$H$2:$H$1001,$Y207))</f>
        <v/>
      </c>
      <c r="H207">
        <f>IF($Y207="","",INDEX('Per Line'!$K$2:$K$1001,$Y207)&amp;"")</f>
        <v/>
      </c>
      <c r="I207">
        <f>IF($Y207="","",INDEX('Per Line'!$L$2:$L$1001,$Y207)&amp;"")</f>
        <v/>
      </c>
      <c r="J207">
        <f>IF($Y207="","",INDEX('Per Line'!$M$2:$M$1001,$Y207)&amp;"")</f>
        <v/>
      </c>
      <c r="K207">
        <f>IF($Y207="","",INDEX('Per Line'!$Q$2:$Q$1001,$Y207))</f>
        <v/>
      </c>
      <c r="L207" s="7">
        <f>IF($Y207="","",K207*W207/100)</f>
        <v/>
      </c>
      <c r="M207">
        <f>IF($Y207="","",INDEX('Per Line'!$AD$2:$AD$1001,$Y207)&amp;"")</f>
        <v/>
      </c>
      <c r="N207" s="7">
        <f>IF($Y207="","",SUMIFS('Per Line'!$Z$2:$Z$1001,'Per Line'!$E$2:$E$1001,$B207,'Per Line'!$AR$2:$AR$1001,1))</f>
        <v/>
      </c>
      <c r="O207">
        <f>IF($Y207="","",Settings!$C$7)</f>
        <v/>
      </c>
      <c r="P207" s="7">
        <f>IF($Y207="","",SUMIFS('Per Line'!$Z$2:$Z$1001,'Per Line'!$E$2:$E$1001,$B207,'Per Line'!$AQ$2:$AQ$1001,0,'Per Line'!$AR$2:$AR$1001,0))</f>
        <v/>
      </c>
      <c r="Q207" s="7">
        <f>IF($Y207="","",P207*O207)</f>
        <v/>
      </c>
      <c r="R207">
        <f>IF($Y207="","",Settings!$C$6)</f>
        <v/>
      </c>
      <c r="S207" s="7">
        <f>IF($Y207="","",SUMIFS('Per Line'!$Z$2:$Z$1001,'Per Line'!$E$2:$E$1001,$B207,'Per Line'!$AQ$2:$AQ$1001,1,'Per Line'!$AR$2:$AR$1001,0))</f>
        <v/>
      </c>
      <c r="T207" s="7">
        <f>IF($Y207="","",S207*R207)</f>
        <v/>
      </c>
      <c r="U207" s="7">
        <f>IF($Y207="","",T207+Q207)</f>
        <v/>
      </c>
      <c r="V207" s="7">
        <f>IF($Y207="","",W207-U207)</f>
        <v/>
      </c>
      <c r="W207" s="7">
        <f>IF($Y207="","",P207+S207+N207)</f>
        <v/>
      </c>
      <c r="X207" s="7">
        <f>IF($Y207="","",W207-U207-L207)</f>
        <v/>
      </c>
      <c r="Y207" s="13">
        <f>IF(ROWS($Y$2:$Y207)&lt;=MAX('Per Line'!$AP$2:$AP$1001),MATCH(ROWS($Y$2:$Y207),'Per Line'!$AP$2:$AP$1001,0),"")</f>
        <v/>
      </c>
    </row>
    <row r="208">
      <c r="A208" s="12" t="n"/>
      <c r="B208">
        <f>IF($Y208="","",INDEX('Per Line'!$E$2:$E$1001,$Y208)&amp;"")</f>
        <v/>
      </c>
      <c r="C208">
        <f>IF($Y208="","",INDEX('Per Line'!$F$2:$F$1001,$Y208)&amp;"")</f>
        <v/>
      </c>
      <c r="D208">
        <f>IF($Y208="","",INDEX('Per Line'!$A$2:$A$1001,$Y208)&amp;"")</f>
        <v/>
      </c>
      <c r="E208">
        <f>IF($Y208="","",INDEX('Per Line'!$B$2:$B$1001,$Y208))</f>
        <v/>
      </c>
      <c r="F208">
        <f>IF($Y208="","",INDEX('Per Line'!$G$2:$G$1001,$Y208)&amp;"")</f>
        <v/>
      </c>
      <c r="G208" s="11">
        <f>IF($Y208="","",INDEX('Per Line'!$H$2:$H$1001,$Y208))</f>
        <v/>
      </c>
      <c r="H208">
        <f>IF($Y208="","",INDEX('Per Line'!$K$2:$K$1001,$Y208)&amp;"")</f>
        <v/>
      </c>
      <c r="I208">
        <f>IF($Y208="","",INDEX('Per Line'!$L$2:$L$1001,$Y208)&amp;"")</f>
        <v/>
      </c>
      <c r="J208">
        <f>IF($Y208="","",INDEX('Per Line'!$M$2:$M$1001,$Y208)&amp;"")</f>
        <v/>
      </c>
      <c r="K208">
        <f>IF($Y208="","",INDEX('Per Line'!$Q$2:$Q$1001,$Y208))</f>
        <v/>
      </c>
      <c r="L208" s="7">
        <f>IF($Y208="","",K208*W208/100)</f>
        <v/>
      </c>
      <c r="M208">
        <f>IF($Y208="","",INDEX('Per Line'!$AD$2:$AD$1001,$Y208)&amp;"")</f>
        <v/>
      </c>
      <c r="N208" s="7">
        <f>IF($Y208="","",SUMIFS('Per Line'!$Z$2:$Z$1001,'Per Line'!$E$2:$E$1001,$B208,'Per Line'!$AR$2:$AR$1001,1))</f>
        <v/>
      </c>
      <c r="O208">
        <f>IF($Y208="","",Settings!$C$7)</f>
        <v/>
      </c>
      <c r="P208" s="7">
        <f>IF($Y208="","",SUMIFS('Per Line'!$Z$2:$Z$1001,'Per Line'!$E$2:$E$1001,$B208,'Per Line'!$AQ$2:$AQ$1001,0,'Per Line'!$AR$2:$AR$1001,0))</f>
        <v/>
      </c>
      <c r="Q208" s="7">
        <f>IF($Y208="","",P208*O208)</f>
        <v/>
      </c>
      <c r="R208">
        <f>IF($Y208="","",Settings!$C$6)</f>
        <v/>
      </c>
      <c r="S208" s="7">
        <f>IF($Y208="","",SUMIFS('Per Line'!$Z$2:$Z$1001,'Per Line'!$E$2:$E$1001,$B208,'Per Line'!$AQ$2:$AQ$1001,1,'Per Line'!$AR$2:$AR$1001,0))</f>
        <v/>
      </c>
      <c r="T208" s="7">
        <f>IF($Y208="","",S208*R208)</f>
        <v/>
      </c>
      <c r="U208" s="7">
        <f>IF($Y208="","",T208+Q208)</f>
        <v/>
      </c>
      <c r="V208" s="7">
        <f>IF($Y208="","",W208-U208)</f>
        <v/>
      </c>
      <c r="W208" s="7">
        <f>IF($Y208="","",P208+S208+N208)</f>
        <v/>
      </c>
      <c r="X208" s="7">
        <f>IF($Y208="","",W208-U208-L208)</f>
        <v/>
      </c>
      <c r="Y208" s="13">
        <f>IF(ROWS($Y$2:$Y208)&lt;=MAX('Per Line'!$AP$2:$AP$1001),MATCH(ROWS($Y$2:$Y208),'Per Line'!$AP$2:$AP$1001,0),"")</f>
        <v/>
      </c>
    </row>
    <row r="209">
      <c r="A209" s="12" t="n"/>
      <c r="B209">
        <f>IF($Y209="","",INDEX('Per Line'!$E$2:$E$1001,$Y209)&amp;"")</f>
        <v/>
      </c>
      <c r="C209">
        <f>IF($Y209="","",INDEX('Per Line'!$F$2:$F$1001,$Y209)&amp;"")</f>
        <v/>
      </c>
      <c r="D209">
        <f>IF($Y209="","",INDEX('Per Line'!$A$2:$A$1001,$Y209)&amp;"")</f>
        <v/>
      </c>
      <c r="E209">
        <f>IF($Y209="","",INDEX('Per Line'!$B$2:$B$1001,$Y209))</f>
        <v/>
      </c>
      <c r="F209">
        <f>IF($Y209="","",INDEX('Per Line'!$G$2:$G$1001,$Y209)&amp;"")</f>
        <v/>
      </c>
      <c r="G209" s="11">
        <f>IF($Y209="","",INDEX('Per Line'!$H$2:$H$1001,$Y209))</f>
        <v/>
      </c>
      <c r="H209">
        <f>IF($Y209="","",INDEX('Per Line'!$K$2:$K$1001,$Y209)&amp;"")</f>
        <v/>
      </c>
      <c r="I209">
        <f>IF($Y209="","",INDEX('Per Line'!$L$2:$L$1001,$Y209)&amp;"")</f>
        <v/>
      </c>
      <c r="J209">
        <f>IF($Y209="","",INDEX('Per Line'!$M$2:$M$1001,$Y209)&amp;"")</f>
        <v/>
      </c>
      <c r="K209">
        <f>IF($Y209="","",INDEX('Per Line'!$Q$2:$Q$1001,$Y209))</f>
        <v/>
      </c>
      <c r="L209" s="7">
        <f>IF($Y209="","",K209*W209/100)</f>
        <v/>
      </c>
      <c r="M209">
        <f>IF($Y209="","",INDEX('Per Line'!$AD$2:$AD$1001,$Y209)&amp;"")</f>
        <v/>
      </c>
      <c r="N209" s="7">
        <f>IF($Y209="","",SUMIFS('Per Line'!$Z$2:$Z$1001,'Per Line'!$E$2:$E$1001,$B209,'Per Line'!$AR$2:$AR$1001,1))</f>
        <v/>
      </c>
      <c r="O209">
        <f>IF($Y209="","",Settings!$C$7)</f>
        <v/>
      </c>
      <c r="P209" s="7">
        <f>IF($Y209="","",SUMIFS('Per Line'!$Z$2:$Z$1001,'Per Line'!$E$2:$E$1001,$B209,'Per Line'!$AQ$2:$AQ$1001,0,'Per Line'!$AR$2:$AR$1001,0))</f>
        <v/>
      </c>
      <c r="Q209" s="7">
        <f>IF($Y209="","",P209*O209)</f>
        <v/>
      </c>
      <c r="R209">
        <f>IF($Y209="","",Settings!$C$6)</f>
        <v/>
      </c>
      <c r="S209" s="7">
        <f>IF($Y209="","",SUMIFS('Per Line'!$Z$2:$Z$1001,'Per Line'!$E$2:$E$1001,$B209,'Per Line'!$AQ$2:$AQ$1001,1,'Per Line'!$AR$2:$AR$1001,0))</f>
        <v/>
      </c>
      <c r="T209" s="7">
        <f>IF($Y209="","",S209*R209)</f>
        <v/>
      </c>
      <c r="U209" s="7">
        <f>IF($Y209="","",T209+Q209)</f>
        <v/>
      </c>
      <c r="V209" s="7">
        <f>IF($Y209="","",W209-U209)</f>
        <v/>
      </c>
      <c r="W209" s="7">
        <f>IF($Y209="","",P209+S209+N209)</f>
        <v/>
      </c>
      <c r="X209" s="7">
        <f>IF($Y209="","",W209-U209-L209)</f>
        <v/>
      </c>
      <c r="Y209" s="13">
        <f>IF(ROWS($Y$2:$Y209)&lt;=MAX('Per Line'!$AP$2:$AP$1001),MATCH(ROWS($Y$2:$Y209),'Per Line'!$AP$2:$AP$1001,0),"")</f>
        <v/>
      </c>
    </row>
    <row r="210">
      <c r="A210" s="12" t="n"/>
      <c r="B210">
        <f>IF($Y210="","",INDEX('Per Line'!$E$2:$E$1001,$Y210)&amp;"")</f>
        <v/>
      </c>
      <c r="C210">
        <f>IF($Y210="","",INDEX('Per Line'!$F$2:$F$1001,$Y210)&amp;"")</f>
        <v/>
      </c>
      <c r="D210">
        <f>IF($Y210="","",INDEX('Per Line'!$A$2:$A$1001,$Y210)&amp;"")</f>
        <v/>
      </c>
      <c r="E210">
        <f>IF($Y210="","",INDEX('Per Line'!$B$2:$B$1001,$Y210))</f>
        <v/>
      </c>
      <c r="F210">
        <f>IF($Y210="","",INDEX('Per Line'!$G$2:$G$1001,$Y210)&amp;"")</f>
        <v/>
      </c>
      <c r="G210" s="11">
        <f>IF($Y210="","",INDEX('Per Line'!$H$2:$H$1001,$Y210))</f>
        <v/>
      </c>
      <c r="H210">
        <f>IF($Y210="","",INDEX('Per Line'!$K$2:$K$1001,$Y210)&amp;"")</f>
        <v/>
      </c>
      <c r="I210">
        <f>IF($Y210="","",INDEX('Per Line'!$L$2:$L$1001,$Y210)&amp;"")</f>
        <v/>
      </c>
      <c r="J210">
        <f>IF($Y210="","",INDEX('Per Line'!$M$2:$M$1001,$Y210)&amp;"")</f>
        <v/>
      </c>
      <c r="K210">
        <f>IF($Y210="","",INDEX('Per Line'!$Q$2:$Q$1001,$Y210))</f>
        <v/>
      </c>
      <c r="L210" s="7">
        <f>IF($Y210="","",K210*W210/100)</f>
        <v/>
      </c>
      <c r="M210">
        <f>IF($Y210="","",INDEX('Per Line'!$AD$2:$AD$1001,$Y210)&amp;"")</f>
        <v/>
      </c>
      <c r="N210" s="7">
        <f>IF($Y210="","",SUMIFS('Per Line'!$Z$2:$Z$1001,'Per Line'!$E$2:$E$1001,$B210,'Per Line'!$AR$2:$AR$1001,1))</f>
        <v/>
      </c>
      <c r="O210">
        <f>IF($Y210="","",Settings!$C$7)</f>
        <v/>
      </c>
      <c r="P210" s="7">
        <f>IF($Y210="","",SUMIFS('Per Line'!$Z$2:$Z$1001,'Per Line'!$E$2:$E$1001,$B210,'Per Line'!$AQ$2:$AQ$1001,0,'Per Line'!$AR$2:$AR$1001,0))</f>
        <v/>
      </c>
      <c r="Q210" s="7">
        <f>IF($Y210="","",P210*O210)</f>
        <v/>
      </c>
      <c r="R210">
        <f>IF($Y210="","",Settings!$C$6)</f>
        <v/>
      </c>
      <c r="S210" s="7">
        <f>IF($Y210="","",SUMIFS('Per Line'!$Z$2:$Z$1001,'Per Line'!$E$2:$E$1001,$B210,'Per Line'!$AQ$2:$AQ$1001,1,'Per Line'!$AR$2:$AR$1001,0))</f>
        <v/>
      </c>
      <c r="T210" s="7">
        <f>IF($Y210="","",S210*R210)</f>
        <v/>
      </c>
      <c r="U210" s="7">
        <f>IF($Y210="","",T210+Q210)</f>
        <v/>
      </c>
      <c r="V210" s="7">
        <f>IF($Y210="","",W210-U210)</f>
        <v/>
      </c>
      <c r="W210" s="7">
        <f>IF($Y210="","",P210+S210+N210)</f>
        <v/>
      </c>
      <c r="X210" s="7">
        <f>IF($Y210="","",W210-U210-L210)</f>
        <v/>
      </c>
      <c r="Y210" s="13">
        <f>IF(ROWS($Y$2:$Y210)&lt;=MAX('Per Line'!$AP$2:$AP$1001),MATCH(ROWS($Y$2:$Y210),'Per Line'!$AP$2:$AP$1001,0),"")</f>
        <v/>
      </c>
    </row>
    <row r="211">
      <c r="A211" s="12" t="n"/>
      <c r="B211">
        <f>IF($Y211="","",INDEX('Per Line'!$E$2:$E$1001,$Y211)&amp;"")</f>
        <v/>
      </c>
      <c r="C211">
        <f>IF($Y211="","",INDEX('Per Line'!$F$2:$F$1001,$Y211)&amp;"")</f>
        <v/>
      </c>
      <c r="D211">
        <f>IF($Y211="","",INDEX('Per Line'!$A$2:$A$1001,$Y211)&amp;"")</f>
        <v/>
      </c>
      <c r="E211">
        <f>IF($Y211="","",INDEX('Per Line'!$B$2:$B$1001,$Y211))</f>
        <v/>
      </c>
      <c r="F211">
        <f>IF($Y211="","",INDEX('Per Line'!$G$2:$G$1001,$Y211)&amp;"")</f>
        <v/>
      </c>
      <c r="G211" s="11">
        <f>IF($Y211="","",INDEX('Per Line'!$H$2:$H$1001,$Y211))</f>
        <v/>
      </c>
      <c r="H211">
        <f>IF($Y211="","",INDEX('Per Line'!$K$2:$K$1001,$Y211)&amp;"")</f>
        <v/>
      </c>
      <c r="I211">
        <f>IF($Y211="","",INDEX('Per Line'!$L$2:$L$1001,$Y211)&amp;"")</f>
        <v/>
      </c>
      <c r="J211">
        <f>IF($Y211="","",INDEX('Per Line'!$M$2:$M$1001,$Y211)&amp;"")</f>
        <v/>
      </c>
      <c r="K211">
        <f>IF($Y211="","",INDEX('Per Line'!$Q$2:$Q$1001,$Y211))</f>
        <v/>
      </c>
      <c r="L211" s="7">
        <f>IF($Y211="","",K211*W211/100)</f>
        <v/>
      </c>
      <c r="M211">
        <f>IF($Y211="","",INDEX('Per Line'!$AD$2:$AD$1001,$Y211)&amp;"")</f>
        <v/>
      </c>
      <c r="N211" s="7">
        <f>IF($Y211="","",SUMIFS('Per Line'!$Z$2:$Z$1001,'Per Line'!$E$2:$E$1001,$B211,'Per Line'!$AR$2:$AR$1001,1))</f>
        <v/>
      </c>
      <c r="O211">
        <f>IF($Y211="","",Settings!$C$7)</f>
        <v/>
      </c>
      <c r="P211" s="7">
        <f>IF($Y211="","",SUMIFS('Per Line'!$Z$2:$Z$1001,'Per Line'!$E$2:$E$1001,$B211,'Per Line'!$AQ$2:$AQ$1001,0,'Per Line'!$AR$2:$AR$1001,0))</f>
        <v/>
      </c>
      <c r="Q211" s="7">
        <f>IF($Y211="","",P211*O211)</f>
        <v/>
      </c>
      <c r="R211">
        <f>IF($Y211="","",Settings!$C$6)</f>
        <v/>
      </c>
      <c r="S211" s="7">
        <f>IF($Y211="","",SUMIFS('Per Line'!$Z$2:$Z$1001,'Per Line'!$E$2:$E$1001,$B211,'Per Line'!$AQ$2:$AQ$1001,1,'Per Line'!$AR$2:$AR$1001,0))</f>
        <v/>
      </c>
      <c r="T211" s="7">
        <f>IF($Y211="","",S211*R211)</f>
        <v/>
      </c>
      <c r="U211" s="7">
        <f>IF($Y211="","",T211+Q211)</f>
        <v/>
      </c>
      <c r="V211" s="7">
        <f>IF($Y211="","",W211-U211)</f>
        <v/>
      </c>
      <c r="W211" s="7">
        <f>IF($Y211="","",P211+S211+N211)</f>
        <v/>
      </c>
      <c r="X211" s="7">
        <f>IF($Y211="","",W211-U211-L211)</f>
        <v/>
      </c>
      <c r="Y211" s="13">
        <f>IF(ROWS($Y$2:$Y211)&lt;=MAX('Per Line'!$AP$2:$AP$1001),MATCH(ROWS($Y$2:$Y211),'Per Line'!$AP$2:$AP$1001,0),"")</f>
        <v/>
      </c>
    </row>
    <row r="212">
      <c r="A212" s="12" t="n"/>
      <c r="B212">
        <f>IF($Y212="","",INDEX('Per Line'!$E$2:$E$1001,$Y212)&amp;"")</f>
        <v/>
      </c>
      <c r="C212">
        <f>IF($Y212="","",INDEX('Per Line'!$F$2:$F$1001,$Y212)&amp;"")</f>
        <v/>
      </c>
      <c r="D212">
        <f>IF($Y212="","",INDEX('Per Line'!$A$2:$A$1001,$Y212)&amp;"")</f>
        <v/>
      </c>
      <c r="E212">
        <f>IF($Y212="","",INDEX('Per Line'!$B$2:$B$1001,$Y212))</f>
        <v/>
      </c>
      <c r="F212">
        <f>IF($Y212="","",INDEX('Per Line'!$G$2:$G$1001,$Y212)&amp;"")</f>
        <v/>
      </c>
      <c r="G212" s="11">
        <f>IF($Y212="","",INDEX('Per Line'!$H$2:$H$1001,$Y212))</f>
        <v/>
      </c>
      <c r="H212">
        <f>IF($Y212="","",INDEX('Per Line'!$K$2:$K$1001,$Y212)&amp;"")</f>
        <v/>
      </c>
      <c r="I212">
        <f>IF($Y212="","",INDEX('Per Line'!$L$2:$L$1001,$Y212)&amp;"")</f>
        <v/>
      </c>
      <c r="J212">
        <f>IF($Y212="","",INDEX('Per Line'!$M$2:$M$1001,$Y212)&amp;"")</f>
        <v/>
      </c>
      <c r="K212">
        <f>IF($Y212="","",INDEX('Per Line'!$Q$2:$Q$1001,$Y212))</f>
        <v/>
      </c>
      <c r="L212" s="7">
        <f>IF($Y212="","",K212*W212/100)</f>
        <v/>
      </c>
      <c r="M212">
        <f>IF($Y212="","",INDEX('Per Line'!$AD$2:$AD$1001,$Y212)&amp;"")</f>
        <v/>
      </c>
      <c r="N212" s="7">
        <f>IF($Y212="","",SUMIFS('Per Line'!$Z$2:$Z$1001,'Per Line'!$E$2:$E$1001,$B212,'Per Line'!$AR$2:$AR$1001,1))</f>
        <v/>
      </c>
      <c r="O212">
        <f>IF($Y212="","",Settings!$C$7)</f>
        <v/>
      </c>
      <c r="P212" s="7">
        <f>IF($Y212="","",SUMIFS('Per Line'!$Z$2:$Z$1001,'Per Line'!$E$2:$E$1001,$B212,'Per Line'!$AQ$2:$AQ$1001,0,'Per Line'!$AR$2:$AR$1001,0))</f>
        <v/>
      </c>
      <c r="Q212" s="7">
        <f>IF($Y212="","",P212*O212)</f>
        <v/>
      </c>
      <c r="R212">
        <f>IF($Y212="","",Settings!$C$6)</f>
        <v/>
      </c>
      <c r="S212" s="7">
        <f>IF($Y212="","",SUMIFS('Per Line'!$Z$2:$Z$1001,'Per Line'!$E$2:$E$1001,$B212,'Per Line'!$AQ$2:$AQ$1001,1,'Per Line'!$AR$2:$AR$1001,0))</f>
        <v/>
      </c>
      <c r="T212" s="7">
        <f>IF($Y212="","",S212*R212)</f>
        <v/>
      </c>
      <c r="U212" s="7">
        <f>IF($Y212="","",T212+Q212)</f>
        <v/>
      </c>
      <c r="V212" s="7">
        <f>IF($Y212="","",W212-U212)</f>
        <v/>
      </c>
      <c r="W212" s="7">
        <f>IF($Y212="","",P212+S212+N212)</f>
        <v/>
      </c>
      <c r="X212" s="7">
        <f>IF($Y212="","",W212-U212-L212)</f>
        <v/>
      </c>
      <c r="Y212" s="13">
        <f>IF(ROWS($Y$2:$Y212)&lt;=MAX('Per Line'!$AP$2:$AP$1001),MATCH(ROWS($Y$2:$Y212),'Per Line'!$AP$2:$AP$1001,0),"")</f>
        <v/>
      </c>
    </row>
    <row r="213">
      <c r="A213" s="12" t="n"/>
      <c r="B213">
        <f>IF($Y213="","",INDEX('Per Line'!$E$2:$E$1001,$Y213)&amp;"")</f>
        <v/>
      </c>
      <c r="C213">
        <f>IF($Y213="","",INDEX('Per Line'!$F$2:$F$1001,$Y213)&amp;"")</f>
        <v/>
      </c>
      <c r="D213">
        <f>IF($Y213="","",INDEX('Per Line'!$A$2:$A$1001,$Y213)&amp;"")</f>
        <v/>
      </c>
      <c r="E213">
        <f>IF($Y213="","",INDEX('Per Line'!$B$2:$B$1001,$Y213))</f>
        <v/>
      </c>
      <c r="F213">
        <f>IF($Y213="","",INDEX('Per Line'!$G$2:$G$1001,$Y213)&amp;"")</f>
        <v/>
      </c>
      <c r="G213" s="11">
        <f>IF($Y213="","",INDEX('Per Line'!$H$2:$H$1001,$Y213))</f>
        <v/>
      </c>
      <c r="H213">
        <f>IF($Y213="","",INDEX('Per Line'!$K$2:$K$1001,$Y213)&amp;"")</f>
        <v/>
      </c>
      <c r="I213">
        <f>IF($Y213="","",INDEX('Per Line'!$L$2:$L$1001,$Y213)&amp;"")</f>
        <v/>
      </c>
      <c r="J213">
        <f>IF($Y213="","",INDEX('Per Line'!$M$2:$M$1001,$Y213)&amp;"")</f>
        <v/>
      </c>
      <c r="K213">
        <f>IF($Y213="","",INDEX('Per Line'!$Q$2:$Q$1001,$Y213))</f>
        <v/>
      </c>
      <c r="L213" s="7">
        <f>IF($Y213="","",K213*W213/100)</f>
        <v/>
      </c>
      <c r="M213">
        <f>IF($Y213="","",INDEX('Per Line'!$AD$2:$AD$1001,$Y213)&amp;"")</f>
        <v/>
      </c>
      <c r="N213" s="7">
        <f>IF($Y213="","",SUMIFS('Per Line'!$Z$2:$Z$1001,'Per Line'!$E$2:$E$1001,$B213,'Per Line'!$AR$2:$AR$1001,1))</f>
        <v/>
      </c>
      <c r="O213">
        <f>IF($Y213="","",Settings!$C$7)</f>
        <v/>
      </c>
      <c r="P213" s="7">
        <f>IF($Y213="","",SUMIFS('Per Line'!$Z$2:$Z$1001,'Per Line'!$E$2:$E$1001,$B213,'Per Line'!$AQ$2:$AQ$1001,0,'Per Line'!$AR$2:$AR$1001,0))</f>
        <v/>
      </c>
      <c r="Q213" s="7">
        <f>IF($Y213="","",P213*O213)</f>
        <v/>
      </c>
      <c r="R213">
        <f>IF($Y213="","",Settings!$C$6)</f>
        <v/>
      </c>
      <c r="S213" s="7">
        <f>IF($Y213="","",SUMIFS('Per Line'!$Z$2:$Z$1001,'Per Line'!$E$2:$E$1001,$B213,'Per Line'!$AQ$2:$AQ$1001,1,'Per Line'!$AR$2:$AR$1001,0))</f>
        <v/>
      </c>
      <c r="T213" s="7">
        <f>IF($Y213="","",S213*R213)</f>
        <v/>
      </c>
      <c r="U213" s="7">
        <f>IF($Y213="","",T213+Q213)</f>
        <v/>
      </c>
      <c r="V213" s="7">
        <f>IF($Y213="","",W213-U213)</f>
        <v/>
      </c>
      <c r="W213" s="7">
        <f>IF($Y213="","",P213+S213+N213)</f>
        <v/>
      </c>
      <c r="X213" s="7">
        <f>IF($Y213="","",W213-U213-L213)</f>
        <v/>
      </c>
      <c r="Y213" s="13">
        <f>IF(ROWS($Y$2:$Y213)&lt;=MAX('Per Line'!$AP$2:$AP$1001),MATCH(ROWS($Y$2:$Y213),'Per Line'!$AP$2:$AP$1001,0),"")</f>
        <v/>
      </c>
    </row>
    <row r="214">
      <c r="A214" s="12" t="n"/>
      <c r="B214">
        <f>IF($Y214="","",INDEX('Per Line'!$E$2:$E$1001,$Y214)&amp;"")</f>
        <v/>
      </c>
      <c r="C214">
        <f>IF($Y214="","",INDEX('Per Line'!$F$2:$F$1001,$Y214)&amp;"")</f>
        <v/>
      </c>
      <c r="D214">
        <f>IF($Y214="","",INDEX('Per Line'!$A$2:$A$1001,$Y214)&amp;"")</f>
        <v/>
      </c>
      <c r="E214">
        <f>IF($Y214="","",INDEX('Per Line'!$B$2:$B$1001,$Y214))</f>
        <v/>
      </c>
      <c r="F214">
        <f>IF($Y214="","",INDEX('Per Line'!$G$2:$G$1001,$Y214)&amp;"")</f>
        <v/>
      </c>
      <c r="G214" s="11">
        <f>IF($Y214="","",INDEX('Per Line'!$H$2:$H$1001,$Y214))</f>
        <v/>
      </c>
      <c r="H214">
        <f>IF($Y214="","",INDEX('Per Line'!$K$2:$K$1001,$Y214)&amp;"")</f>
        <v/>
      </c>
      <c r="I214">
        <f>IF($Y214="","",INDEX('Per Line'!$L$2:$L$1001,$Y214)&amp;"")</f>
        <v/>
      </c>
      <c r="J214">
        <f>IF($Y214="","",INDEX('Per Line'!$M$2:$M$1001,$Y214)&amp;"")</f>
        <v/>
      </c>
      <c r="K214">
        <f>IF($Y214="","",INDEX('Per Line'!$Q$2:$Q$1001,$Y214))</f>
        <v/>
      </c>
      <c r="L214" s="7">
        <f>IF($Y214="","",K214*W214/100)</f>
        <v/>
      </c>
      <c r="M214">
        <f>IF($Y214="","",INDEX('Per Line'!$AD$2:$AD$1001,$Y214)&amp;"")</f>
        <v/>
      </c>
      <c r="N214" s="7">
        <f>IF($Y214="","",SUMIFS('Per Line'!$Z$2:$Z$1001,'Per Line'!$E$2:$E$1001,$B214,'Per Line'!$AR$2:$AR$1001,1))</f>
        <v/>
      </c>
      <c r="O214">
        <f>IF($Y214="","",Settings!$C$7)</f>
        <v/>
      </c>
      <c r="P214" s="7">
        <f>IF($Y214="","",SUMIFS('Per Line'!$Z$2:$Z$1001,'Per Line'!$E$2:$E$1001,$B214,'Per Line'!$AQ$2:$AQ$1001,0,'Per Line'!$AR$2:$AR$1001,0))</f>
        <v/>
      </c>
      <c r="Q214" s="7">
        <f>IF($Y214="","",P214*O214)</f>
        <v/>
      </c>
      <c r="R214">
        <f>IF($Y214="","",Settings!$C$6)</f>
        <v/>
      </c>
      <c r="S214" s="7">
        <f>IF($Y214="","",SUMIFS('Per Line'!$Z$2:$Z$1001,'Per Line'!$E$2:$E$1001,$B214,'Per Line'!$AQ$2:$AQ$1001,1,'Per Line'!$AR$2:$AR$1001,0))</f>
        <v/>
      </c>
      <c r="T214" s="7">
        <f>IF($Y214="","",S214*R214)</f>
        <v/>
      </c>
      <c r="U214" s="7">
        <f>IF($Y214="","",T214+Q214)</f>
        <v/>
      </c>
      <c r="V214" s="7">
        <f>IF($Y214="","",W214-U214)</f>
        <v/>
      </c>
      <c r="W214" s="7">
        <f>IF($Y214="","",P214+S214+N214)</f>
        <v/>
      </c>
      <c r="X214" s="7">
        <f>IF($Y214="","",W214-U214-L214)</f>
        <v/>
      </c>
      <c r="Y214" s="13">
        <f>IF(ROWS($Y$2:$Y214)&lt;=MAX('Per Line'!$AP$2:$AP$1001),MATCH(ROWS($Y$2:$Y214),'Per Line'!$AP$2:$AP$1001,0),"")</f>
        <v/>
      </c>
    </row>
    <row r="215">
      <c r="A215" s="12" t="n"/>
      <c r="B215">
        <f>IF($Y215="","",INDEX('Per Line'!$E$2:$E$1001,$Y215)&amp;"")</f>
        <v/>
      </c>
      <c r="C215">
        <f>IF($Y215="","",INDEX('Per Line'!$F$2:$F$1001,$Y215)&amp;"")</f>
        <v/>
      </c>
      <c r="D215">
        <f>IF($Y215="","",INDEX('Per Line'!$A$2:$A$1001,$Y215)&amp;"")</f>
        <v/>
      </c>
      <c r="E215">
        <f>IF($Y215="","",INDEX('Per Line'!$B$2:$B$1001,$Y215))</f>
        <v/>
      </c>
      <c r="F215">
        <f>IF($Y215="","",INDEX('Per Line'!$G$2:$G$1001,$Y215)&amp;"")</f>
        <v/>
      </c>
      <c r="G215" s="11">
        <f>IF($Y215="","",INDEX('Per Line'!$H$2:$H$1001,$Y215))</f>
        <v/>
      </c>
      <c r="H215">
        <f>IF($Y215="","",INDEX('Per Line'!$K$2:$K$1001,$Y215)&amp;"")</f>
        <v/>
      </c>
      <c r="I215">
        <f>IF($Y215="","",INDEX('Per Line'!$L$2:$L$1001,$Y215)&amp;"")</f>
        <v/>
      </c>
      <c r="J215">
        <f>IF($Y215="","",INDEX('Per Line'!$M$2:$M$1001,$Y215)&amp;"")</f>
        <v/>
      </c>
      <c r="K215">
        <f>IF($Y215="","",INDEX('Per Line'!$Q$2:$Q$1001,$Y215))</f>
        <v/>
      </c>
      <c r="L215" s="7">
        <f>IF($Y215="","",K215*W215/100)</f>
        <v/>
      </c>
      <c r="M215">
        <f>IF($Y215="","",INDEX('Per Line'!$AD$2:$AD$1001,$Y215)&amp;"")</f>
        <v/>
      </c>
      <c r="N215" s="7">
        <f>IF($Y215="","",SUMIFS('Per Line'!$Z$2:$Z$1001,'Per Line'!$E$2:$E$1001,$B215,'Per Line'!$AR$2:$AR$1001,1))</f>
        <v/>
      </c>
      <c r="O215">
        <f>IF($Y215="","",Settings!$C$7)</f>
        <v/>
      </c>
      <c r="P215" s="7">
        <f>IF($Y215="","",SUMIFS('Per Line'!$Z$2:$Z$1001,'Per Line'!$E$2:$E$1001,$B215,'Per Line'!$AQ$2:$AQ$1001,0,'Per Line'!$AR$2:$AR$1001,0))</f>
        <v/>
      </c>
      <c r="Q215" s="7">
        <f>IF($Y215="","",P215*O215)</f>
        <v/>
      </c>
      <c r="R215">
        <f>IF($Y215="","",Settings!$C$6)</f>
        <v/>
      </c>
      <c r="S215" s="7">
        <f>IF($Y215="","",SUMIFS('Per Line'!$Z$2:$Z$1001,'Per Line'!$E$2:$E$1001,$B215,'Per Line'!$AQ$2:$AQ$1001,1,'Per Line'!$AR$2:$AR$1001,0))</f>
        <v/>
      </c>
      <c r="T215" s="7">
        <f>IF($Y215="","",S215*R215)</f>
        <v/>
      </c>
      <c r="U215" s="7">
        <f>IF($Y215="","",T215+Q215)</f>
        <v/>
      </c>
      <c r="V215" s="7">
        <f>IF($Y215="","",W215-U215)</f>
        <v/>
      </c>
      <c r="W215" s="7">
        <f>IF($Y215="","",P215+S215+N215)</f>
        <v/>
      </c>
      <c r="X215" s="7">
        <f>IF($Y215="","",W215-U215-L215)</f>
        <v/>
      </c>
      <c r="Y215" s="13">
        <f>IF(ROWS($Y$2:$Y215)&lt;=MAX('Per Line'!$AP$2:$AP$1001),MATCH(ROWS($Y$2:$Y215),'Per Line'!$AP$2:$AP$1001,0),"")</f>
        <v/>
      </c>
    </row>
    <row r="216">
      <c r="A216" s="12" t="n"/>
      <c r="B216">
        <f>IF($Y216="","",INDEX('Per Line'!$E$2:$E$1001,$Y216)&amp;"")</f>
        <v/>
      </c>
      <c r="C216">
        <f>IF($Y216="","",INDEX('Per Line'!$F$2:$F$1001,$Y216)&amp;"")</f>
        <v/>
      </c>
      <c r="D216">
        <f>IF($Y216="","",INDEX('Per Line'!$A$2:$A$1001,$Y216)&amp;"")</f>
        <v/>
      </c>
      <c r="E216">
        <f>IF($Y216="","",INDEX('Per Line'!$B$2:$B$1001,$Y216))</f>
        <v/>
      </c>
      <c r="F216">
        <f>IF($Y216="","",INDEX('Per Line'!$G$2:$G$1001,$Y216)&amp;"")</f>
        <v/>
      </c>
      <c r="G216" s="11">
        <f>IF($Y216="","",INDEX('Per Line'!$H$2:$H$1001,$Y216))</f>
        <v/>
      </c>
      <c r="H216">
        <f>IF($Y216="","",INDEX('Per Line'!$K$2:$K$1001,$Y216)&amp;"")</f>
        <v/>
      </c>
      <c r="I216">
        <f>IF($Y216="","",INDEX('Per Line'!$L$2:$L$1001,$Y216)&amp;"")</f>
        <v/>
      </c>
      <c r="J216">
        <f>IF($Y216="","",INDEX('Per Line'!$M$2:$M$1001,$Y216)&amp;"")</f>
        <v/>
      </c>
      <c r="K216">
        <f>IF($Y216="","",INDEX('Per Line'!$Q$2:$Q$1001,$Y216))</f>
        <v/>
      </c>
      <c r="L216" s="7">
        <f>IF($Y216="","",K216*W216/100)</f>
        <v/>
      </c>
      <c r="M216">
        <f>IF($Y216="","",INDEX('Per Line'!$AD$2:$AD$1001,$Y216)&amp;"")</f>
        <v/>
      </c>
      <c r="N216" s="7">
        <f>IF($Y216="","",SUMIFS('Per Line'!$Z$2:$Z$1001,'Per Line'!$E$2:$E$1001,$B216,'Per Line'!$AR$2:$AR$1001,1))</f>
        <v/>
      </c>
      <c r="O216">
        <f>IF($Y216="","",Settings!$C$7)</f>
        <v/>
      </c>
      <c r="P216" s="7">
        <f>IF($Y216="","",SUMIFS('Per Line'!$Z$2:$Z$1001,'Per Line'!$E$2:$E$1001,$B216,'Per Line'!$AQ$2:$AQ$1001,0,'Per Line'!$AR$2:$AR$1001,0))</f>
        <v/>
      </c>
      <c r="Q216" s="7">
        <f>IF($Y216="","",P216*O216)</f>
        <v/>
      </c>
      <c r="R216">
        <f>IF($Y216="","",Settings!$C$6)</f>
        <v/>
      </c>
      <c r="S216" s="7">
        <f>IF($Y216="","",SUMIFS('Per Line'!$Z$2:$Z$1001,'Per Line'!$E$2:$E$1001,$B216,'Per Line'!$AQ$2:$AQ$1001,1,'Per Line'!$AR$2:$AR$1001,0))</f>
        <v/>
      </c>
      <c r="T216" s="7">
        <f>IF($Y216="","",S216*R216)</f>
        <v/>
      </c>
      <c r="U216" s="7">
        <f>IF($Y216="","",T216+Q216)</f>
        <v/>
      </c>
      <c r="V216" s="7">
        <f>IF($Y216="","",W216-U216)</f>
        <v/>
      </c>
      <c r="W216" s="7">
        <f>IF($Y216="","",P216+S216+N216)</f>
        <v/>
      </c>
      <c r="X216" s="7">
        <f>IF($Y216="","",W216-U216-L216)</f>
        <v/>
      </c>
      <c r="Y216" s="13">
        <f>IF(ROWS($Y$2:$Y216)&lt;=MAX('Per Line'!$AP$2:$AP$1001),MATCH(ROWS($Y$2:$Y216),'Per Line'!$AP$2:$AP$1001,0),"")</f>
        <v/>
      </c>
    </row>
    <row r="217">
      <c r="A217" s="12" t="n"/>
      <c r="B217">
        <f>IF($Y217="","",INDEX('Per Line'!$E$2:$E$1001,$Y217)&amp;"")</f>
        <v/>
      </c>
      <c r="C217">
        <f>IF($Y217="","",INDEX('Per Line'!$F$2:$F$1001,$Y217)&amp;"")</f>
        <v/>
      </c>
      <c r="D217">
        <f>IF($Y217="","",INDEX('Per Line'!$A$2:$A$1001,$Y217)&amp;"")</f>
        <v/>
      </c>
      <c r="E217">
        <f>IF($Y217="","",INDEX('Per Line'!$B$2:$B$1001,$Y217))</f>
        <v/>
      </c>
      <c r="F217">
        <f>IF($Y217="","",INDEX('Per Line'!$G$2:$G$1001,$Y217)&amp;"")</f>
        <v/>
      </c>
      <c r="G217" s="11">
        <f>IF($Y217="","",INDEX('Per Line'!$H$2:$H$1001,$Y217))</f>
        <v/>
      </c>
      <c r="H217">
        <f>IF($Y217="","",INDEX('Per Line'!$K$2:$K$1001,$Y217)&amp;"")</f>
        <v/>
      </c>
      <c r="I217">
        <f>IF($Y217="","",INDEX('Per Line'!$L$2:$L$1001,$Y217)&amp;"")</f>
        <v/>
      </c>
      <c r="J217">
        <f>IF($Y217="","",INDEX('Per Line'!$M$2:$M$1001,$Y217)&amp;"")</f>
        <v/>
      </c>
      <c r="K217">
        <f>IF($Y217="","",INDEX('Per Line'!$Q$2:$Q$1001,$Y217))</f>
        <v/>
      </c>
      <c r="L217" s="7">
        <f>IF($Y217="","",K217*W217/100)</f>
        <v/>
      </c>
      <c r="M217">
        <f>IF($Y217="","",INDEX('Per Line'!$AD$2:$AD$1001,$Y217)&amp;"")</f>
        <v/>
      </c>
      <c r="N217" s="7">
        <f>IF($Y217="","",SUMIFS('Per Line'!$Z$2:$Z$1001,'Per Line'!$E$2:$E$1001,$B217,'Per Line'!$AR$2:$AR$1001,1))</f>
        <v/>
      </c>
      <c r="O217">
        <f>IF($Y217="","",Settings!$C$7)</f>
        <v/>
      </c>
      <c r="P217" s="7">
        <f>IF($Y217="","",SUMIFS('Per Line'!$Z$2:$Z$1001,'Per Line'!$E$2:$E$1001,$B217,'Per Line'!$AQ$2:$AQ$1001,0,'Per Line'!$AR$2:$AR$1001,0))</f>
        <v/>
      </c>
      <c r="Q217" s="7">
        <f>IF($Y217="","",P217*O217)</f>
        <v/>
      </c>
      <c r="R217">
        <f>IF($Y217="","",Settings!$C$6)</f>
        <v/>
      </c>
      <c r="S217" s="7">
        <f>IF($Y217="","",SUMIFS('Per Line'!$Z$2:$Z$1001,'Per Line'!$E$2:$E$1001,$B217,'Per Line'!$AQ$2:$AQ$1001,1,'Per Line'!$AR$2:$AR$1001,0))</f>
        <v/>
      </c>
      <c r="T217" s="7">
        <f>IF($Y217="","",S217*R217)</f>
        <v/>
      </c>
      <c r="U217" s="7">
        <f>IF($Y217="","",T217+Q217)</f>
        <v/>
      </c>
      <c r="V217" s="7">
        <f>IF($Y217="","",W217-U217)</f>
        <v/>
      </c>
      <c r="W217" s="7">
        <f>IF($Y217="","",P217+S217+N217)</f>
        <v/>
      </c>
      <c r="X217" s="7">
        <f>IF($Y217="","",W217-U217-L217)</f>
        <v/>
      </c>
      <c r="Y217" s="13">
        <f>IF(ROWS($Y$2:$Y217)&lt;=MAX('Per Line'!$AP$2:$AP$1001),MATCH(ROWS($Y$2:$Y217),'Per Line'!$AP$2:$AP$1001,0),"")</f>
        <v/>
      </c>
    </row>
    <row r="218">
      <c r="A218" s="12" t="n"/>
      <c r="B218">
        <f>IF($Y218="","",INDEX('Per Line'!$E$2:$E$1001,$Y218)&amp;"")</f>
        <v/>
      </c>
      <c r="C218">
        <f>IF($Y218="","",INDEX('Per Line'!$F$2:$F$1001,$Y218)&amp;"")</f>
        <v/>
      </c>
      <c r="D218">
        <f>IF($Y218="","",INDEX('Per Line'!$A$2:$A$1001,$Y218)&amp;"")</f>
        <v/>
      </c>
      <c r="E218">
        <f>IF($Y218="","",INDEX('Per Line'!$B$2:$B$1001,$Y218))</f>
        <v/>
      </c>
      <c r="F218">
        <f>IF($Y218="","",INDEX('Per Line'!$G$2:$G$1001,$Y218)&amp;"")</f>
        <v/>
      </c>
      <c r="G218" s="11">
        <f>IF($Y218="","",INDEX('Per Line'!$H$2:$H$1001,$Y218))</f>
        <v/>
      </c>
      <c r="H218">
        <f>IF($Y218="","",INDEX('Per Line'!$K$2:$K$1001,$Y218)&amp;"")</f>
        <v/>
      </c>
      <c r="I218">
        <f>IF($Y218="","",INDEX('Per Line'!$L$2:$L$1001,$Y218)&amp;"")</f>
        <v/>
      </c>
      <c r="J218">
        <f>IF($Y218="","",INDEX('Per Line'!$M$2:$M$1001,$Y218)&amp;"")</f>
        <v/>
      </c>
      <c r="K218">
        <f>IF($Y218="","",INDEX('Per Line'!$Q$2:$Q$1001,$Y218))</f>
        <v/>
      </c>
      <c r="L218" s="7">
        <f>IF($Y218="","",K218*W218/100)</f>
        <v/>
      </c>
      <c r="M218">
        <f>IF($Y218="","",INDEX('Per Line'!$AD$2:$AD$1001,$Y218)&amp;"")</f>
        <v/>
      </c>
      <c r="N218" s="7">
        <f>IF($Y218="","",SUMIFS('Per Line'!$Z$2:$Z$1001,'Per Line'!$E$2:$E$1001,$B218,'Per Line'!$AR$2:$AR$1001,1))</f>
        <v/>
      </c>
      <c r="O218">
        <f>IF($Y218="","",Settings!$C$7)</f>
        <v/>
      </c>
      <c r="P218" s="7">
        <f>IF($Y218="","",SUMIFS('Per Line'!$Z$2:$Z$1001,'Per Line'!$E$2:$E$1001,$B218,'Per Line'!$AQ$2:$AQ$1001,0,'Per Line'!$AR$2:$AR$1001,0))</f>
        <v/>
      </c>
      <c r="Q218" s="7">
        <f>IF($Y218="","",P218*O218)</f>
        <v/>
      </c>
      <c r="R218">
        <f>IF($Y218="","",Settings!$C$6)</f>
        <v/>
      </c>
      <c r="S218" s="7">
        <f>IF($Y218="","",SUMIFS('Per Line'!$Z$2:$Z$1001,'Per Line'!$E$2:$E$1001,$B218,'Per Line'!$AQ$2:$AQ$1001,1,'Per Line'!$AR$2:$AR$1001,0))</f>
        <v/>
      </c>
      <c r="T218" s="7">
        <f>IF($Y218="","",S218*R218)</f>
        <v/>
      </c>
      <c r="U218" s="7">
        <f>IF($Y218="","",T218+Q218)</f>
        <v/>
      </c>
      <c r="V218" s="7">
        <f>IF($Y218="","",W218-U218)</f>
        <v/>
      </c>
      <c r="W218" s="7">
        <f>IF($Y218="","",P218+S218+N218)</f>
        <v/>
      </c>
      <c r="X218" s="7">
        <f>IF($Y218="","",W218-U218-L218)</f>
        <v/>
      </c>
      <c r="Y218" s="13">
        <f>IF(ROWS($Y$2:$Y218)&lt;=MAX('Per Line'!$AP$2:$AP$1001),MATCH(ROWS($Y$2:$Y218),'Per Line'!$AP$2:$AP$1001,0),"")</f>
        <v/>
      </c>
    </row>
    <row r="219">
      <c r="A219" s="12" t="n"/>
      <c r="B219">
        <f>IF($Y219="","",INDEX('Per Line'!$E$2:$E$1001,$Y219)&amp;"")</f>
        <v/>
      </c>
      <c r="C219">
        <f>IF($Y219="","",INDEX('Per Line'!$F$2:$F$1001,$Y219)&amp;"")</f>
        <v/>
      </c>
      <c r="D219">
        <f>IF($Y219="","",INDEX('Per Line'!$A$2:$A$1001,$Y219)&amp;"")</f>
        <v/>
      </c>
      <c r="E219">
        <f>IF($Y219="","",INDEX('Per Line'!$B$2:$B$1001,$Y219))</f>
        <v/>
      </c>
      <c r="F219">
        <f>IF($Y219="","",INDEX('Per Line'!$G$2:$G$1001,$Y219)&amp;"")</f>
        <v/>
      </c>
      <c r="G219" s="11">
        <f>IF($Y219="","",INDEX('Per Line'!$H$2:$H$1001,$Y219))</f>
        <v/>
      </c>
      <c r="H219">
        <f>IF($Y219="","",INDEX('Per Line'!$K$2:$K$1001,$Y219)&amp;"")</f>
        <v/>
      </c>
      <c r="I219">
        <f>IF($Y219="","",INDEX('Per Line'!$L$2:$L$1001,$Y219)&amp;"")</f>
        <v/>
      </c>
      <c r="J219">
        <f>IF($Y219="","",INDEX('Per Line'!$M$2:$M$1001,$Y219)&amp;"")</f>
        <v/>
      </c>
      <c r="K219">
        <f>IF($Y219="","",INDEX('Per Line'!$Q$2:$Q$1001,$Y219))</f>
        <v/>
      </c>
      <c r="L219" s="7">
        <f>IF($Y219="","",K219*W219/100)</f>
        <v/>
      </c>
      <c r="M219">
        <f>IF($Y219="","",INDEX('Per Line'!$AD$2:$AD$1001,$Y219)&amp;"")</f>
        <v/>
      </c>
      <c r="N219" s="7">
        <f>IF($Y219="","",SUMIFS('Per Line'!$Z$2:$Z$1001,'Per Line'!$E$2:$E$1001,$B219,'Per Line'!$AR$2:$AR$1001,1))</f>
        <v/>
      </c>
      <c r="O219">
        <f>IF($Y219="","",Settings!$C$7)</f>
        <v/>
      </c>
      <c r="P219" s="7">
        <f>IF($Y219="","",SUMIFS('Per Line'!$Z$2:$Z$1001,'Per Line'!$E$2:$E$1001,$B219,'Per Line'!$AQ$2:$AQ$1001,0,'Per Line'!$AR$2:$AR$1001,0))</f>
        <v/>
      </c>
      <c r="Q219" s="7">
        <f>IF($Y219="","",P219*O219)</f>
        <v/>
      </c>
      <c r="R219">
        <f>IF($Y219="","",Settings!$C$6)</f>
        <v/>
      </c>
      <c r="S219" s="7">
        <f>IF($Y219="","",SUMIFS('Per Line'!$Z$2:$Z$1001,'Per Line'!$E$2:$E$1001,$B219,'Per Line'!$AQ$2:$AQ$1001,1,'Per Line'!$AR$2:$AR$1001,0))</f>
        <v/>
      </c>
      <c r="T219" s="7">
        <f>IF($Y219="","",S219*R219)</f>
        <v/>
      </c>
      <c r="U219" s="7">
        <f>IF($Y219="","",T219+Q219)</f>
        <v/>
      </c>
      <c r="V219" s="7">
        <f>IF($Y219="","",W219-U219)</f>
        <v/>
      </c>
      <c r="W219" s="7">
        <f>IF($Y219="","",P219+S219+N219)</f>
        <v/>
      </c>
      <c r="X219" s="7">
        <f>IF($Y219="","",W219-U219-L219)</f>
        <v/>
      </c>
      <c r="Y219" s="13">
        <f>IF(ROWS($Y$2:$Y219)&lt;=MAX('Per Line'!$AP$2:$AP$1001),MATCH(ROWS($Y$2:$Y219),'Per Line'!$AP$2:$AP$1001,0),"")</f>
        <v/>
      </c>
    </row>
    <row r="220">
      <c r="A220" s="12" t="n"/>
      <c r="B220">
        <f>IF($Y220="","",INDEX('Per Line'!$E$2:$E$1001,$Y220)&amp;"")</f>
        <v/>
      </c>
      <c r="C220">
        <f>IF($Y220="","",INDEX('Per Line'!$F$2:$F$1001,$Y220)&amp;"")</f>
        <v/>
      </c>
      <c r="D220">
        <f>IF($Y220="","",INDEX('Per Line'!$A$2:$A$1001,$Y220)&amp;"")</f>
        <v/>
      </c>
      <c r="E220">
        <f>IF($Y220="","",INDEX('Per Line'!$B$2:$B$1001,$Y220))</f>
        <v/>
      </c>
      <c r="F220">
        <f>IF($Y220="","",INDEX('Per Line'!$G$2:$G$1001,$Y220)&amp;"")</f>
        <v/>
      </c>
      <c r="G220" s="11">
        <f>IF($Y220="","",INDEX('Per Line'!$H$2:$H$1001,$Y220))</f>
        <v/>
      </c>
      <c r="H220">
        <f>IF($Y220="","",INDEX('Per Line'!$K$2:$K$1001,$Y220)&amp;"")</f>
        <v/>
      </c>
      <c r="I220">
        <f>IF($Y220="","",INDEX('Per Line'!$L$2:$L$1001,$Y220)&amp;"")</f>
        <v/>
      </c>
      <c r="J220">
        <f>IF($Y220="","",INDEX('Per Line'!$M$2:$M$1001,$Y220)&amp;"")</f>
        <v/>
      </c>
      <c r="K220">
        <f>IF($Y220="","",INDEX('Per Line'!$Q$2:$Q$1001,$Y220))</f>
        <v/>
      </c>
      <c r="L220" s="7">
        <f>IF($Y220="","",K220*W220/100)</f>
        <v/>
      </c>
      <c r="M220">
        <f>IF($Y220="","",INDEX('Per Line'!$AD$2:$AD$1001,$Y220)&amp;"")</f>
        <v/>
      </c>
      <c r="N220" s="7">
        <f>IF($Y220="","",SUMIFS('Per Line'!$Z$2:$Z$1001,'Per Line'!$E$2:$E$1001,$B220,'Per Line'!$AR$2:$AR$1001,1))</f>
        <v/>
      </c>
      <c r="O220">
        <f>IF($Y220="","",Settings!$C$7)</f>
        <v/>
      </c>
      <c r="P220" s="7">
        <f>IF($Y220="","",SUMIFS('Per Line'!$Z$2:$Z$1001,'Per Line'!$E$2:$E$1001,$B220,'Per Line'!$AQ$2:$AQ$1001,0,'Per Line'!$AR$2:$AR$1001,0))</f>
        <v/>
      </c>
      <c r="Q220" s="7">
        <f>IF($Y220="","",P220*O220)</f>
        <v/>
      </c>
      <c r="R220">
        <f>IF($Y220="","",Settings!$C$6)</f>
        <v/>
      </c>
      <c r="S220" s="7">
        <f>IF($Y220="","",SUMIFS('Per Line'!$Z$2:$Z$1001,'Per Line'!$E$2:$E$1001,$B220,'Per Line'!$AQ$2:$AQ$1001,1,'Per Line'!$AR$2:$AR$1001,0))</f>
        <v/>
      </c>
      <c r="T220" s="7">
        <f>IF($Y220="","",S220*R220)</f>
        <v/>
      </c>
      <c r="U220" s="7">
        <f>IF($Y220="","",T220+Q220)</f>
        <v/>
      </c>
      <c r="V220" s="7">
        <f>IF($Y220="","",W220-U220)</f>
        <v/>
      </c>
      <c r="W220" s="7">
        <f>IF($Y220="","",P220+S220+N220)</f>
        <v/>
      </c>
      <c r="X220" s="7">
        <f>IF($Y220="","",W220-U220-L220)</f>
        <v/>
      </c>
      <c r="Y220" s="13">
        <f>IF(ROWS($Y$2:$Y220)&lt;=MAX('Per Line'!$AP$2:$AP$1001),MATCH(ROWS($Y$2:$Y220),'Per Line'!$AP$2:$AP$1001,0),"")</f>
        <v/>
      </c>
    </row>
    <row r="221">
      <c r="A221" s="12" t="n"/>
      <c r="B221">
        <f>IF($Y221="","",INDEX('Per Line'!$E$2:$E$1001,$Y221)&amp;"")</f>
        <v/>
      </c>
      <c r="C221">
        <f>IF($Y221="","",INDEX('Per Line'!$F$2:$F$1001,$Y221)&amp;"")</f>
        <v/>
      </c>
      <c r="D221">
        <f>IF($Y221="","",INDEX('Per Line'!$A$2:$A$1001,$Y221)&amp;"")</f>
        <v/>
      </c>
      <c r="E221">
        <f>IF($Y221="","",INDEX('Per Line'!$B$2:$B$1001,$Y221))</f>
        <v/>
      </c>
      <c r="F221">
        <f>IF($Y221="","",INDEX('Per Line'!$G$2:$G$1001,$Y221)&amp;"")</f>
        <v/>
      </c>
      <c r="G221" s="11">
        <f>IF($Y221="","",INDEX('Per Line'!$H$2:$H$1001,$Y221))</f>
        <v/>
      </c>
      <c r="H221">
        <f>IF($Y221="","",INDEX('Per Line'!$K$2:$K$1001,$Y221)&amp;"")</f>
        <v/>
      </c>
      <c r="I221">
        <f>IF($Y221="","",INDEX('Per Line'!$L$2:$L$1001,$Y221)&amp;"")</f>
        <v/>
      </c>
      <c r="J221">
        <f>IF($Y221="","",INDEX('Per Line'!$M$2:$M$1001,$Y221)&amp;"")</f>
        <v/>
      </c>
      <c r="K221">
        <f>IF($Y221="","",INDEX('Per Line'!$Q$2:$Q$1001,$Y221))</f>
        <v/>
      </c>
      <c r="L221" s="7">
        <f>IF($Y221="","",K221*W221/100)</f>
        <v/>
      </c>
      <c r="M221">
        <f>IF($Y221="","",INDEX('Per Line'!$AD$2:$AD$1001,$Y221)&amp;"")</f>
        <v/>
      </c>
      <c r="N221" s="7">
        <f>IF($Y221="","",SUMIFS('Per Line'!$Z$2:$Z$1001,'Per Line'!$E$2:$E$1001,$B221,'Per Line'!$AR$2:$AR$1001,1))</f>
        <v/>
      </c>
      <c r="O221">
        <f>IF($Y221="","",Settings!$C$7)</f>
        <v/>
      </c>
      <c r="P221" s="7">
        <f>IF($Y221="","",SUMIFS('Per Line'!$Z$2:$Z$1001,'Per Line'!$E$2:$E$1001,$B221,'Per Line'!$AQ$2:$AQ$1001,0,'Per Line'!$AR$2:$AR$1001,0))</f>
        <v/>
      </c>
      <c r="Q221" s="7">
        <f>IF($Y221="","",P221*O221)</f>
        <v/>
      </c>
      <c r="R221">
        <f>IF($Y221="","",Settings!$C$6)</f>
        <v/>
      </c>
      <c r="S221" s="7">
        <f>IF($Y221="","",SUMIFS('Per Line'!$Z$2:$Z$1001,'Per Line'!$E$2:$E$1001,$B221,'Per Line'!$AQ$2:$AQ$1001,1,'Per Line'!$AR$2:$AR$1001,0))</f>
        <v/>
      </c>
      <c r="T221" s="7">
        <f>IF($Y221="","",S221*R221)</f>
        <v/>
      </c>
      <c r="U221" s="7">
        <f>IF($Y221="","",T221+Q221)</f>
        <v/>
      </c>
      <c r="V221" s="7">
        <f>IF($Y221="","",W221-U221)</f>
        <v/>
      </c>
      <c r="W221" s="7">
        <f>IF($Y221="","",P221+S221+N221)</f>
        <v/>
      </c>
      <c r="X221" s="7">
        <f>IF($Y221="","",W221-U221-L221)</f>
        <v/>
      </c>
      <c r="Y221" s="13">
        <f>IF(ROWS($Y$2:$Y221)&lt;=MAX('Per Line'!$AP$2:$AP$1001),MATCH(ROWS($Y$2:$Y221),'Per Line'!$AP$2:$AP$1001,0),"")</f>
        <v/>
      </c>
    </row>
    <row r="222">
      <c r="A222" s="12" t="n"/>
      <c r="B222">
        <f>IF($Y222="","",INDEX('Per Line'!$E$2:$E$1001,$Y222)&amp;"")</f>
        <v/>
      </c>
      <c r="C222">
        <f>IF($Y222="","",INDEX('Per Line'!$F$2:$F$1001,$Y222)&amp;"")</f>
        <v/>
      </c>
      <c r="D222">
        <f>IF($Y222="","",INDEX('Per Line'!$A$2:$A$1001,$Y222)&amp;"")</f>
        <v/>
      </c>
      <c r="E222">
        <f>IF($Y222="","",INDEX('Per Line'!$B$2:$B$1001,$Y222))</f>
        <v/>
      </c>
      <c r="F222">
        <f>IF($Y222="","",INDEX('Per Line'!$G$2:$G$1001,$Y222)&amp;"")</f>
        <v/>
      </c>
      <c r="G222" s="11">
        <f>IF($Y222="","",INDEX('Per Line'!$H$2:$H$1001,$Y222))</f>
        <v/>
      </c>
      <c r="H222">
        <f>IF($Y222="","",INDEX('Per Line'!$K$2:$K$1001,$Y222)&amp;"")</f>
        <v/>
      </c>
      <c r="I222">
        <f>IF($Y222="","",INDEX('Per Line'!$L$2:$L$1001,$Y222)&amp;"")</f>
        <v/>
      </c>
      <c r="J222">
        <f>IF($Y222="","",INDEX('Per Line'!$M$2:$M$1001,$Y222)&amp;"")</f>
        <v/>
      </c>
      <c r="K222">
        <f>IF($Y222="","",INDEX('Per Line'!$Q$2:$Q$1001,$Y222))</f>
        <v/>
      </c>
      <c r="L222" s="7">
        <f>IF($Y222="","",K222*W222/100)</f>
        <v/>
      </c>
      <c r="M222">
        <f>IF($Y222="","",INDEX('Per Line'!$AD$2:$AD$1001,$Y222)&amp;"")</f>
        <v/>
      </c>
      <c r="N222" s="7">
        <f>IF($Y222="","",SUMIFS('Per Line'!$Z$2:$Z$1001,'Per Line'!$E$2:$E$1001,$B222,'Per Line'!$AR$2:$AR$1001,1))</f>
        <v/>
      </c>
      <c r="O222">
        <f>IF($Y222="","",Settings!$C$7)</f>
        <v/>
      </c>
      <c r="P222" s="7">
        <f>IF($Y222="","",SUMIFS('Per Line'!$Z$2:$Z$1001,'Per Line'!$E$2:$E$1001,$B222,'Per Line'!$AQ$2:$AQ$1001,0,'Per Line'!$AR$2:$AR$1001,0))</f>
        <v/>
      </c>
      <c r="Q222" s="7">
        <f>IF($Y222="","",P222*O222)</f>
        <v/>
      </c>
      <c r="R222">
        <f>IF($Y222="","",Settings!$C$6)</f>
        <v/>
      </c>
      <c r="S222" s="7">
        <f>IF($Y222="","",SUMIFS('Per Line'!$Z$2:$Z$1001,'Per Line'!$E$2:$E$1001,$B222,'Per Line'!$AQ$2:$AQ$1001,1,'Per Line'!$AR$2:$AR$1001,0))</f>
        <v/>
      </c>
      <c r="T222" s="7">
        <f>IF($Y222="","",S222*R222)</f>
        <v/>
      </c>
      <c r="U222" s="7">
        <f>IF($Y222="","",T222+Q222)</f>
        <v/>
      </c>
      <c r="V222" s="7">
        <f>IF($Y222="","",W222-U222)</f>
        <v/>
      </c>
      <c r="W222" s="7">
        <f>IF($Y222="","",P222+S222+N222)</f>
        <v/>
      </c>
      <c r="X222" s="7">
        <f>IF($Y222="","",W222-U222-L222)</f>
        <v/>
      </c>
      <c r="Y222" s="13">
        <f>IF(ROWS($Y$2:$Y222)&lt;=MAX('Per Line'!$AP$2:$AP$1001),MATCH(ROWS($Y$2:$Y222),'Per Line'!$AP$2:$AP$1001,0),"")</f>
        <v/>
      </c>
    </row>
    <row r="223">
      <c r="A223" s="12" t="n"/>
      <c r="B223">
        <f>IF($Y223="","",INDEX('Per Line'!$E$2:$E$1001,$Y223)&amp;"")</f>
        <v/>
      </c>
      <c r="C223">
        <f>IF($Y223="","",INDEX('Per Line'!$F$2:$F$1001,$Y223)&amp;"")</f>
        <v/>
      </c>
      <c r="D223">
        <f>IF($Y223="","",INDEX('Per Line'!$A$2:$A$1001,$Y223)&amp;"")</f>
        <v/>
      </c>
      <c r="E223">
        <f>IF($Y223="","",INDEX('Per Line'!$B$2:$B$1001,$Y223))</f>
        <v/>
      </c>
      <c r="F223">
        <f>IF($Y223="","",INDEX('Per Line'!$G$2:$G$1001,$Y223)&amp;"")</f>
        <v/>
      </c>
      <c r="G223" s="11">
        <f>IF($Y223="","",INDEX('Per Line'!$H$2:$H$1001,$Y223))</f>
        <v/>
      </c>
      <c r="H223">
        <f>IF($Y223="","",INDEX('Per Line'!$K$2:$K$1001,$Y223)&amp;"")</f>
        <v/>
      </c>
      <c r="I223">
        <f>IF($Y223="","",INDEX('Per Line'!$L$2:$L$1001,$Y223)&amp;"")</f>
        <v/>
      </c>
      <c r="J223">
        <f>IF($Y223="","",INDEX('Per Line'!$M$2:$M$1001,$Y223)&amp;"")</f>
        <v/>
      </c>
      <c r="K223">
        <f>IF($Y223="","",INDEX('Per Line'!$Q$2:$Q$1001,$Y223))</f>
        <v/>
      </c>
      <c r="L223" s="7">
        <f>IF($Y223="","",K223*W223/100)</f>
        <v/>
      </c>
      <c r="M223">
        <f>IF($Y223="","",INDEX('Per Line'!$AD$2:$AD$1001,$Y223)&amp;"")</f>
        <v/>
      </c>
      <c r="N223" s="7">
        <f>IF($Y223="","",SUMIFS('Per Line'!$Z$2:$Z$1001,'Per Line'!$E$2:$E$1001,$B223,'Per Line'!$AR$2:$AR$1001,1))</f>
        <v/>
      </c>
      <c r="O223">
        <f>IF($Y223="","",Settings!$C$7)</f>
        <v/>
      </c>
      <c r="P223" s="7">
        <f>IF($Y223="","",SUMIFS('Per Line'!$Z$2:$Z$1001,'Per Line'!$E$2:$E$1001,$B223,'Per Line'!$AQ$2:$AQ$1001,0,'Per Line'!$AR$2:$AR$1001,0))</f>
        <v/>
      </c>
      <c r="Q223" s="7">
        <f>IF($Y223="","",P223*O223)</f>
        <v/>
      </c>
      <c r="R223">
        <f>IF($Y223="","",Settings!$C$6)</f>
        <v/>
      </c>
      <c r="S223" s="7">
        <f>IF($Y223="","",SUMIFS('Per Line'!$Z$2:$Z$1001,'Per Line'!$E$2:$E$1001,$B223,'Per Line'!$AQ$2:$AQ$1001,1,'Per Line'!$AR$2:$AR$1001,0))</f>
        <v/>
      </c>
      <c r="T223" s="7">
        <f>IF($Y223="","",S223*R223)</f>
        <v/>
      </c>
      <c r="U223" s="7">
        <f>IF($Y223="","",T223+Q223)</f>
        <v/>
      </c>
      <c r="V223" s="7">
        <f>IF($Y223="","",W223-U223)</f>
        <v/>
      </c>
      <c r="W223" s="7">
        <f>IF($Y223="","",P223+S223+N223)</f>
        <v/>
      </c>
      <c r="X223" s="7">
        <f>IF($Y223="","",W223-U223-L223)</f>
        <v/>
      </c>
      <c r="Y223" s="13">
        <f>IF(ROWS($Y$2:$Y223)&lt;=MAX('Per Line'!$AP$2:$AP$1001),MATCH(ROWS($Y$2:$Y223),'Per Line'!$AP$2:$AP$1001,0),"")</f>
        <v/>
      </c>
    </row>
    <row r="224">
      <c r="A224" s="12" t="n"/>
      <c r="B224">
        <f>IF($Y224="","",INDEX('Per Line'!$E$2:$E$1001,$Y224)&amp;"")</f>
        <v/>
      </c>
      <c r="C224">
        <f>IF($Y224="","",INDEX('Per Line'!$F$2:$F$1001,$Y224)&amp;"")</f>
        <v/>
      </c>
      <c r="D224">
        <f>IF($Y224="","",INDEX('Per Line'!$A$2:$A$1001,$Y224)&amp;"")</f>
        <v/>
      </c>
      <c r="E224">
        <f>IF($Y224="","",INDEX('Per Line'!$B$2:$B$1001,$Y224))</f>
        <v/>
      </c>
      <c r="F224">
        <f>IF($Y224="","",INDEX('Per Line'!$G$2:$G$1001,$Y224)&amp;"")</f>
        <v/>
      </c>
      <c r="G224" s="11">
        <f>IF($Y224="","",INDEX('Per Line'!$H$2:$H$1001,$Y224))</f>
        <v/>
      </c>
      <c r="H224">
        <f>IF($Y224="","",INDEX('Per Line'!$K$2:$K$1001,$Y224)&amp;"")</f>
        <v/>
      </c>
      <c r="I224">
        <f>IF($Y224="","",INDEX('Per Line'!$L$2:$L$1001,$Y224)&amp;"")</f>
        <v/>
      </c>
      <c r="J224">
        <f>IF($Y224="","",INDEX('Per Line'!$M$2:$M$1001,$Y224)&amp;"")</f>
        <v/>
      </c>
      <c r="K224">
        <f>IF($Y224="","",INDEX('Per Line'!$Q$2:$Q$1001,$Y224))</f>
        <v/>
      </c>
      <c r="L224" s="7">
        <f>IF($Y224="","",K224*W224/100)</f>
        <v/>
      </c>
      <c r="M224">
        <f>IF($Y224="","",INDEX('Per Line'!$AD$2:$AD$1001,$Y224)&amp;"")</f>
        <v/>
      </c>
      <c r="N224" s="7">
        <f>IF($Y224="","",SUMIFS('Per Line'!$Z$2:$Z$1001,'Per Line'!$E$2:$E$1001,$B224,'Per Line'!$AR$2:$AR$1001,1))</f>
        <v/>
      </c>
      <c r="O224">
        <f>IF($Y224="","",Settings!$C$7)</f>
        <v/>
      </c>
      <c r="P224" s="7">
        <f>IF($Y224="","",SUMIFS('Per Line'!$Z$2:$Z$1001,'Per Line'!$E$2:$E$1001,$B224,'Per Line'!$AQ$2:$AQ$1001,0,'Per Line'!$AR$2:$AR$1001,0))</f>
        <v/>
      </c>
      <c r="Q224" s="7">
        <f>IF($Y224="","",P224*O224)</f>
        <v/>
      </c>
      <c r="R224">
        <f>IF($Y224="","",Settings!$C$6)</f>
        <v/>
      </c>
      <c r="S224" s="7">
        <f>IF($Y224="","",SUMIFS('Per Line'!$Z$2:$Z$1001,'Per Line'!$E$2:$E$1001,$B224,'Per Line'!$AQ$2:$AQ$1001,1,'Per Line'!$AR$2:$AR$1001,0))</f>
        <v/>
      </c>
      <c r="T224" s="7">
        <f>IF($Y224="","",S224*R224)</f>
        <v/>
      </c>
      <c r="U224" s="7">
        <f>IF($Y224="","",T224+Q224)</f>
        <v/>
      </c>
      <c r="V224" s="7">
        <f>IF($Y224="","",W224-U224)</f>
        <v/>
      </c>
      <c r="W224" s="7">
        <f>IF($Y224="","",P224+S224+N224)</f>
        <v/>
      </c>
      <c r="X224" s="7">
        <f>IF($Y224="","",W224-U224-L224)</f>
        <v/>
      </c>
      <c r="Y224" s="13">
        <f>IF(ROWS($Y$2:$Y224)&lt;=MAX('Per Line'!$AP$2:$AP$1001),MATCH(ROWS($Y$2:$Y224),'Per Line'!$AP$2:$AP$1001,0),"")</f>
        <v/>
      </c>
    </row>
    <row r="225">
      <c r="A225" s="12" t="n"/>
      <c r="B225">
        <f>IF($Y225="","",INDEX('Per Line'!$E$2:$E$1001,$Y225)&amp;"")</f>
        <v/>
      </c>
      <c r="C225">
        <f>IF($Y225="","",INDEX('Per Line'!$F$2:$F$1001,$Y225)&amp;"")</f>
        <v/>
      </c>
      <c r="D225">
        <f>IF($Y225="","",INDEX('Per Line'!$A$2:$A$1001,$Y225)&amp;"")</f>
        <v/>
      </c>
      <c r="E225">
        <f>IF($Y225="","",INDEX('Per Line'!$B$2:$B$1001,$Y225))</f>
        <v/>
      </c>
      <c r="F225">
        <f>IF($Y225="","",INDEX('Per Line'!$G$2:$G$1001,$Y225)&amp;"")</f>
        <v/>
      </c>
      <c r="G225" s="11">
        <f>IF($Y225="","",INDEX('Per Line'!$H$2:$H$1001,$Y225))</f>
        <v/>
      </c>
      <c r="H225">
        <f>IF($Y225="","",INDEX('Per Line'!$K$2:$K$1001,$Y225)&amp;"")</f>
        <v/>
      </c>
      <c r="I225">
        <f>IF($Y225="","",INDEX('Per Line'!$L$2:$L$1001,$Y225)&amp;"")</f>
        <v/>
      </c>
      <c r="J225">
        <f>IF($Y225="","",INDEX('Per Line'!$M$2:$M$1001,$Y225)&amp;"")</f>
        <v/>
      </c>
      <c r="K225">
        <f>IF($Y225="","",INDEX('Per Line'!$Q$2:$Q$1001,$Y225))</f>
        <v/>
      </c>
      <c r="L225" s="7">
        <f>IF($Y225="","",K225*W225/100)</f>
        <v/>
      </c>
      <c r="M225">
        <f>IF($Y225="","",INDEX('Per Line'!$AD$2:$AD$1001,$Y225)&amp;"")</f>
        <v/>
      </c>
      <c r="N225" s="7">
        <f>IF($Y225="","",SUMIFS('Per Line'!$Z$2:$Z$1001,'Per Line'!$E$2:$E$1001,$B225,'Per Line'!$AR$2:$AR$1001,1))</f>
        <v/>
      </c>
      <c r="O225">
        <f>IF($Y225="","",Settings!$C$7)</f>
        <v/>
      </c>
      <c r="P225" s="7">
        <f>IF($Y225="","",SUMIFS('Per Line'!$Z$2:$Z$1001,'Per Line'!$E$2:$E$1001,$B225,'Per Line'!$AQ$2:$AQ$1001,0,'Per Line'!$AR$2:$AR$1001,0))</f>
        <v/>
      </c>
      <c r="Q225" s="7">
        <f>IF($Y225="","",P225*O225)</f>
        <v/>
      </c>
      <c r="R225">
        <f>IF($Y225="","",Settings!$C$6)</f>
        <v/>
      </c>
      <c r="S225" s="7">
        <f>IF($Y225="","",SUMIFS('Per Line'!$Z$2:$Z$1001,'Per Line'!$E$2:$E$1001,$B225,'Per Line'!$AQ$2:$AQ$1001,1,'Per Line'!$AR$2:$AR$1001,0))</f>
        <v/>
      </c>
      <c r="T225" s="7">
        <f>IF($Y225="","",S225*R225)</f>
        <v/>
      </c>
      <c r="U225" s="7">
        <f>IF($Y225="","",T225+Q225)</f>
        <v/>
      </c>
      <c r="V225" s="7">
        <f>IF($Y225="","",W225-U225)</f>
        <v/>
      </c>
      <c r="W225" s="7">
        <f>IF($Y225="","",P225+S225+N225)</f>
        <v/>
      </c>
      <c r="X225" s="7">
        <f>IF($Y225="","",W225-U225-L225)</f>
        <v/>
      </c>
      <c r="Y225" s="13">
        <f>IF(ROWS($Y$2:$Y225)&lt;=MAX('Per Line'!$AP$2:$AP$1001),MATCH(ROWS($Y$2:$Y225),'Per Line'!$AP$2:$AP$1001,0),"")</f>
        <v/>
      </c>
    </row>
    <row r="226">
      <c r="A226" s="12" t="n"/>
      <c r="B226">
        <f>IF($Y226="","",INDEX('Per Line'!$E$2:$E$1001,$Y226)&amp;"")</f>
        <v/>
      </c>
      <c r="C226">
        <f>IF($Y226="","",INDEX('Per Line'!$F$2:$F$1001,$Y226)&amp;"")</f>
        <v/>
      </c>
      <c r="D226">
        <f>IF($Y226="","",INDEX('Per Line'!$A$2:$A$1001,$Y226)&amp;"")</f>
        <v/>
      </c>
      <c r="E226">
        <f>IF($Y226="","",INDEX('Per Line'!$B$2:$B$1001,$Y226))</f>
        <v/>
      </c>
      <c r="F226">
        <f>IF($Y226="","",INDEX('Per Line'!$G$2:$G$1001,$Y226)&amp;"")</f>
        <v/>
      </c>
      <c r="G226" s="11">
        <f>IF($Y226="","",INDEX('Per Line'!$H$2:$H$1001,$Y226))</f>
        <v/>
      </c>
      <c r="H226">
        <f>IF($Y226="","",INDEX('Per Line'!$K$2:$K$1001,$Y226)&amp;"")</f>
        <v/>
      </c>
      <c r="I226">
        <f>IF($Y226="","",INDEX('Per Line'!$L$2:$L$1001,$Y226)&amp;"")</f>
        <v/>
      </c>
      <c r="J226">
        <f>IF($Y226="","",INDEX('Per Line'!$M$2:$M$1001,$Y226)&amp;"")</f>
        <v/>
      </c>
      <c r="K226">
        <f>IF($Y226="","",INDEX('Per Line'!$Q$2:$Q$1001,$Y226))</f>
        <v/>
      </c>
      <c r="L226" s="7">
        <f>IF($Y226="","",K226*W226/100)</f>
        <v/>
      </c>
      <c r="M226">
        <f>IF($Y226="","",INDEX('Per Line'!$AD$2:$AD$1001,$Y226)&amp;"")</f>
        <v/>
      </c>
      <c r="N226" s="7">
        <f>IF($Y226="","",SUMIFS('Per Line'!$Z$2:$Z$1001,'Per Line'!$E$2:$E$1001,$B226,'Per Line'!$AR$2:$AR$1001,1))</f>
        <v/>
      </c>
      <c r="O226">
        <f>IF($Y226="","",Settings!$C$7)</f>
        <v/>
      </c>
      <c r="P226" s="7">
        <f>IF($Y226="","",SUMIFS('Per Line'!$Z$2:$Z$1001,'Per Line'!$E$2:$E$1001,$B226,'Per Line'!$AQ$2:$AQ$1001,0,'Per Line'!$AR$2:$AR$1001,0))</f>
        <v/>
      </c>
      <c r="Q226" s="7">
        <f>IF($Y226="","",P226*O226)</f>
        <v/>
      </c>
      <c r="R226">
        <f>IF($Y226="","",Settings!$C$6)</f>
        <v/>
      </c>
      <c r="S226" s="7">
        <f>IF($Y226="","",SUMIFS('Per Line'!$Z$2:$Z$1001,'Per Line'!$E$2:$E$1001,$B226,'Per Line'!$AQ$2:$AQ$1001,1,'Per Line'!$AR$2:$AR$1001,0))</f>
        <v/>
      </c>
      <c r="T226" s="7">
        <f>IF($Y226="","",S226*R226)</f>
        <v/>
      </c>
      <c r="U226" s="7">
        <f>IF($Y226="","",T226+Q226)</f>
        <v/>
      </c>
      <c r="V226" s="7">
        <f>IF($Y226="","",W226-U226)</f>
        <v/>
      </c>
      <c r="W226" s="7">
        <f>IF($Y226="","",P226+S226+N226)</f>
        <v/>
      </c>
      <c r="X226" s="7">
        <f>IF($Y226="","",W226-U226-L226)</f>
        <v/>
      </c>
      <c r="Y226" s="13">
        <f>IF(ROWS($Y$2:$Y226)&lt;=MAX('Per Line'!$AP$2:$AP$1001),MATCH(ROWS($Y$2:$Y226),'Per Line'!$AP$2:$AP$1001,0),"")</f>
        <v/>
      </c>
    </row>
    <row r="227">
      <c r="A227" s="12" t="n"/>
      <c r="B227">
        <f>IF($Y227="","",INDEX('Per Line'!$E$2:$E$1001,$Y227)&amp;"")</f>
        <v/>
      </c>
      <c r="C227">
        <f>IF($Y227="","",INDEX('Per Line'!$F$2:$F$1001,$Y227)&amp;"")</f>
        <v/>
      </c>
      <c r="D227">
        <f>IF($Y227="","",INDEX('Per Line'!$A$2:$A$1001,$Y227)&amp;"")</f>
        <v/>
      </c>
      <c r="E227">
        <f>IF($Y227="","",INDEX('Per Line'!$B$2:$B$1001,$Y227))</f>
        <v/>
      </c>
      <c r="F227">
        <f>IF($Y227="","",INDEX('Per Line'!$G$2:$G$1001,$Y227)&amp;"")</f>
        <v/>
      </c>
      <c r="G227" s="11">
        <f>IF($Y227="","",INDEX('Per Line'!$H$2:$H$1001,$Y227))</f>
        <v/>
      </c>
      <c r="H227">
        <f>IF($Y227="","",INDEX('Per Line'!$K$2:$K$1001,$Y227)&amp;"")</f>
        <v/>
      </c>
      <c r="I227">
        <f>IF($Y227="","",INDEX('Per Line'!$L$2:$L$1001,$Y227)&amp;"")</f>
        <v/>
      </c>
      <c r="J227">
        <f>IF($Y227="","",INDEX('Per Line'!$M$2:$M$1001,$Y227)&amp;"")</f>
        <v/>
      </c>
      <c r="K227">
        <f>IF($Y227="","",INDEX('Per Line'!$Q$2:$Q$1001,$Y227))</f>
        <v/>
      </c>
      <c r="L227" s="7">
        <f>IF($Y227="","",K227*W227/100)</f>
        <v/>
      </c>
      <c r="M227">
        <f>IF($Y227="","",INDEX('Per Line'!$AD$2:$AD$1001,$Y227)&amp;"")</f>
        <v/>
      </c>
      <c r="N227" s="7">
        <f>IF($Y227="","",SUMIFS('Per Line'!$Z$2:$Z$1001,'Per Line'!$E$2:$E$1001,$B227,'Per Line'!$AR$2:$AR$1001,1))</f>
        <v/>
      </c>
      <c r="O227">
        <f>IF($Y227="","",Settings!$C$7)</f>
        <v/>
      </c>
      <c r="P227" s="7">
        <f>IF($Y227="","",SUMIFS('Per Line'!$Z$2:$Z$1001,'Per Line'!$E$2:$E$1001,$B227,'Per Line'!$AQ$2:$AQ$1001,0,'Per Line'!$AR$2:$AR$1001,0))</f>
        <v/>
      </c>
      <c r="Q227" s="7">
        <f>IF($Y227="","",P227*O227)</f>
        <v/>
      </c>
      <c r="R227">
        <f>IF($Y227="","",Settings!$C$6)</f>
        <v/>
      </c>
      <c r="S227" s="7">
        <f>IF($Y227="","",SUMIFS('Per Line'!$Z$2:$Z$1001,'Per Line'!$E$2:$E$1001,$B227,'Per Line'!$AQ$2:$AQ$1001,1,'Per Line'!$AR$2:$AR$1001,0))</f>
        <v/>
      </c>
      <c r="T227" s="7">
        <f>IF($Y227="","",S227*R227)</f>
        <v/>
      </c>
      <c r="U227" s="7">
        <f>IF($Y227="","",T227+Q227)</f>
        <v/>
      </c>
      <c r="V227" s="7">
        <f>IF($Y227="","",W227-U227)</f>
        <v/>
      </c>
      <c r="W227" s="7">
        <f>IF($Y227="","",P227+S227+N227)</f>
        <v/>
      </c>
      <c r="X227" s="7">
        <f>IF($Y227="","",W227-U227-L227)</f>
        <v/>
      </c>
      <c r="Y227" s="13">
        <f>IF(ROWS($Y$2:$Y227)&lt;=MAX('Per Line'!$AP$2:$AP$1001),MATCH(ROWS($Y$2:$Y227),'Per Line'!$AP$2:$AP$1001,0),"")</f>
        <v/>
      </c>
    </row>
    <row r="228">
      <c r="A228" s="12" t="n"/>
      <c r="B228">
        <f>IF($Y228="","",INDEX('Per Line'!$E$2:$E$1001,$Y228)&amp;"")</f>
        <v/>
      </c>
      <c r="C228">
        <f>IF($Y228="","",INDEX('Per Line'!$F$2:$F$1001,$Y228)&amp;"")</f>
        <v/>
      </c>
      <c r="D228">
        <f>IF($Y228="","",INDEX('Per Line'!$A$2:$A$1001,$Y228)&amp;"")</f>
        <v/>
      </c>
      <c r="E228">
        <f>IF($Y228="","",INDEX('Per Line'!$B$2:$B$1001,$Y228))</f>
        <v/>
      </c>
      <c r="F228">
        <f>IF($Y228="","",INDEX('Per Line'!$G$2:$G$1001,$Y228)&amp;"")</f>
        <v/>
      </c>
      <c r="G228" s="11">
        <f>IF($Y228="","",INDEX('Per Line'!$H$2:$H$1001,$Y228))</f>
        <v/>
      </c>
      <c r="H228">
        <f>IF($Y228="","",INDEX('Per Line'!$K$2:$K$1001,$Y228)&amp;"")</f>
        <v/>
      </c>
      <c r="I228">
        <f>IF($Y228="","",INDEX('Per Line'!$L$2:$L$1001,$Y228)&amp;"")</f>
        <v/>
      </c>
      <c r="J228">
        <f>IF($Y228="","",INDEX('Per Line'!$M$2:$M$1001,$Y228)&amp;"")</f>
        <v/>
      </c>
      <c r="K228">
        <f>IF($Y228="","",INDEX('Per Line'!$Q$2:$Q$1001,$Y228))</f>
        <v/>
      </c>
      <c r="L228" s="7">
        <f>IF($Y228="","",K228*W228/100)</f>
        <v/>
      </c>
      <c r="M228">
        <f>IF($Y228="","",INDEX('Per Line'!$AD$2:$AD$1001,$Y228)&amp;"")</f>
        <v/>
      </c>
      <c r="N228" s="7">
        <f>IF($Y228="","",SUMIFS('Per Line'!$Z$2:$Z$1001,'Per Line'!$E$2:$E$1001,$B228,'Per Line'!$AR$2:$AR$1001,1))</f>
        <v/>
      </c>
      <c r="O228">
        <f>IF($Y228="","",Settings!$C$7)</f>
        <v/>
      </c>
      <c r="P228" s="7">
        <f>IF($Y228="","",SUMIFS('Per Line'!$Z$2:$Z$1001,'Per Line'!$E$2:$E$1001,$B228,'Per Line'!$AQ$2:$AQ$1001,0,'Per Line'!$AR$2:$AR$1001,0))</f>
        <v/>
      </c>
      <c r="Q228" s="7">
        <f>IF($Y228="","",P228*O228)</f>
        <v/>
      </c>
      <c r="R228">
        <f>IF($Y228="","",Settings!$C$6)</f>
        <v/>
      </c>
      <c r="S228" s="7">
        <f>IF($Y228="","",SUMIFS('Per Line'!$Z$2:$Z$1001,'Per Line'!$E$2:$E$1001,$B228,'Per Line'!$AQ$2:$AQ$1001,1,'Per Line'!$AR$2:$AR$1001,0))</f>
        <v/>
      </c>
      <c r="T228" s="7">
        <f>IF($Y228="","",S228*R228)</f>
        <v/>
      </c>
      <c r="U228" s="7">
        <f>IF($Y228="","",T228+Q228)</f>
        <v/>
      </c>
      <c r="V228" s="7">
        <f>IF($Y228="","",W228-U228)</f>
        <v/>
      </c>
      <c r="W228" s="7">
        <f>IF($Y228="","",P228+S228+N228)</f>
        <v/>
      </c>
      <c r="X228" s="7">
        <f>IF($Y228="","",W228-U228-L228)</f>
        <v/>
      </c>
      <c r="Y228" s="13">
        <f>IF(ROWS($Y$2:$Y228)&lt;=MAX('Per Line'!$AP$2:$AP$1001),MATCH(ROWS($Y$2:$Y228),'Per Line'!$AP$2:$AP$1001,0),"")</f>
        <v/>
      </c>
    </row>
    <row r="229">
      <c r="A229" s="12" t="n"/>
      <c r="B229">
        <f>IF($Y229="","",INDEX('Per Line'!$E$2:$E$1001,$Y229)&amp;"")</f>
        <v/>
      </c>
      <c r="C229">
        <f>IF($Y229="","",INDEX('Per Line'!$F$2:$F$1001,$Y229)&amp;"")</f>
        <v/>
      </c>
      <c r="D229">
        <f>IF($Y229="","",INDEX('Per Line'!$A$2:$A$1001,$Y229)&amp;"")</f>
        <v/>
      </c>
      <c r="E229">
        <f>IF($Y229="","",INDEX('Per Line'!$B$2:$B$1001,$Y229))</f>
        <v/>
      </c>
      <c r="F229">
        <f>IF($Y229="","",INDEX('Per Line'!$G$2:$G$1001,$Y229)&amp;"")</f>
        <v/>
      </c>
      <c r="G229" s="11">
        <f>IF($Y229="","",INDEX('Per Line'!$H$2:$H$1001,$Y229))</f>
        <v/>
      </c>
      <c r="H229">
        <f>IF($Y229="","",INDEX('Per Line'!$K$2:$K$1001,$Y229)&amp;"")</f>
        <v/>
      </c>
      <c r="I229">
        <f>IF($Y229="","",INDEX('Per Line'!$L$2:$L$1001,$Y229)&amp;"")</f>
        <v/>
      </c>
      <c r="J229">
        <f>IF($Y229="","",INDEX('Per Line'!$M$2:$M$1001,$Y229)&amp;"")</f>
        <v/>
      </c>
      <c r="K229">
        <f>IF($Y229="","",INDEX('Per Line'!$Q$2:$Q$1001,$Y229))</f>
        <v/>
      </c>
      <c r="L229" s="7">
        <f>IF($Y229="","",K229*W229/100)</f>
        <v/>
      </c>
      <c r="M229">
        <f>IF($Y229="","",INDEX('Per Line'!$AD$2:$AD$1001,$Y229)&amp;"")</f>
        <v/>
      </c>
      <c r="N229" s="7">
        <f>IF($Y229="","",SUMIFS('Per Line'!$Z$2:$Z$1001,'Per Line'!$E$2:$E$1001,$B229,'Per Line'!$AR$2:$AR$1001,1))</f>
        <v/>
      </c>
      <c r="O229">
        <f>IF($Y229="","",Settings!$C$7)</f>
        <v/>
      </c>
      <c r="P229" s="7">
        <f>IF($Y229="","",SUMIFS('Per Line'!$Z$2:$Z$1001,'Per Line'!$E$2:$E$1001,$B229,'Per Line'!$AQ$2:$AQ$1001,0,'Per Line'!$AR$2:$AR$1001,0))</f>
        <v/>
      </c>
      <c r="Q229" s="7">
        <f>IF($Y229="","",P229*O229)</f>
        <v/>
      </c>
      <c r="R229">
        <f>IF($Y229="","",Settings!$C$6)</f>
        <v/>
      </c>
      <c r="S229" s="7">
        <f>IF($Y229="","",SUMIFS('Per Line'!$Z$2:$Z$1001,'Per Line'!$E$2:$E$1001,$B229,'Per Line'!$AQ$2:$AQ$1001,1,'Per Line'!$AR$2:$AR$1001,0))</f>
        <v/>
      </c>
      <c r="T229" s="7">
        <f>IF($Y229="","",S229*R229)</f>
        <v/>
      </c>
      <c r="U229" s="7">
        <f>IF($Y229="","",T229+Q229)</f>
        <v/>
      </c>
      <c r="V229" s="7">
        <f>IF($Y229="","",W229-U229)</f>
        <v/>
      </c>
      <c r="W229" s="7">
        <f>IF($Y229="","",P229+S229+N229)</f>
        <v/>
      </c>
      <c r="X229" s="7">
        <f>IF($Y229="","",W229-U229-L229)</f>
        <v/>
      </c>
      <c r="Y229" s="13">
        <f>IF(ROWS($Y$2:$Y229)&lt;=MAX('Per Line'!$AP$2:$AP$1001),MATCH(ROWS($Y$2:$Y229),'Per Line'!$AP$2:$AP$1001,0),"")</f>
        <v/>
      </c>
    </row>
    <row r="230">
      <c r="A230" s="12" t="n"/>
      <c r="B230">
        <f>IF($Y230="","",INDEX('Per Line'!$E$2:$E$1001,$Y230)&amp;"")</f>
        <v/>
      </c>
      <c r="C230">
        <f>IF($Y230="","",INDEX('Per Line'!$F$2:$F$1001,$Y230)&amp;"")</f>
        <v/>
      </c>
      <c r="D230">
        <f>IF($Y230="","",INDEX('Per Line'!$A$2:$A$1001,$Y230)&amp;"")</f>
        <v/>
      </c>
      <c r="E230">
        <f>IF($Y230="","",INDEX('Per Line'!$B$2:$B$1001,$Y230))</f>
        <v/>
      </c>
      <c r="F230">
        <f>IF($Y230="","",INDEX('Per Line'!$G$2:$G$1001,$Y230)&amp;"")</f>
        <v/>
      </c>
      <c r="G230" s="11">
        <f>IF($Y230="","",INDEX('Per Line'!$H$2:$H$1001,$Y230))</f>
        <v/>
      </c>
      <c r="H230">
        <f>IF($Y230="","",INDEX('Per Line'!$K$2:$K$1001,$Y230)&amp;"")</f>
        <v/>
      </c>
      <c r="I230">
        <f>IF($Y230="","",INDEX('Per Line'!$L$2:$L$1001,$Y230)&amp;"")</f>
        <v/>
      </c>
      <c r="J230">
        <f>IF($Y230="","",INDEX('Per Line'!$M$2:$M$1001,$Y230)&amp;"")</f>
        <v/>
      </c>
      <c r="K230">
        <f>IF($Y230="","",INDEX('Per Line'!$Q$2:$Q$1001,$Y230))</f>
        <v/>
      </c>
      <c r="L230" s="7">
        <f>IF($Y230="","",K230*W230/100)</f>
        <v/>
      </c>
      <c r="M230">
        <f>IF($Y230="","",INDEX('Per Line'!$AD$2:$AD$1001,$Y230)&amp;"")</f>
        <v/>
      </c>
      <c r="N230" s="7">
        <f>IF($Y230="","",SUMIFS('Per Line'!$Z$2:$Z$1001,'Per Line'!$E$2:$E$1001,$B230,'Per Line'!$AR$2:$AR$1001,1))</f>
        <v/>
      </c>
      <c r="O230">
        <f>IF($Y230="","",Settings!$C$7)</f>
        <v/>
      </c>
      <c r="P230" s="7">
        <f>IF($Y230="","",SUMIFS('Per Line'!$Z$2:$Z$1001,'Per Line'!$E$2:$E$1001,$B230,'Per Line'!$AQ$2:$AQ$1001,0,'Per Line'!$AR$2:$AR$1001,0))</f>
        <v/>
      </c>
      <c r="Q230" s="7">
        <f>IF($Y230="","",P230*O230)</f>
        <v/>
      </c>
      <c r="R230">
        <f>IF($Y230="","",Settings!$C$6)</f>
        <v/>
      </c>
      <c r="S230" s="7">
        <f>IF($Y230="","",SUMIFS('Per Line'!$Z$2:$Z$1001,'Per Line'!$E$2:$E$1001,$B230,'Per Line'!$AQ$2:$AQ$1001,1,'Per Line'!$AR$2:$AR$1001,0))</f>
        <v/>
      </c>
      <c r="T230" s="7">
        <f>IF($Y230="","",S230*R230)</f>
        <v/>
      </c>
      <c r="U230" s="7">
        <f>IF($Y230="","",T230+Q230)</f>
        <v/>
      </c>
      <c r="V230" s="7">
        <f>IF($Y230="","",W230-U230)</f>
        <v/>
      </c>
      <c r="W230" s="7">
        <f>IF($Y230="","",P230+S230+N230)</f>
        <v/>
      </c>
      <c r="X230" s="7">
        <f>IF($Y230="","",W230-U230-L230)</f>
        <v/>
      </c>
      <c r="Y230" s="13">
        <f>IF(ROWS($Y$2:$Y230)&lt;=MAX('Per Line'!$AP$2:$AP$1001),MATCH(ROWS($Y$2:$Y230),'Per Line'!$AP$2:$AP$1001,0),"")</f>
        <v/>
      </c>
    </row>
    <row r="231">
      <c r="A231" s="12" t="n"/>
      <c r="B231">
        <f>IF($Y231="","",INDEX('Per Line'!$E$2:$E$1001,$Y231)&amp;"")</f>
        <v/>
      </c>
      <c r="C231">
        <f>IF($Y231="","",INDEX('Per Line'!$F$2:$F$1001,$Y231)&amp;"")</f>
        <v/>
      </c>
      <c r="D231">
        <f>IF($Y231="","",INDEX('Per Line'!$A$2:$A$1001,$Y231)&amp;"")</f>
        <v/>
      </c>
      <c r="E231">
        <f>IF($Y231="","",INDEX('Per Line'!$B$2:$B$1001,$Y231))</f>
        <v/>
      </c>
      <c r="F231">
        <f>IF($Y231="","",INDEX('Per Line'!$G$2:$G$1001,$Y231)&amp;"")</f>
        <v/>
      </c>
      <c r="G231" s="11">
        <f>IF($Y231="","",INDEX('Per Line'!$H$2:$H$1001,$Y231))</f>
        <v/>
      </c>
      <c r="H231">
        <f>IF($Y231="","",INDEX('Per Line'!$K$2:$K$1001,$Y231)&amp;"")</f>
        <v/>
      </c>
      <c r="I231">
        <f>IF($Y231="","",INDEX('Per Line'!$L$2:$L$1001,$Y231)&amp;"")</f>
        <v/>
      </c>
      <c r="J231">
        <f>IF($Y231="","",INDEX('Per Line'!$M$2:$M$1001,$Y231)&amp;"")</f>
        <v/>
      </c>
      <c r="K231">
        <f>IF($Y231="","",INDEX('Per Line'!$Q$2:$Q$1001,$Y231))</f>
        <v/>
      </c>
      <c r="L231" s="7">
        <f>IF($Y231="","",K231*W231/100)</f>
        <v/>
      </c>
      <c r="M231">
        <f>IF($Y231="","",INDEX('Per Line'!$AD$2:$AD$1001,$Y231)&amp;"")</f>
        <v/>
      </c>
      <c r="N231" s="7">
        <f>IF($Y231="","",SUMIFS('Per Line'!$Z$2:$Z$1001,'Per Line'!$E$2:$E$1001,$B231,'Per Line'!$AR$2:$AR$1001,1))</f>
        <v/>
      </c>
      <c r="O231">
        <f>IF($Y231="","",Settings!$C$7)</f>
        <v/>
      </c>
      <c r="P231" s="7">
        <f>IF($Y231="","",SUMIFS('Per Line'!$Z$2:$Z$1001,'Per Line'!$E$2:$E$1001,$B231,'Per Line'!$AQ$2:$AQ$1001,0,'Per Line'!$AR$2:$AR$1001,0))</f>
        <v/>
      </c>
      <c r="Q231" s="7">
        <f>IF($Y231="","",P231*O231)</f>
        <v/>
      </c>
      <c r="R231">
        <f>IF($Y231="","",Settings!$C$6)</f>
        <v/>
      </c>
      <c r="S231" s="7">
        <f>IF($Y231="","",SUMIFS('Per Line'!$Z$2:$Z$1001,'Per Line'!$E$2:$E$1001,$B231,'Per Line'!$AQ$2:$AQ$1001,1,'Per Line'!$AR$2:$AR$1001,0))</f>
        <v/>
      </c>
      <c r="T231" s="7">
        <f>IF($Y231="","",S231*R231)</f>
        <v/>
      </c>
      <c r="U231" s="7">
        <f>IF($Y231="","",T231+Q231)</f>
        <v/>
      </c>
      <c r="V231" s="7">
        <f>IF($Y231="","",W231-U231)</f>
        <v/>
      </c>
      <c r="W231" s="7">
        <f>IF($Y231="","",P231+S231+N231)</f>
        <v/>
      </c>
      <c r="X231" s="7">
        <f>IF($Y231="","",W231-U231-L231)</f>
        <v/>
      </c>
      <c r="Y231" s="13">
        <f>IF(ROWS($Y$2:$Y231)&lt;=MAX('Per Line'!$AP$2:$AP$1001),MATCH(ROWS($Y$2:$Y231),'Per Line'!$AP$2:$AP$1001,0),"")</f>
        <v/>
      </c>
    </row>
    <row r="232">
      <c r="A232" s="12" t="n"/>
      <c r="B232">
        <f>IF($Y232="","",INDEX('Per Line'!$E$2:$E$1001,$Y232)&amp;"")</f>
        <v/>
      </c>
      <c r="C232">
        <f>IF($Y232="","",INDEX('Per Line'!$F$2:$F$1001,$Y232)&amp;"")</f>
        <v/>
      </c>
      <c r="D232">
        <f>IF($Y232="","",INDEX('Per Line'!$A$2:$A$1001,$Y232)&amp;"")</f>
        <v/>
      </c>
      <c r="E232">
        <f>IF($Y232="","",INDEX('Per Line'!$B$2:$B$1001,$Y232))</f>
        <v/>
      </c>
      <c r="F232">
        <f>IF($Y232="","",INDEX('Per Line'!$G$2:$G$1001,$Y232)&amp;"")</f>
        <v/>
      </c>
      <c r="G232" s="11">
        <f>IF($Y232="","",INDEX('Per Line'!$H$2:$H$1001,$Y232))</f>
        <v/>
      </c>
      <c r="H232">
        <f>IF($Y232="","",INDEX('Per Line'!$K$2:$K$1001,$Y232)&amp;"")</f>
        <v/>
      </c>
      <c r="I232">
        <f>IF($Y232="","",INDEX('Per Line'!$L$2:$L$1001,$Y232)&amp;"")</f>
        <v/>
      </c>
      <c r="J232">
        <f>IF($Y232="","",INDEX('Per Line'!$M$2:$M$1001,$Y232)&amp;"")</f>
        <v/>
      </c>
      <c r="K232">
        <f>IF($Y232="","",INDEX('Per Line'!$Q$2:$Q$1001,$Y232))</f>
        <v/>
      </c>
      <c r="L232" s="7">
        <f>IF($Y232="","",K232*W232/100)</f>
        <v/>
      </c>
      <c r="M232">
        <f>IF($Y232="","",INDEX('Per Line'!$AD$2:$AD$1001,$Y232)&amp;"")</f>
        <v/>
      </c>
      <c r="N232" s="7">
        <f>IF($Y232="","",SUMIFS('Per Line'!$Z$2:$Z$1001,'Per Line'!$E$2:$E$1001,$B232,'Per Line'!$AR$2:$AR$1001,1))</f>
        <v/>
      </c>
      <c r="O232">
        <f>IF($Y232="","",Settings!$C$7)</f>
        <v/>
      </c>
      <c r="P232" s="7">
        <f>IF($Y232="","",SUMIFS('Per Line'!$Z$2:$Z$1001,'Per Line'!$E$2:$E$1001,$B232,'Per Line'!$AQ$2:$AQ$1001,0,'Per Line'!$AR$2:$AR$1001,0))</f>
        <v/>
      </c>
      <c r="Q232" s="7">
        <f>IF($Y232="","",P232*O232)</f>
        <v/>
      </c>
      <c r="R232">
        <f>IF($Y232="","",Settings!$C$6)</f>
        <v/>
      </c>
      <c r="S232" s="7">
        <f>IF($Y232="","",SUMIFS('Per Line'!$Z$2:$Z$1001,'Per Line'!$E$2:$E$1001,$B232,'Per Line'!$AQ$2:$AQ$1001,1,'Per Line'!$AR$2:$AR$1001,0))</f>
        <v/>
      </c>
      <c r="T232" s="7">
        <f>IF($Y232="","",S232*R232)</f>
        <v/>
      </c>
      <c r="U232" s="7">
        <f>IF($Y232="","",T232+Q232)</f>
        <v/>
      </c>
      <c r="V232" s="7">
        <f>IF($Y232="","",W232-U232)</f>
        <v/>
      </c>
      <c r="W232" s="7">
        <f>IF($Y232="","",P232+S232+N232)</f>
        <v/>
      </c>
      <c r="X232" s="7">
        <f>IF($Y232="","",W232-U232-L232)</f>
        <v/>
      </c>
      <c r="Y232" s="13">
        <f>IF(ROWS($Y$2:$Y232)&lt;=MAX('Per Line'!$AP$2:$AP$1001),MATCH(ROWS($Y$2:$Y232),'Per Line'!$AP$2:$AP$1001,0),"")</f>
        <v/>
      </c>
    </row>
    <row r="233">
      <c r="A233" s="12" t="n"/>
      <c r="B233">
        <f>IF($Y233="","",INDEX('Per Line'!$E$2:$E$1001,$Y233)&amp;"")</f>
        <v/>
      </c>
      <c r="C233">
        <f>IF($Y233="","",INDEX('Per Line'!$F$2:$F$1001,$Y233)&amp;"")</f>
        <v/>
      </c>
      <c r="D233">
        <f>IF($Y233="","",INDEX('Per Line'!$A$2:$A$1001,$Y233)&amp;"")</f>
        <v/>
      </c>
      <c r="E233">
        <f>IF($Y233="","",INDEX('Per Line'!$B$2:$B$1001,$Y233))</f>
        <v/>
      </c>
      <c r="F233">
        <f>IF($Y233="","",INDEX('Per Line'!$G$2:$G$1001,$Y233)&amp;"")</f>
        <v/>
      </c>
      <c r="G233" s="11">
        <f>IF($Y233="","",INDEX('Per Line'!$H$2:$H$1001,$Y233))</f>
        <v/>
      </c>
      <c r="H233">
        <f>IF($Y233="","",INDEX('Per Line'!$K$2:$K$1001,$Y233)&amp;"")</f>
        <v/>
      </c>
      <c r="I233">
        <f>IF($Y233="","",INDEX('Per Line'!$L$2:$L$1001,$Y233)&amp;"")</f>
        <v/>
      </c>
      <c r="J233">
        <f>IF($Y233="","",INDEX('Per Line'!$M$2:$M$1001,$Y233)&amp;"")</f>
        <v/>
      </c>
      <c r="K233">
        <f>IF($Y233="","",INDEX('Per Line'!$Q$2:$Q$1001,$Y233))</f>
        <v/>
      </c>
      <c r="L233" s="7">
        <f>IF($Y233="","",K233*W233/100)</f>
        <v/>
      </c>
      <c r="M233">
        <f>IF($Y233="","",INDEX('Per Line'!$AD$2:$AD$1001,$Y233)&amp;"")</f>
        <v/>
      </c>
      <c r="N233" s="7">
        <f>IF($Y233="","",SUMIFS('Per Line'!$Z$2:$Z$1001,'Per Line'!$E$2:$E$1001,$B233,'Per Line'!$AR$2:$AR$1001,1))</f>
        <v/>
      </c>
      <c r="O233">
        <f>IF($Y233="","",Settings!$C$7)</f>
        <v/>
      </c>
      <c r="P233" s="7">
        <f>IF($Y233="","",SUMIFS('Per Line'!$Z$2:$Z$1001,'Per Line'!$E$2:$E$1001,$B233,'Per Line'!$AQ$2:$AQ$1001,0,'Per Line'!$AR$2:$AR$1001,0))</f>
        <v/>
      </c>
      <c r="Q233" s="7">
        <f>IF($Y233="","",P233*O233)</f>
        <v/>
      </c>
      <c r="R233">
        <f>IF($Y233="","",Settings!$C$6)</f>
        <v/>
      </c>
      <c r="S233" s="7">
        <f>IF($Y233="","",SUMIFS('Per Line'!$Z$2:$Z$1001,'Per Line'!$E$2:$E$1001,$B233,'Per Line'!$AQ$2:$AQ$1001,1,'Per Line'!$AR$2:$AR$1001,0))</f>
        <v/>
      </c>
      <c r="T233" s="7">
        <f>IF($Y233="","",S233*R233)</f>
        <v/>
      </c>
      <c r="U233" s="7">
        <f>IF($Y233="","",T233+Q233)</f>
        <v/>
      </c>
      <c r="V233" s="7">
        <f>IF($Y233="","",W233-U233)</f>
        <v/>
      </c>
      <c r="W233" s="7">
        <f>IF($Y233="","",P233+S233+N233)</f>
        <v/>
      </c>
      <c r="X233" s="7">
        <f>IF($Y233="","",W233-U233-L233)</f>
        <v/>
      </c>
      <c r="Y233" s="13">
        <f>IF(ROWS($Y$2:$Y233)&lt;=MAX('Per Line'!$AP$2:$AP$1001),MATCH(ROWS($Y$2:$Y233),'Per Line'!$AP$2:$AP$1001,0),"")</f>
        <v/>
      </c>
    </row>
    <row r="234">
      <c r="A234" s="12" t="n"/>
      <c r="B234">
        <f>IF($Y234="","",INDEX('Per Line'!$E$2:$E$1001,$Y234)&amp;"")</f>
        <v/>
      </c>
      <c r="C234">
        <f>IF($Y234="","",INDEX('Per Line'!$F$2:$F$1001,$Y234)&amp;"")</f>
        <v/>
      </c>
      <c r="D234">
        <f>IF($Y234="","",INDEX('Per Line'!$A$2:$A$1001,$Y234)&amp;"")</f>
        <v/>
      </c>
      <c r="E234">
        <f>IF($Y234="","",INDEX('Per Line'!$B$2:$B$1001,$Y234))</f>
        <v/>
      </c>
      <c r="F234">
        <f>IF($Y234="","",INDEX('Per Line'!$G$2:$G$1001,$Y234)&amp;"")</f>
        <v/>
      </c>
      <c r="G234" s="11">
        <f>IF($Y234="","",INDEX('Per Line'!$H$2:$H$1001,$Y234))</f>
        <v/>
      </c>
      <c r="H234">
        <f>IF($Y234="","",INDEX('Per Line'!$K$2:$K$1001,$Y234)&amp;"")</f>
        <v/>
      </c>
      <c r="I234">
        <f>IF($Y234="","",INDEX('Per Line'!$L$2:$L$1001,$Y234)&amp;"")</f>
        <v/>
      </c>
      <c r="J234">
        <f>IF($Y234="","",INDEX('Per Line'!$M$2:$M$1001,$Y234)&amp;"")</f>
        <v/>
      </c>
      <c r="K234">
        <f>IF($Y234="","",INDEX('Per Line'!$Q$2:$Q$1001,$Y234))</f>
        <v/>
      </c>
      <c r="L234" s="7">
        <f>IF($Y234="","",K234*W234/100)</f>
        <v/>
      </c>
      <c r="M234">
        <f>IF($Y234="","",INDEX('Per Line'!$AD$2:$AD$1001,$Y234)&amp;"")</f>
        <v/>
      </c>
      <c r="N234" s="7">
        <f>IF($Y234="","",SUMIFS('Per Line'!$Z$2:$Z$1001,'Per Line'!$E$2:$E$1001,$B234,'Per Line'!$AR$2:$AR$1001,1))</f>
        <v/>
      </c>
      <c r="O234">
        <f>IF($Y234="","",Settings!$C$7)</f>
        <v/>
      </c>
      <c r="P234" s="7">
        <f>IF($Y234="","",SUMIFS('Per Line'!$Z$2:$Z$1001,'Per Line'!$E$2:$E$1001,$B234,'Per Line'!$AQ$2:$AQ$1001,0,'Per Line'!$AR$2:$AR$1001,0))</f>
        <v/>
      </c>
      <c r="Q234" s="7">
        <f>IF($Y234="","",P234*O234)</f>
        <v/>
      </c>
      <c r="R234">
        <f>IF($Y234="","",Settings!$C$6)</f>
        <v/>
      </c>
      <c r="S234" s="7">
        <f>IF($Y234="","",SUMIFS('Per Line'!$Z$2:$Z$1001,'Per Line'!$E$2:$E$1001,$B234,'Per Line'!$AQ$2:$AQ$1001,1,'Per Line'!$AR$2:$AR$1001,0))</f>
        <v/>
      </c>
      <c r="T234" s="7">
        <f>IF($Y234="","",S234*R234)</f>
        <v/>
      </c>
      <c r="U234" s="7">
        <f>IF($Y234="","",T234+Q234)</f>
        <v/>
      </c>
      <c r="V234" s="7">
        <f>IF($Y234="","",W234-U234)</f>
        <v/>
      </c>
      <c r="W234" s="7">
        <f>IF($Y234="","",P234+S234+N234)</f>
        <v/>
      </c>
      <c r="X234" s="7">
        <f>IF($Y234="","",W234-U234-L234)</f>
        <v/>
      </c>
      <c r="Y234" s="13">
        <f>IF(ROWS($Y$2:$Y234)&lt;=MAX('Per Line'!$AP$2:$AP$1001),MATCH(ROWS($Y$2:$Y234),'Per Line'!$AP$2:$AP$1001,0),"")</f>
        <v/>
      </c>
    </row>
    <row r="235">
      <c r="A235" s="12" t="n"/>
      <c r="B235">
        <f>IF($Y235="","",INDEX('Per Line'!$E$2:$E$1001,$Y235)&amp;"")</f>
        <v/>
      </c>
      <c r="C235">
        <f>IF($Y235="","",INDEX('Per Line'!$F$2:$F$1001,$Y235)&amp;"")</f>
        <v/>
      </c>
      <c r="D235">
        <f>IF($Y235="","",INDEX('Per Line'!$A$2:$A$1001,$Y235)&amp;"")</f>
        <v/>
      </c>
      <c r="E235">
        <f>IF($Y235="","",INDEX('Per Line'!$B$2:$B$1001,$Y235))</f>
        <v/>
      </c>
      <c r="F235">
        <f>IF($Y235="","",INDEX('Per Line'!$G$2:$G$1001,$Y235)&amp;"")</f>
        <v/>
      </c>
      <c r="G235" s="11">
        <f>IF($Y235="","",INDEX('Per Line'!$H$2:$H$1001,$Y235))</f>
        <v/>
      </c>
      <c r="H235">
        <f>IF($Y235="","",INDEX('Per Line'!$K$2:$K$1001,$Y235)&amp;"")</f>
        <v/>
      </c>
      <c r="I235">
        <f>IF($Y235="","",INDEX('Per Line'!$L$2:$L$1001,$Y235)&amp;"")</f>
        <v/>
      </c>
      <c r="J235">
        <f>IF($Y235="","",INDEX('Per Line'!$M$2:$M$1001,$Y235)&amp;"")</f>
        <v/>
      </c>
      <c r="K235">
        <f>IF($Y235="","",INDEX('Per Line'!$Q$2:$Q$1001,$Y235))</f>
        <v/>
      </c>
      <c r="L235" s="7">
        <f>IF($Y235="","",K235*W235/100)</f>
        <v/>
      </c>
      <c r="M235">
        <f>IF($Y235="","",INDEX('Per Line'!$AD$2:$AD$1001,$Y235)&amp;"")</f>
        <v/>
      </c>
      <c r="N235" s="7">
        <f>IF($Y235="","",SUMIFS('Per Line'!$Z$2:$Z$1001,'Per Line'!$E$2:$E$1001,$B235,'Per Line'!$AR$2:$AR$1001,1))</f>
        <v/>
      </c>
      <c r="O235">
        <f>IF($Y235="","",Settings!$C$7)</f>
        <v/>
      </c>
      <c r="P235" s="7">
        <f>IF($Y235="","",SUMIFS('Per Line'!$Z$2:$Z$1001,'Per Line'!$E$2:$E$1001,$B235,'Per Line'!$AQ$2:$AQ$1001,0,'Per Line'!$AR$2:$AR$1001,0))</f>
        <v/>
      </c>
      <c r="Q235" s="7">
        <f>IF($Y235="","",P235*O235)</f>
        <v/>
      </c>
      <c r="R235">
        <f>IF($Y235="","",Settings!$C$6)</f>
        <v/>
      </c>
      <c r="S235" s="7">
        <f>IF($Y235="","",SUMIFS('Per Line'!$Z$2:$Z$1001,'Per Line'!$E$2:$E$1001,$B235,'Per Line'!$AQ$2:$AQ$1001,1,'Per Line'!$AR$2:$AR$1001,0))</f>
        <v/>
      </c>
      <c r="T235" s="7">
        <f>IF($Y235="","",S235*R235)</f>
        <v/>
      </c>
      <c r="U235" s="7">
        <f>IF($Y235="","",T235+Q235)</f>
        <v/>
      </c>
      <c r="V235" s="7">
        <f>IF($Y235="","",W235-U235)</f>
        <v/>
      </c>
      <c r="W235" s="7">
        <f>IF($Y235="","",P235+S235+N235)</f>
        <v/>
      </c>
      <c r="X235" s="7">
        <f>IF($Y235="","",W235-U235-L235)</f>
        <v/>
      </c>
      <c r="Y235" s="13">
        <f>IF(ROWS($Y$2:$Y235)&lt;=MAX('Per Line'!$AP$2:$AP$1001),MATCH(ROWS($Y$2:$Y235),'Per Line'!$AP$2:$AP$1001,0),"")</f>
        <v/>
      </c>
    </row>
    <row r="236">
      <c r="A236" s="12" t="n"/>
      <c r="B236">
        <f>IF($Y236="","",INDEX('Per Line'!$E$2:$E$1001,$Y236)&amp;"")</f>
        <v/>
      </c>
      <c r="C236">
        <f>IF($Y236="","",INDEX('Per Line'!$F$2:$F$1001,$Y236)&amp;"")</f>
        <v/>
      </c>
      <c r="D236">
        <f>IF($Y236="","",INDEX('Per Line'!$A$2:$A$1001,$Y236)&amp;"")</f>
        <v/>
      </c>
      <c r="E236">
        <f>IF($Y236="","",INDEX('Per Line'!$B$2:$B$1001,$Y236))</f>
        <v/>
      </c>
      <c r="F236">
        <f>IF($Y236="","",INDEX('Per Line'!$G$2:$G$1001,$Y236)&amp;"")</f>
        <v/>
      </c>
      <c r="G236" s="11">
        <f>IF($Y236="","",INDEX('Per Line'!$H$2:$H$1001,$Y236))</f>
        <v/>
      </c>
      <c r="H236">
        <f>IF($Y236="","",INDEX('Per Line'!$K$2:$K$1001,$Y236)&amp;"")</f>
        <v/>
      </c>
      <c r="I236">
        <f>IF($Y236="","",INDEX('Per Line'!$L$2:$L$1001,$Y236)&amp;"")</f>
        <v/>
      </c>
      <c r="J236">
        <f>IF($Y236="","",INDEX('Per Line'!$M$2:$M$1001,$Y236)&amp;"")</f>
        <v/>
      </c>
      <c r="K236">
        <f>IF($Y236="","",INDEX('Per Line'!$Q$2:$Q$1001,$Y236))</f>
        <v/>
      </c>
      <c r="L236" s="7">
        <f>IF($Y236="","",K236*W236/100)</f>
        <v/>
      </c>
      <c r="M236">
        <f>IF($Y236="","",INDEX('Per Line'!$AD$2:$AD$1001,$Y236)&amp;"")</f>
        <v/>
      </c>
      <c r="N236" s="7">
        <f>IF($Y236="","",SUMIFS('Per Line'!$Z$2:$Z$1001,'Per Line'!$E$2:$E$1001,$B236,'Per Line'!$AR$2:$AR$1001,1))</f>
        <v/>
      </c>
      <c r="O236">
        <f>IF($Y236="","",Settings!$C$7)</f>
        <v/>
      </c>
      <c r="P236" s="7">
        <f>IF($Y236="","",SUMIFS('Per Line'!$Z$2:$Z$1001,'Per Line'!$E$2:$E$1001,$B236,'Per Line'!$AQ$2:$AQ$1001,0,'Per Line'!$AR$2:$AR$1001,0))</f>
        <v/>
      </c>
      <c r="Q236" s="7">
        <f>IF($Y236="","",P236*O236)</f>
        <v/>
      </c>
      <c r="R236">
        <f>IF($Y236="","",Settings!$C$6)</f>
        <v/>
      </c>
      <c r="S236" s="7">
        <f>IF($Y236="","",SUMIFS('Per Line'!$Z$2:$Z$1001,'Per Line'!$E$2:$E$1001,$B236,'Per Line'!$AQ$2:$AQ$1001,1,'Per Line'!$AR$2:$AR$1001,0))</f>
        <v/>
      </c>
      <c r="T236" s="7">
        <f>IF($Y236="","",S236*R236)</f>
        <v/>
      </c>
      <c r="U236" s="7">
        <f>IF($Y236="","",T236+Q236)</f>
        <v/>
      </c>
      <c r="V236" s="7">
        <f>IF($Y236="","",W236-U236)</f>
        <v/>
      </c>
      <c r="W236" s="7">
        <f>IF($Y236="","",P236+S236+N236)</f>
        <v/>
      </c>
      <c r="X236" s="7">
        <f>IF($Y236="","",W236-U236-L236)</f>
        <v/>
      </c>
      <c r="Y236" s="13">
        <f>IF(ROWS($Y$2:$Y236)&lt;=MAX('Per Line'!$AP$2:$AP$1001),MATCH(ROWS($Y$2:$Y236),'Per Line'!$AP$2:$AP$1001,0),"")</f>
        <v/>
      </c>
    </row>
    <row r="237">
      <c r="A237" s="12" t="n"/>
      <c r="B237">
        <f>IF($Y237="","",INDEX('Per Line'!$E$2:$E$1001,$Y237)&amp;"")</f>
        <v/>
      </c>
      <c r="C237">
        <f>IF($Y237="","",INDEX('Per Line'!$F$2:$F$1001,$Y237)&amp;"")</f>
        <v/>
      </c>
      <c r="D237">
        <f>IF($Y237="","",INDEX('Per Line'!$A$2:$A$1001,$Y237)&amp;"")</f>
        <v/>
      </c>
      <c r="E237">
        <f>IF($Y237="","",INDEX('Per Line'!$B$2:$B$1001,$Y237))</f>
        <v/>
      </c>
      <c r="F237">
        <f>IF($Y237="","",INDEX('Per Line'!$G$2:$G$1001,$Y237)&amp;"")</f>
        <v/>
      </c>
      <c r="G237" s="11">
        <f>IF($Y237="","",INDEX('Per Line'!$H$2:$H$1001,$Y237))</f>
        <v/>
      </c>
      <c r="H237">
        <f>IF($Y237="","",INDEX('Per Line'!$K$2:$K$1001,$Y237)&amp;"")</f>
        <v/>
      </c>
      <c r="I237">
        <f>IF($Y237="","",INDEX('Per Line'!$L$2:$L$1001,$Y237)&amp;"")</f>
        <v/>
      </c>
      <c r="J237">
        <f>IF($Y237="","",INDEX('Per Line'!$M$2:$M$1001,$Y237)&amp;"")</f>
        <v/>
      </c>
      <c r="K237">
        <f>IF($Y237="","",INDEX('Per Line'!$Q$2:$Q$1001,$Y237))</f>
        <v/>
      </c>
      <c r="L237" s="7">
        <f>IF($Y237="","",K237*W237/100)</f>
        <v/>
      </c>
      <c r="M237">
        <f>IF($Y237="","",INDEX('Per Line'!$AD$2:$AD$1001,$Y237)&amp;"")</f>
        <v/>
      </c>
      <c r="N237" s="7">
        <f>IF($Y237="","",SUMIFS('Per Line'!$Z$2:$Z$1001,'Per Line'!$E$2:$E$1001,$B237,'Per Line'!$AR$2:$AR$1001,1))</f>
        <v/>
      </c>
      <c r="O237">
        <f>IF($Y237="","",Settings!$C$7)</f>
        <v/>
      </c>
      <c r="P237" s="7">
        <f>IF($Y237="","",SUMIFS('Per Line'!$Z$2:$Z$1001,'Per Line'!$E$2:$E$1001,$B237,'Per Line'!$AQ$2:$AQ$1001,0,'Per Line'!$AR$2:$AR$1001,0))</f>
        <v/>
      </c>
      <c r="Q237" s="7">
        <f>IF($Y237="","",P237*O237)</f>
        <v/>
      </c>
      <c r="R237">
        <f>IF($Y237="","",Settings!$C$6)</f>
        <v/>
      </c>
      <c r="S237" s="7">
        <f>IF($Y237="","",SUMIFS('Per Line'!$Z$2:$Z$1001,'Per Line'!$E$2:$E$1001,$B237,'Per Line'!$AQ$2:$AQ$1001,1,'Per Line'!$AR$2:$AR$1001,0))</f>
        <v/>
      </c>
      <c r="T237" s="7">
        <f>IF($Y237="","",S237*R237)</f>
        <v/>
      </c>
      <c r="U237" s="7">
        <f>IF($Y237="","",T237+Q237)</f>
        <v/>
      </c>
      <c r="V237" s="7">
        <f>IF($Y237="","",W237-U237)</f>
        <v/>
      </c>
      <c r="W237" s="7">
        <f>IF($Y237="","",P237+S237+N237)</f>
        <v/>
      </c>
      <c r="X237" s="7">
        <f>IF($Y237="","",W237-U237-L237)</f>
        <v/>
      </c>
      <c r="Y237" s="13">
        <f>IF(ROWS($Y$2:$Y237)&lt;=MAX('Per Line'!$AP$2:$AP$1001),MATCH(ROWS($Y$2:$Y237),'Per Line'!$AP$2:$AP$1001,0),"")</f>
        <v/>
      </c>
    </row>
    <row r="238">
      <c r="A238" s="12" t="n"/>
      <c r="B238">
        <f>IF($Y238="","",INDEX('Per Line'!$E$2:$E$1001,$Y238)&amp;"")</f>
        <v/>
      </c>
      <c r="C238">
        <f>IF($Y238="","",INDEX('Per Line'!$F$2:$F$1001,$Y238)&amp;"")</f>
        <v/>
      </c>
      <c r="D238">
        <f>IF($Y238="","",INDEX('Per Line'!$A$2:$A$1001,$Y238)&amp;"")</f>
        <v/>
      </c>
      <c r="E238">
        <f>IF($Y238="","",INDEX('Per Line'!$B$2:$B$1001,$Y238))</f>
        <v/>
      </c>
      <c r="F238">
        <f>IF($Y238="","",INDEX('Per Line'!$G$2:$G$1001,$Y238)&amp;"")</f>
        <v/>
      </c>
      <c r="G238" s="11">
        <f>IF($Y238="","",INDEX('Per Line'!$H$2:$H$1001,$Y238))</f>
        <v/>
      </c>
      <c r="H238">
        <f>IF($Y238="","",INDEX('Per Line'!$K$2:$K$1001,$Y238)&amp;"")</f>
        <v/>
      </c>
      <c r="I238">
        <f>IF($Y238="","",INDEX('Per Line'!$L$2:$L$1001,$Y238)&amp;"")</f>
        <v/>
      </c>
      <c r="J238">
        <f>IF($Y238="","",INDEX('Per Line'!$M$2:$M$1001,$Y238)&amp;"")</f>
        <v/>
      </c>
      <c r="K238">
        <f>IF($Y238="","",INDEX('Per Line'!$Q$2:$Q$1001,$Y238))</f>
        <v/>
      </c>
      <c r="L238" s="7">
        <f>IF($Y238="","",K238*W238/100)</f>
        <v/>
      </c>
      <c r="M238">
        <f>IF($Y238="","",INDEX('Per Line'!$AD$2:$AD$1001,$Y238)&amp;"")</f>
        <v/>
      </c>
      <c r="N238" s="7">
        <f>IF($Y238="","",SUMIFS('Per Line'!$Z$2:$Z$1001,'Per Line'!$E$2:$E$1001,$B238,'Per Line'!$AR$2:$AR$1001,1))</f>
        <v/>
      </c>
      <c r="O238">
        <f>IF($Y238="","",Settings!$C$7)</f>
        <v/>
      </c>
      <c r="P238" s="7">
        <f>IF($Y238="","",SUMIFS('Per Line'!$Z$2:$Z$1001,'Per Line'!$E$2:$E$1001,$B238,'Per Line'!$AQ$2:$AQ$1001,0,'Per Line'!$AR$2:$AR$1001,0))</f>
        <v/>
      </c>
      <c r="Q238" s="7">
        <f>IF($Y238="","",P238*O238)</f>
        <v/>
      </c>
      <c r="R238">
        <f>IF($Y238="","",Settings!$C$6)</f>
        <v/>
      </c>
      <c r="S238" s="7">
        <f>IF($Y238="","",SUMIFS('Per Line'!$Z$2:$Z$1001,'Per Line'!$E$2:$E$1001,$B238,'Per Line'!$AQ$2:$AQ$1001,1,'Per Line'!$AR$2:$AR$1001,0))</f>
        <v/>
      </c>
      <c r="T238" s="7">
        <f>IF($Y238="","",S238*R238)</f>
        <v/>
      </c>
      <c r="U238" s="7">
        <f>IF($Y238="","",T238+Q238)</f>
        <v/>
      </c>
      <c r="V238" s="7">
        <f>IF($Y238="","",W238-U238)</f>
        <v/>
      </c>
      <c r="W238" s="7">
        <f>IF($Y238="","",P238+S238+N238)</f>
        <v/>
      </c>
      <c r="X238" s="7">
        <f>IF($Y238="","",W238-U238-L238)</f>
        <v/>
      </c>
      <c r="Y238" s="13">
        <f>IF(ROWS($Y$2:$Y238)&lt;=MAX('Per Line'!$AP$2:$AP$1001),MATCH(ROWS($Y$2:$Y238),'Per Line'!$AP$2:$AP$1001,0),"")</f>
        <v/>
      </c>
    </row>
    <row r="239">
      <c r="A239" s="12" t="n"/>
      <c r="B239">
        <f>IF($Y239="","",INDEX('Per Line'!$E$2:$E$1001,$Y239)&amp;"")</f>
        <v/>
      </c>
      <c r="C239">
        <f>IF($Y239="","",INDEX('Per Line'!$F$2:$F$1001,$Y239)&amp;"")</f>
        <v/>
      </c>
      <c r="D239">
        <f>IF($Y239="","",INDEX('Per Line'!$A$2:$A$1001,$Y239)&amp;"")</f>
        <v/>
      </c>
      <c r="E239">
        <f>IF($Y239="","",INDEX('Per Line'!$B$2:$B$1001,$Y239))</f>
        <v/>
      </c>
      <c r="F239">
        <f>IF($Y239="","",INDEX('Per Line'!$G$2:$G$1001,$Y239)&amp;"")</f>
        <v/>
      </c>
      <c r="G239" s="11">
        <f>IF($Y239="","",INDEX('Per Line'!$H$2:$H$1001,$Y239))</f>
        <v/>
      </c>
      <c r="H239">
        <f>IF($Y239="","",INDEX('Per Line'!$K$2:$K$1001,$Y239)&amp;"")</f>
        <v/>
      </c>
      <c r="I239">
        <f>IF($Y239="","",INDEX('Per Line'!$L$2:$L$1001,$Y239)&amp;"")</f>
        <v/>
      </c>
      <c r="J239">
        <f>IF($Y239="","",INDEX('Per Line'!$M$2:$M$1001,$Y239)&amp;"")</f>
        <v/>
      </c>
      <c r="K239">
        <f>IF($Y239="","",INDEX('Per Line'!$Q$2:$Q$1001,$Y239))</f>
        <v/>
      </c>
      <c r="L239" s="7">
        <f>IF($Y239="","",K239*W239/100)</f>
        <v/>
      </c>
      <c r="M239">
        <f>IF($Y239="","",INDEX('Per Line'!$AD$2:$AD$1001,$Y239)&amp;"")</f>
        <v/>
      </c>
      <c r="N239" s="7">
        <f>IF($Y239="","",SUMIFS('Per Line'!$Z$2:$Z$1001,'Per Line'!$E$2:$E$1001,$B239,'Per Line'!$AR$2:$AR$1001,1))</f>
        <v/>
      </c>
      <c r="O239">
        <f>IF($Y239="","",Settings!$C$7)</f>
        <v/>
      </c>
      <c r="P239" s="7">
        <f>IF($Y239="","",SUMIFS('Per Line'!$Z$2:$Z$1001,'Per Line'!$E$2:$E$1001,$B239,'Per Line'!$AQ$2:$AQ$1001,0,'Per Line'!$AR$2:$AR$1001,0))</f>
        <v/>
      </c>
      <c r="Q239" s="7">
        <f>IF($Y239="","",P239*O239)</f>
        <v/>
      </c>
      <c r="R239">
        <f>IF($Y239="","",Settings!$C$6)</f>
        <v/>
      </c>
      <c r="S239" s="7">
        <f>IF($Y239="","",SUMIFS('Per Line'!$Z$2:$Z$1001,'Per Line'!$E$2:$E$1001,$B239,'Per Line'!$AQ$2:$AQ$1001,1,'Per Line'!$AR$2:$AR$1001,0))</f>
        <v/>
      </c>
      <c r="T239" s="7">
        <f>IF($Y239="","",S239*R239)</f>
        <v/>
      </c>
      <c r="U239" s="7">
        <f>IF($Y239="","",T239+Q239)</f>
        <v/>
      </c>
      <c r="V239" s="7">
        <f>IF($Y239="","",W239-U239)</f>
        <v/>
      </c>
      <c r="W239" s="7">
        <f>IF($Y239="","",P239+S239+N239)</f>
        <v/>
      </c>
      <c r="X239" s="7">
        <f>IF($Y239="","",W239-U239-L239)</f>
        <v/>
      </c>
      <c r="Y239" s="13">
        <f>IF(ROWS($Y$2:$Y239)&lt;=MAX('Per Line'!$AP$2:$AP$1001),MATCH(ROWS($Y$2:$Y239),'Per Line'!$AP$2:$AP$1001,0),"")</f>
        <v/>
      </c>
    </row>
    <row r="240">
      <c r="A240" s="12" t="n"/>
      <c r="B240">
        <f>IF($Y240="","",INDEX('Per Line'!$E$2:$E$1001,$Y240)&amp;"")</f>
        <v/>
      </c>
      <c r="C240">
        <f>IF($Y240="","",INDEX('Per Line'!$F$2:$F$1001,$Y240)&amp;"")</f>
        <v/>
      </c>
      <c r="D240">
        <f>IF($Y240="","",INDEX('Per Line'!$A$2:$A$1001,$Y240)&amp;"")</f>
        <v/>
      </c>
      <c r="E240">
        <f>IF($Y240="","",INDEX('Per Line'!$B$2:$B$1001,$Y240))</f>
        <v/>
      </c>
      <c r="F240">
        <f>IF($Y240="","",INDEX('Per Line'!$G$2:$G$1001,$Y240)&amp;"")</f>
        <v/>
      </c>
      <c r="G240" s="11">
        <f>IF($Y240="","",INDEX('Per Line'!$H$2:$H$1001,$Y240))</f>
        <v/>
      </c>
      <c r="H240">
        <f>IF($Y240="","",INDEX('Per Line'!$K$2:$K$1001,$Y240)&amp;"")</f>
        <v/>
      </c>
      <c r="I240">
        <f>IF($Y240="","",INDEX('Per Line'!$L$2:$L$1001,$Y240)&amp;"")</f>
        <v/>
      </c>
      <c r="J240">
        <f>IF($Y240="","",INDEX('Per Line'!$M$2:$M$1001,$Y240)&amp;"")</f>
        <v/>
      </c>
      <c r="K240">
        <f>IF($Y240="","",INDEX('Per Line'!$Q$2:$Q$1001,$Y240))</f>
        <v/>
      </c>
      <c r="L240" s="7">
        <f>IF($Y240="","",K240*W240/100)</f>
        <v/>
      </c>
      <c r="M240">
        <f>IF($Y240="","",INDEX('Per Line'!$AD$2:$AD$1001,$Y240)&amp;"")</f>
        <v/>
      </c>
      <c r="N240" s="7">
        <f>IF($Y240="","",SUMIFS('Per Line'!$Z$2:$Z$1001,'Per Line'!$E$2:$E$1001,$B240,'Per Line'!$AR$2:$AR$1001,1))</f>
        <v/>
      </c>
      <c r="O240">
        <f>IF($Y240="","",Settings!$C$7)</f>
        <v/>
      </c>
      <c r="P240" s="7">
        <f>IF($Y240="","",SUMIFS('Per Line'!$Z$2:$Z$1001,'Per Line'!$E$2:$E$1001,$B240,'Per Line'!$AQ$2:$AQ$1001,0,'Per Line'!$AR$2:$AR$1001,0))</f>
        <v/>
      </c>
      <c r="Q240" s="7">
        <f>IF($Y240="","",P240*O240)</f>
        <v/>
      </c>
      <c r="R240">
        <f>IF($Y240="","",Settings!$C$6)</f>
        <v/>
      </c>
      <c r="S240" s="7">
        <f>IF($Y240="","",SUMIFS('Per Line'!$Z$2:$Z$1001,'Per Line'!$E$2:$E$1001,$B240,'Per Line'!$AQ$2:$AQ$1001,1,'Per Line'!$AR$2:$AR$1001,0))</f>
        <v/>
      </c>
      <c r="T240" s="7">
        <f>IF($Y240="","",S240*R240)</f>
        <v/>
      </c>
      <c r="U240" s="7">
        <f>IF($Y240="","",T240+Q240)</f>
        <v/>
      </c>
      <c r="V240" s="7">
        <f>IF($Y240="","",W240-U240)</f>
        <v/>
      </c>
      <c r="W240" s="7">
        <f>IF($Y240="","",P240+S240+N240)</f>
        <v/>
      </c>
      <c r="X240" s="7">
        <f>IF($Y240="","",W240-U240-L240)</f>
        <v/>
      </c>
      <c r="Y240" s="13">
        <f>IF(ROWS($Y$2:$Y240)&lt;=MAX('Per Line'!$AP$2:$AP$1001),MATCH(ROWS($Y$2:$Y240),'Per Line'!$AP$2:$AP$1001,0),"")</f>
        <v/>
      </c>
    </row>
    <row r="241">
      <c r="A241" s="12" t="n"/>
      <c r="B241">
        <f>IF($Y241="","",INDEX('Per Line'!$E$2:$E$1001,$Y241)&amp;"")</f>
        <v/>
      </c>
      <c r="C241">
        <f>IF($Y241="","",INDEX('Per Line'!$F$2:$F$1001,$Y241)&amp;"")</f>
        <v/>
      </c>
      <c r="D241">
        <f>IF($Y241="","",INDEX('Per Line'!$A$2:$A$1001,$Y241)&amp;"")</f>
        <v/>
      </c>
      <c r="E241">
        <f>IF($Y241="","",INDEX('Per Line'!$B$2:$B$1001,$Y241))</f>
        <v/>
      </c>
      <c r="F241">
        <f>IF($Y241="","",INDEX('Per Line'!$G$2:$G$1001,$Y241)&amp;"")</f>
        <v/>
      </c>
      <c r="G241" s="11">
        <f>IF($Y241="","",INDEX('Per Line'!$H$2:$H$1001,$Y241))</f>
        <v/>
      </c>
      <c r="H241">
        <f>IF($Y241="","",INDEX('Per Line'!$K$2:$K$1001,$Y241)&amp;"")</f>
        <v/>
      </c>
      <c r="I241">
        <f>IF($Y241="","",INDEX('Per Line'!$L$2:$L$1001,$Y241)&amp;"")</f>
        <v/>
      </c>
      <c r="J241">
        <f>IF($Y241="","",INDEX('Per Line'!$M$2:$M$1001,$Y241)&amp;"")</f>
        <v/>
      </c>
      <c r="K241">
        <f>IF($Y241="","",INDEX('Per Line'!$Q$2:$Q$1001,$Y241))</f>
        <v/>
      </c>
      <c r="L241" s="7">
        <f>IF($Y241="","",K241*W241/100)</f>
        <v/>
      </c>
      <c r="M241">
        <f>IF($Y241="","",INDEX('Per Line'!$AD$2:$AD$1001,$Y241)&amp;"")</f>
        <v/>
      </c>
      <c r="N241" s="7">
        <f>IF($Y241="","",SUMIFS('Per Line'!$Z$2:$Z$1001,'Per Line'!$E$2:$E$1001,$B241,'Per Line'!$AR$2:$AR$1001,1))</f>
        <v/>
      </c>
      <c r="O241">
        <f>IF($Y241="","",Settings!$C$7)</f>
        <v/>
      </c>
      <c r="P241" s="7">
        <f>IF($Y241="","",SUMIFS('Per Line'!$Z$2:$Z$1001,'Per Line'!$E$2:$E$1001,$B241,'Per Line'!$AQ$2:$AQ$1001,0,'Per Line'!$AR$2:$AR$1001,0))</f>
        <v/>
      </c>
      <c r="Q241" s="7">
        <f>IF($Y241="","",P241*O241)</f>
        <v/>
      </c>
      <c r="R241">
        <f>IF($Y241="","",Settings!$C$6)</f>
        <v/>
      </c>
      <c r="S241" s="7">
        <f>IF($Y241="","",SUMIFS('Per Line'!$Z$2:$Z$1001,'Per Line'!$E$2:$E$1001,$B241,'Per Line'!$AQ$2:$AQ$1001,1,'Per Line'!$AR$2:$AR$1001,0))</f>
        <v/>
      </c>
      <c r="T241" s="7">
        <f>IF($Y241="","",S241*R241)</f>
        <v/>
      </c>
      <c r="U241" s="7">
        <f>IF($Y241="","",T241+Q241)</f>
        <v/>
      </c>
      <c r="V241" s="7">
        <f>IF($Y241="","",W241-U241)</f>
        <v/>
      </c>
      <c r="W241" s="7">
        <f>IF($Y241="","",P241+S241+N241)</f>
        <v/>
      </c>
      <c r="X241" s="7">
        <f>IF($Y241="","",W241-U241-L241)</f>
        <v/>
      </c>
      <c r="Y241" s="13">
        <f>IF(ROWS($Y$2:$Y241)&lt;=MAX('Per Line'!$AP$2:$AP$1001),MATCH(ROWS($Y$2:$Y241),'Per Line'!$AP$2:$AP$1001,0),"")</f>
        <v/>
      </c>
    </row>
    <row r="242">
      <c r="A242" s="12" t="n"/>
      <c r="B242">
        <f>IF($Y242="","",INDEX('Per Line'!$E$2:$E$1001,$Y242)&amp;"")</f>
        <v/>
      </c>
      <c r="C242">
        <f>IF($Y242="","",INDEX('Per Line'!$F$2:$F$1001,$Y242)&amp;"")</f>
        <v/>
      </c>
      <c r="D242">
        <f>IF($Y242="","",INDEX('Per Line'!$A$2:$A$1001,$Y242)&amp;"")</f>
        <v/>
      </c>
      <c r="E242">
        <f>IF($Y242="","",INDEX('Per Line'!$B$2:$B$1001,$Y242))</f>
        <v/>
      </c>
      <c r="F242">
        <f>IF($Y242="","",INDEX('Per Line'!$G$2:$G$1001,$Y242)&amp;"")</f>
        <v/>
      </c>
      <c r="G242" s="11">
        <f>IF($Y242="","",INDEX('Per Line'!$H$2:$H$1001,$Y242))</f>
        <v/>
      </c>
      <c r="H242">
        <f>IF($Y242="","",INDEX('Per Line'!$K$2:$K$1001,$Y242)&amp;"")</f>
        <v/>
      </c>
      <c r="I242">
        <f>IF($Y242="","",INDEX('Per Line'!$L$2:$L$1001,$Y242)&amp;"")</f>
        <v/>
      </c>
      <c r="J242">
        <f>IF($Y242="","",INDEX('Per Line'!$M$2:$M$1001,$Y242)&amp;"")</f>
        <v/>
      </c>
      <c r="K242">
        <f>IF($Y242="","",INDEX('Per Line'!$Q$2:$Q$1001,$Y242))</f>
        <v/>
      </c>
      <c r="L242" s="7">
        <f>IF($Y242="","",K242*W242/100)</f>
        <v/>
      </c>
      <c r="M242">
        <f>IF($Y242="","",INDEX('Per Line'!$AD$2:$AD$1001,$Y242)&amp;"")</f>
        <v/>
      </c>
      <c r="N242" s="7">
        <f>IF($Y242="","",SUMIFS('Per Line'!$Z$2:$Z$1001,'Per Line'!$E$2:$E$1001,$B242,'Per Line'!$AR$2:$AR$1001,1))</f>
        <v/>
      </c>
      <c r="O242">
        <f>IF($Y242="","",Settings!$C$7)</f>
        <v/>
      </c>
      <c r="P242" s="7">
        <f>IF($Y242="","",SUMIFS('Per Line'!$Z$2:$Z$1001,'Per Line'!$E$2:$E$1001,$B242,'Per Line'!$AQ$2:$AQ$1001,0,'Per Line'!$AR$2:$AR$1001,0))</f>
        <v/>
      </c>
      <c r="Q242" s="7">
        <f>IF($Y242="","",P242*O242)</f>
        <v/>
      </c>
      <c r="R242">
        <f>IF($Y242="","",Settings!$C$6)</f>
        <v/>
      </c>
      <c r="S242" s="7">
        <f>IF($Y242="","",SUMIFS('Per Line'!$Z$2:$Z$1001,'Per Line'!$E$2:$E$1001,$B242,'Per Line'!$AQ$2:$AQ$1001,1,'Per Line'!$AR$2:$AR$1001,0))</f>
        <v/>
      </c>
      <c r="T242" s="7">
        <f>IF($Y242="","",S242*R242)</f>
        <v/>
      </c>
      <c r="U242" s="7">
        <f>IF($Y242="","",T242+Q242)</f>
        <v/>
      </c>
      <c r="V242" s="7">
        <f>IF($Y242="","",W242-U242)</f>
        <v/>
      </c>
      <c r="W242" s="7">
        <f>IF($Y242="","",P242+S242+N242)</f>
        <v/>
      </c>
      <c r="X242" s="7">
        <f>IF($Y242="","",W242-U242-L242)</f>
        <v/>
      </c>
      <c r="Y242" s="13">
        <f>IF(ROWS($Y$2:$Y242)&lt;=MAX('Per Line'!$AP$2:$AP$1001),MATCH(ROWS($Y$2:$Y242),'Per Line'!$AP$2:$AP$1001,0),"")</f>
        <v/>
      </c>
    </row>
    <row r="243">
      <c r="A243" s="12" t="n"/>
      <c r="B243">
        <f>IF($Y243="","",INDEX('Per Line'!$E$2:$E$1001,$Y243)&amp;"")</f>
        <v/>
      </c>
      <c r="C243">
        <f>IF($Y243="","",INDEX('Per Line'!$F$2:$F$1001,$Y243)&amp;"")</f>
        <v/>
      </c>
      <c r="D243">
        <f>IF($Y243="","",INDEX('Per Line'!$A$2:$A$1001,$Y243)&amp;"")</f>
        <v/>
      </c>
      <c r="E243">
        <f>IF($Y243="","",INDEX('Per Line'!$B$2:$B$1001,$Y243))</f>
        <v/>
      </c>
      <c r="F243">
        <f>IF($Y243="","",INDEX('Per Line'!$G$2:$G$1001,$Y243)&amp;"")</f>
        <v/>
      </c>
      <c r="G243" s="11">
        <f>IF($Y243="","",INDEX('Per Line'!$H$2:$H$1001,$Y243))</f>
        <v/>
      </c>
      <c r="H243">
        <f>IF($Y243="","",INDEX('Per Line'!$K$2:$K$1001,$Y243)&amp;"")</f>
        <v/>
      </c>
      <c r="I243">
        <f>IF($Y243="","",INDEX('Per Line'!$L$2:$L$1001,$Y243)&amp;"")</f>
        <v/>
      </c>
      <c r="J243">
        <f>IF($Y243="","",INDEX('Per Line'!$M$2:$M$1001,$Y243)&amp;"")</f>
        <v/>
      </c>
      <c r="K243">
        <f>IF($Y243="","",INDEX('Per Line'!$Q$2:$Q$1001,$Y243))</f>
        <v/>
      </c>
      <c r="L243" s="7">
        <f>IF($Y243="","",K243*W243/100)</f>
        <v/>
      </c>
      <c r="M243">
        <f>IF($Y243="","",INDEX('Per Line'!$AD$2:$AD$1001,$Y243)&amp;"")</f>
        <v/>
      </c>
      <c r="N243" s="7">
        <f>IF($Y243="","",SUMIFS('Per Line'!$Z$2:$Z$1001,'Per Line'!$E$2:$E$1001,$B243,'Per Line'!$AR$2:$AR$1001,1))</f>
        <v/>
      </c>
      <c r="O243">
        <f>IF($Y243="","",Settings!$C$7)</f>
        <v/>
      </c>
      <c r="P243" s="7">
        <f>IF($Y243="","",SUMIFS('Per Line'!$Z$2:$Z$1001,'Per Line'!$E$2:$E$1001,$B243,'Per Line'!$AQ$2:$AQ$1001,0,'Per Line'!$AR$2:$AR$1001,0))</f>
        <v/>
      </c>
      <c r="Q243" s="7">
        <f>IF($Y243="","",P243*O243)</f>
        <v/>
      </c>
      <c r="R243">
        <f>IF($Y243="","",Settings!$C$6)</f>
        <v/>
      </c>
      <c r="S243" s="7">
        <f>IF($Y243="","",SUMIFS('Per Line'!$Z$2:$Z$1001,'Per Line'!$E$2:$E$1001,$B243,'Per Line'!$AQ$2:$AQ$1001,1,'Per Line'!$AR$2:$AR$1001,0))</f>
        <v/>
      </c>
      <c r="T243" s="7">
        <f>IF($Y243="","",S243*R243)</f>
        <v/>
      </c>
      <c r="U243" s="7">
        <f>IF($Y243="","",T243+Q243)</f>
        <v/>
      </c>
      <c r="V243" s="7">
        <f>IF($Y243="","",W243-U243)</f>
        <v/>
      </c>
      <c r="W243" s="7">
        <f>IF($Y243="","",P243+S243+N243)</f>
        <v/>
      </c>
      <c r="X243" s="7">
        <f>IF($Y243="","",W243-U243-L243)</f>
        <v/>
      </c>
      <c r="Y243" s="13">
        <f>IF(ROWS($Y$2:$Y243)&lt;=MAX('Per Line'!$AP$2:$AP$1001),MATCH(ROWS($Y$2:$Y243),'Per Line'!$AP$2:$AP$1001,0),"")</f>
        <v/>
      </c>
    </row>
    <row r="244">
      <c r="A244" s="12" t="n"/>
      <c r="B244">
        <f>IF($Y244="","",INDEX('Per Line'!$E$2:$E$1001,$Y244)&amp;"")</f>
        <v/>
      </c>
      <c r="C244">
        <f>IF($Y244="","",INDEX('Per Line'!$F$2:$F$1001,$Y244)&amp;"")</f>
        <v/>
      </c>
      <c r="D244">
        <f>IF($Y244="","",INDEX('Per Line'!$A$2:$A$1001,$Y244)&amp;"")</f>
        <v/>
      </c>
      <c r="E244">
        <f>IF($Y244="","",INDEX('Per Line'!$B$2:$B$1001,$Y244))</f>
        <v/>
      </c>
      <c r="F244">
        <f>IF($Y244="","",INDEX('Per Line'!$G$2:$G$1001,$Y244)&amp;"")</f>
        <v/>
      </c>
      <c r="G244" s="11">
        <f>IF($Y244="","",INDEX('Per Line'!$H$2:$H$1001,$Y244))</f>
        <v/>
      </c>
      <c r="H244">
        <f>IF($Y244="","",INDEX('Per Line'!$K$2:$K$1001,$Y244)&amp;"")</f>
        <v/>
      </c>
      <c r="I244">
        <f>IF($Y244="","",INDEX('Per Line'!$L$2:$L$1001,$Y244)&amp;"")</f>
        <v/>
      </c>
      <c r="J244">
        <f>IF($Y244="","",INDEX('Per Line'!$M$2:$M$1001,$Y244)&amp;"")</f>
        <v/>
      </c>
      <c r="K244">
        <f>IF($Y244="","",INDEX('Per Line'!$Q$2:$Q$1001,$Y244))</f>
        <v/>
      </c>
      <c r="L244" s="7">
        <f>IF($Y244="","",K244*W244/100)</f>
        <v/>
      </c>
      <c r="M244">
        <f>IF($Y244="","",INDEX('Per Line'!$AD$2:$AD$1001,$Y244)&amp;"")</f>
        <v/>
      </c>
      <c r="N244" s="7">
        <f>IF($Y244="","",SUMIFS('Per Line'!$Z$2:$Z$1001,'Per Line'!$E$2:$E$1001,$B244,'Per Line'!$AR$2:$AR$1001,1))</f>
        <v/>
      </c>
      <c r="O244">
        <f>IF($Y244="","",Settings!$C$7)</f>
        <v/>
      </c>
      <c r="P244" s="7">
        <f>IF($Y244="","",SUMIFS('Per Line'!$Z$2:$Z$1001,'Per Line'!$E$2:$E$1001,$B244,'Per Line'!$AQ$2:$AQ$1001,0,'Per Line'!$AR$2:$AR$1001,0))</f>
        <v/>
      </c>
      <c r="Q244" s="7">
        <f>IF($Y244="","",P244*O244)</f>
        <v/>
      </c>
      <c r="R244">
        <f>IF($Y244="","",Settings!$C$6)</f>
        <v/>
      </c>
      <c r="S244" s="7">
        <f>IF($Y244="","",SUMIFS('Per Line'!$Z$2:$Z$1001,'Per Line'!$E$2:$E$1001,$B244,'Per Line'!$AQ$2:$AQ$1001,1,'Per Line'!$AR$2:$AR$1001,0))</f>
        <v/>
      </c>
      <c r="T244" s="7">
        <f>IF($Y244="","",S244*R244)</f>
        <v/>
      </c>
      <c r="U244" s="7">
        <f>IF($Y244="","",T244+Q244)</f>
        <v/>
      </c>
      <c r="V244" s="7">
        <f>IF($Y244="","",W244-U244)</f>
        <v/>
      </c>
      <c r="W244" s="7">
        <f>IF($Y244="","",P244+S244+N244)</f>
        <v/>
      </c>
      <c r="X244" s="7">
        <f>IF($Y244="","",W244-U244-L244)</f>
        <v/>
      </c>
      <c r="Y244" s="13">
        <f>IF(ROWS($Y$2:$Y244)&lt;=MAX('Per Line'!$AP$2:$AP$1001),MATCH(ROWS($Y$2:$Y244),'Per Line'!$AP$2:$AP$1001,0),"")</f>
        <v/>
      </c>
    </row>
    <row r="245">
      <c r="A245" s="12" t="n"/>
      <c r="B245">
        <f>IF($Y245="","",INDEX('Per Line'!$E$2:$E$1001,$Y245)&amp;"")</f>
        <v/>
      </c>
      <c r="C245">
        <f>IF($Y245="","",INDEX('Per Line'!$F$2:$F$1001,$Y245)&amp;"")</f>
        <v/>
      </c>
      <c r="D245">
        <f>IF($Y245="","",INDEX('Per Line'!$A$2:$A$1001,$Y245)&amp;"")</f>
        <v/>
      </c>
      <c r="E245">
        <f>IF($Y245="","",INDEX('Per Line'!$B$2:$B$1001,$Y245))</f>
        <v/>
      </c>
      <c r="F245">
        <f>IF($Y245="","",INDEX('Per Line'!$G$2:$G$1001,$Y245)&amp;"")</f>
        <v/>
      </c>
      <c r="G245" s="11">
        <f>IF($Y245="","",INDEX('Per Line'!$H$2:$H$1001,$Y245))</f>
        <v/>
      </c>
      <c r="H245">
        <f>IF($Y245="","",INDEX('Per Line'!$K$2:$K$1001,$Y245)&amp;"")</f>
        <v/>
      </c>
      <c r="I245">
        <f>IF($Y245="","",INDEX('Per Line'!$L$2:$L$1001,$Y245)&amp;"")</f>
        <v/>
      </c>
      <c r="J245">
        <f>IF($Y245="","",INDEX('Per Line'!$M$2:$M$1001,$Y245)&amp;"")</f>
        <v/>
      </c>
      <c r="K245">
        <f>IF($Y245="","",INDEX('Per Line'!$Q$2:$Q$1001,$Y245))</f>
        <v/>
      </c>
      <c r="L245" s="7">
        <f>IF($Y245="","",K245*W245/100)</f>
        <v/>
      </c>
      <c r="M245">
        <f>IF($Y245="","",INDEX('Per Line'!$AD$2:$AD$1001,$Y245)&amp;"")</f>
        <v/>
      </c>
      <c r="N245" s="7">
        <f>IF($Y245="","",SUMIFS('Per Line'!$Z$2:$Z$1001,'Per Line'!$E$2:$E$1001,$B245,'Per Line'!$AR$2:$AR$1001,1))</f>
        <v/>
      </c>
      <c r="O245">
        <f>IF($Y245="","",Settings!$C$7)</f>
        <v/>
      </c>
      <c r="P245" s="7">
        <f>IF($Y245="","",SUMIFS('Per Line'!$Z$2:$Z$1001,'Per Line'!$E$2:$E$1001,$B245,'Per Line'!$AQ$2:$AQ$1001,0,'Per Line'!$AR$2:$AR$1001,0))</f>
        <v/>
      </c>
      <c r="Q245" s="7">
        <f>IF($Y245="","",P245*O245)</f>
        <v/>
      </c>
      <c r="R245">
        <f>IF($Y245="","",Settings!$C$6)</f>
        <v/>
      </c>
      <c r="S245" s="7">
        <f>IF($Y245="","",SUMIFS('Per Line'!$Z$2:$Z$1001,'Per Line'!$E$2:$E$1001,$B245,'Per Line'!$AQ$2:$AQ$1001,1,'Per Line'!$AR$2:$AR$1001,0))</f>
        <v/>
      </c>
      <c r="T245" s="7">
        <f>IF($Y245="","",S245*R245)</f>
        <v/>
      </c>
      <c r="U245" s="7">
        <f>IF($Y245="","",T245+Q245)</f>
        <v/>
      </c>
      <c r="V245" s="7">
        <f>IF($Y245="","",W245-U245)</f>
        <v/>
      </c>
      <c r="W245" s="7">
        <f>IF($Y245="","",P245+S245+N245)</f>
        <v/>
      </c>
      <c r="X245" s="7">
        <f>IF($Y245="","",W245-U245-L245)</f>
        <v/>
      </c>
      <c r="Y245" s="13">
        <f>IF(ROWS($Y$2:$Y245)&lt;=MAX('Per Line'!$AP$2:$AP$1001),MATCH(ROWS($Y$2:$Y245),'Per Line'!$AP$2:$AP$1001,0),"")</f>
        <v/>
      </c>
    </row>
    <row r="246">
      <c r="A246" s="12" t="n"/>
      <c r="B246">
        <f>IF($Y246="","",INDEX('Per Line'!$E$2:$E$1001,$Y246)&amp;"")</f>
        <v/>
      </c>
      <c r="C246">
        <f>IF($Y246="","",INDEX('Per Line'!$F$2:$F$1001,$Y246)&amp;"")</f>
        <v/>
      </c>
      <c r="D246">
        <f>IF($Y246="","",INDEX('Per Line'!$A$2:$A$1001,$Y246)&amp;"")</f>
        <v/>
      </c>
      <c r="E246">
        <f>IF($Y246="","",INDEX('Per Line'!$B$2:$B$1001,$Y246))</f>
        <v/>
      </c>
      <c r="F246">
        <f>IF($Y246="","",INDEX('Per Line'!$G$2:$G$1001,$Y246)&amp;"")</f>
        <v/>
      </c>
      <c r="G246" s="11">
        <f>IF($Y246="","",INDEX('Per Line'!$H$2:$H$1001,$Y246))</f>
        <v/>
      </c>
      <c r="H246">
        <f>IF($Y246="","",INDEX('Per Line'!$K$2:$K$1001,$Y246)&amp;"")</f>
        <v/>
      </c>
      <c r="I246">
        <f>IF($Y246="","",INDEX('Per Line'!$L$2:$L$1001,$Y246)&amp;"")</f>
        <v/>
      </c>
      <c r="J246">
        <f>IF($Y246="","",INDEX('Per Line'!$M$2:$M$1001,$Y246)&amp;"")</f>
        <v/>
      </c>
      <c r="K246">
        <f>IF($Y246="","",INDEX('Per Line'!$Q$2:$Q$1001,$Y246))</f>
        <v/>
      </c>
      <c r="L246" s="7">
        <f>IF($Y246="","",K246*W246/100)</f>
        <v/>
      </c>
      <c r="M246">
        <f>IF($Y246="","",INDEX('Per Line'!$AD$2:$AD$1001,$Y246)&amp;"")</f>
        <v/>
      </c>
      <c r="N246" s="7">
        <f>IF($Y246="","",SUMIFS('Per Line'!$Z$2:$Z$1001,'Per Line'!$E$2:$E$1001,$B246,'Per Line'!$AR$2:$AR$1001,1))</f>
        <v/>
      </c>
      <c r="O246">
        <f>IF($Y246="","",Settings!$C$7)</f>
        <v/>
      </c>
      <c r="P246" s="7">
        <f>IF($Y246="","",SUMIFS('Per Line'!$Z$2:$Z$1001,'Per Line'!$E$2:$E$1001,$B246,'Per Line'!$AQ$2:$AQ$1001,0,'Per Line'!$AR$2:$AR$1001,0))</f>
        <v/>
      </c>
      <c r="Q246" s="7">
        <f>IF($Y246="","",P246*O246)</f>
        <v/>
      </c>
      <c r="R246">
        <f>IF($Y246="","",Settings!$C$6)</f>
        <v/>
      </c>
      <c r="S246" s="7">
        <f>IF($Y246="","",SUMIFS('Per Line'!$Z$2:$Z$1001,'Per Line'!$E$2:$E$1001,$B246,'Per Line'!$AQ$2:$AQ$1001,1,'Per Line'!$AR$2:$AR$1001,0))</f>
        <v/>
      </c>
      <c r="T246" s="7">
        <f>IF($Y246="","",S246*R246)</f>
        <v/>
      </c>
      <c r="U246" s="7">
        <f>IF($Y246="","",T246+Q246)</f>
        <v/>
      </c>
      <c r="V246" s="7">
        <f>IF($Y246="","",W246-U246)</f>
        <v/>
      </c>
      <c r="W246" s="7">
        <f>IF($Y246="","",P246+S246+N246)</f>
        <v/>
      </c>
      <c r="X246" s="7">
        <f>IF($Y246="","",W246-U246-L246)</f>
        <v/>
      </c>
      <c r="Y246" s="13">
        <f>IF(ROWS($Y$2:$Y246)&lt;=MAX('Per Line'!$AP$2:$AP$1001),MATCH(ROWS($Y$2:$Y246),'Per Line'!$AP$2:$AP$1001,0),"")</f>
        <v/>
      </c>
    </row>
    <row r="247">
      <c r="A247" s="12" t="n"/>
      <c r="B247">
        <f>IF($Y247="","",INDEX('Per Line'!$E$2:$E$1001,$Y247)&amp;"")</f>
        <v/>
      </c>
      <c r="C247">
        <f>IF($Y247="","",INDEX('Per Line'!$F$2:$F$1001,$Y247)&amp;"")</f>
        <v/>
      </c>
      <c r="D247">
        <f>IF($Y247="","",INDEX('Per Line'!$A$2:$A$1001,$Y247)&amp;"")</f>
        <v/>
      </c>
      <c r="E247">
        <f>IF($Y247="","",INDEX('Per Line'!$B$2:$B$1001,$Y247))</f>
        <v/>
      </c>
      <c r="F247">
        <f>IF($Y247="","",INDEX('Per Line'!$G$2:$G$1001,$Y247)&amp;"")</f>
        <v/>
      </c>
      <c r="G247" s="11">
        <f>IF($Y247="","",INDEX('Per Line'!$H$2:$H$1001,$Y247))</f>
        <v/>
      </c>
      <c r="H247">
        <f>IF($Y247="","",INDEX('Per Line'!$K$2:$K$1001,$Y247)&amp;"")</f>
        <v/>
      </c>
      <c r="I247">
        <f>IF($Y247="","",INDEX('Per Line'!$L$2:$L$1001,$Y247)&amp;"")</f>
        <v/>
      </c>
      <c r="J247">
        <f>IF($Y247="","",INDEX('Per Line'!$M$2:$M$1001,$Y247)&amp;"")</f>
        <v/>
      </c>
      <c r="K247">
        <f>IF($Y247="","",INDEX('Per Line'!$Q$2:$Q$1001,$Y247))</f>
        <v/>
      </c>
      <c r="L247" s="7">
        <f>IF($Y247="","",K247*W247/100)</f>
        <v/>
      </c>
      <c r="M247">
        <f>IF($Y247="","",INDEX('Per Line'!$AD$2:$AD$1001,$Y247)&amp;"")</f>
        <v/>
      </c>
      <c r="N247" s="7">
        <f>IF($Y247="","",SUMIFS('Per Line'!$Z$2:$Z$1001,'Per Line'!$E$2:$E$1001,$B247,'Per Line'!$AR$2:$AR$1001,1))</f>
        <v/>
      </c>
      <c r="O247">
        <f>IF($Y247="","",Settings!$C$7)</f>
        <v/>
      </c>
      <c r="P247" s="7">
        <f>IF($Y247="","",SUMIFS('Per Line'!$Z$2:$Z$1001,'Per Line'!$E$2:$E$1001,$B247,'Per Line'!$AQ$2:$AQ$1001,0,'Per Line'!$AR$2:$AR$1001,0))</f>
        <v/>
      </c>
      <c r="Q247" s="7">
        <f>IF($Y247="","",P247*O247)</f>
        <v/>
      </c>
      <c r="R247">
        <f>IF($Y247="","",Settings!$C$6)</f>
        <v/>
      </c>
      <c r="S247" s="7">
        <f>IF($Y247="","",SUMIFS('Per Line'!$Z$2:$Z$1001,'Per Line'!$E$2:$E$1001,$B247,'Per Line'!$AQ$2:$AQ$1001,1,'Per Line'!$AR$2:$AR$1001,0))</f>
        <v/>
      </c>
      <c r="T247" s="7">
        <f>IF($Y247="","",S247*R247)</f>
        <v/>
      </c>
      <c r="U247" s="7">
        <f>IF($Y247="","",T247+Q247)</f>
        <v/>
      </c>
      <c r="V247" s="7">
        <f>IF($Y247="","",W247-U247)</f>
        <v/>
      </c>
      <c r="W247" s="7">
        <f>IF($Y247="","",P247+S247+N247)</f>
        <v/>
      </c>
      <c r="X247" s="7">
        <f>IF($Y247="","",W247-U247-L247)</f>
        <v/>
      </c>
      <c r="Y247" s="13">
        <f>IF(ROWS($Y$2:$Y247)&lt;=MAX('Per Line'!$AP$2:$AP$1001),MATCH(ROWS($Y$2:$Y247),'Per Line'!$AP$2:$AP$1001,0),"")</f>
        <v/>
      </c>
    </row>
    <row r="248">
      <c r="A248" s="12" t="n"/>
      <c r="B248">
        <f>IF($Y248="","",INDEX('Per Line'!$E$2:$E$1001,$Y248)&amp;"")</f>
        <v/>
      </c>
      <c r="C248">
        <f>IF($Y248="","",INDEX('Per Line'!$F$2:$F$1001,$Y248)&amp;"")</f>
        <v/>
      </c>
      <c r="D248">
        <f>IF($Y248="","",INDEX('Per Line'!$A$2:$A$1001,$Y248)&amp;"")</f>
        <v/>
      </c>
      <c r="E248">
        <f>IF($Y248="","",INDEX('Per Line'!$B$2:$B$1001,$Y248))</f>
        <v/>
      </c>
      <c r="F248">
        <f>IF($Y248="","",INDEX('Per Line'!$G$2:$G$1001,$Y248)&amp;"")</f>
        <v/>
      </c>
      <c r="G248" s="11">
        <f>IF($Y248="","",INDEX('Per Line'!$H$2:$H$1001,$Y248))</f>
        <v/>
      </c>
      <c r="H248">
        <f>IF($Y248="","",INDEX('Per Line'!$K$2:$K$1001,$Y248)&amp;"")</f>
        <v/>
      </c>
      <c r="I248">
        <f>IF($Y248="","",INDEX('Per Line'!$L$2:$L$1001,$Y248)&amp;"")</f>
        <v/>
      </c>
      <c r="J248">
        <f>IF($Y248="","",INDEX('Per Line'!$M$2:$M$1001,$Y248)&amp;"")</f>
        <v/>
      </c>
      <c r="K248">
        <f>IF($Y248="","",INDEX('Per Line'!$Q$2:$Q$1001,$Y248))</f>
        <v/>
      </c>
      <c r="L248" s="7">
        <f>IF($Y248="","",K248*W248/100)</f>
        <v/>
      </c>
      <c r="M248">
        <f>IF($Y248="","",INDEX('Per Line'!$AD$2:$AD$1001,$Y248)&amp;"")</f>
        <v/>
      </c>
      <c r="N248" s="7">
        <f>IF($Y248="","",SUMIFS('Per Line'!$Z$2:$Z$1001,'Per Line'!$E$2:$E$1001,$B248,'Per Line'!$AR$2:$AR$1001,1))</f>
        <v/>
      </c>
      <c r="O248">
        <f>IF($Y248="","",Settings!$C$7)</f>
        <v/>
      </c>
      <c r="P248" s="7">
        <f>IF($Y248="","",SUMIFS('Per Line'!$Z$2:$Z$1001,'Per Line'!$E$2:$E$1001,$B248,'Per Line'!$AQ$2:$AQ$1001,0,'Per Line'!$AR$2:$AR$1001,0))</f>
        <v/>
      </c>
      <c r="Q248" s="7">
        <f>IF($Y248="","",P248*O248)</f>
        <v/>
      </c>
      <c r="R248">
        <f>IF($Y248="","",Settings!$C$6)</f>
        <v/>
      </c>
      <c r="S248" s="7">
        <f>IF($Y248="","",SUMIFS('Per Line'!$Z$2:$Z$1001,'Per Line'!$E$2:$E$1001,$B248,'Per Line'!$AQ$2:$AQ$1001,1,'Per Line'!$AR$2:$AR$1001,0))</f>
        <v/>
      </c>
      <c r="T248" s="7">
        <f>IF($Y248="","",S248*R248)</f>
        <v/>
      </c>
      <c r="U248" s="7">
        <f>IF($Y248="","",T248+Q248)</f>
        <v/>
      </c>
      <c r="V248" s="7">
        <f>IF($Y248="","",W248-U248)</f>
        <v/>
      </c>
      <c r="W248" s="7">
        <f>IF($Y248="","",P248+S248+N248)</f>
        <v/>
      </c>
      <c r="X248" s="7">
        <f>IF($Y248="","",W248-U248-L248)</f>
        <v/>
      </c>
      <c r="Y248" s="13">
        <f>IF(ROWS($Y$2:$Y248)&lt;=MAX('Per Line'!$AP$2:$AP$1001),MATCH(ROWS($Y$2:$Y248),'Per Line'!$AP$2:$AP$1001,0),"")</f>
        <v/>
      </c>
    </row>
    <row r="249">
      <c r="A249" s="12" t="n"/>
      <c r="B249">
        <f>IF($Y249="","",INDEX('Per Line'!$E$2:$E$1001,$Y249)&amp;"")</f>
        <v/>
      </c>
      <c r="C249">
        <f>IF($Y249="","",INDEX('Per Line'!$F$2:$F$1001,$Y249)&amp;"")</f>
        <v/>
      </c>
      <c r="D249">
        <f>IF($Y249="","",INDEX('Per Line'!$A$2:$A$1001,$Y249)&amp;"")</f>
        <v/>
      </c>
      <c r="E249">
        <f>IF($Y249="","",INDEX('Per Line'!$B$2:$B$1001,$Y249))</f>
        <v/>
      </c>
      <c r="F249">
        <f>IF($Y249="","",INDEX('Per Line'!$G$2:$G$1001,$Y249)&amp;"")</f>
        <v/>
      </c>
      <c r="G249" s="11">
        <f>IF($Y249="","",INDEX('Per Line'!$H$2:$H$1001,$Y249))</f>
        <v/>
      </c>
      <c r="H249">
        <f>IF($Y249="","",INDEX('Per Line'!$K$2:$K$1001,$Y249)&amp;"")</f>
        <v/>
      </c>
      <c r="I249">
        <f>IF($Y249="","",INDEX('Per Line'!$L$2:$L$1001,$Y249)&amp;"")</f>
        <v/>
      </c>
      <c r="J249">
        <f>IF($Y249="","",INDEX('Per Line'!$M$2:$M$1001,$Y249)&amp;"")</f>
        <v/>
      </c>
      <c r="K249">
        <f>IF($Y249="","",INDEX('Per Line'!$Q$2:$Q$1001,$Y249))</f>
        <v/>
      </c>
      <c r="L249" s="7">
        <f>IF($Y249="","",K249*W249/100)</f>
        <v/>
      </c>
      <c r="M249">
        <f>IF($Y249="","",INDEX('Per Line'!$AD$2:$AD$1001,$Y249)&amp;"")</f>
        <v/>
      </c>
      <c r="N249" s="7">
        <f>IF($Y249="","",SUMIFS('Per Line'!$Z$2:$Z$1001,'Per Line'!$E$2:$E$1001,$B249,'Per Line'!$AR$2:$AR$1001,1))</f>
        <v/>
      </c>
      <c r="O249">
        <f>IF($Y249="","",Settings!$C$7)</f>
        <v/>
      </c>
      <c r="P249" s="7">
        <f>IF($Y249="","",SUMIFS('Per Line'!$Z$2:$Z$1001,'Per Line'!$E$2:$E$1001,$B249,'Per Line'!$AQ$2:$AQ$1001,0,'Per Line'!$AR$2:$AR$1001,0))</f>
        <v/>
      </c>
      <c r="Q249" s="7">
        <f>IF($Y249="","",P249*O249)</f>
        <v/>
      </c>
      <c r="R249">
        <f>IF($Y249="","",Settings!$C$6)</f>
        <v/>
      </c>
      <c r="S249" s="7">
        <f>IF($Y249="","",SUMIFS('Per Line'!$Z$2:$Z$1001,'Per Line'!$E$2:$E$1001,$B249,'Per Line'!$AQ$2:$AQ$1001,1,'Per Line'!$AR$2:$AR$1001,0))</f>
        <v/>
      </c>
      <c r="T249" s="7">
        <f>IF($Y249="","",S249*R249)</f>
        <v/>
      </c>
      <c r="U249" s="7">
        <f>IF($Y249="","",T249+Q249)</f>
        <v/>
      </c>
      <c r="V249" s="7">
        <f>IF($Y249="","",W249-U249)</f>
        <v/>
      </c>
      <c r="W249" s="7">
        <f>IF($Y249="","",P249+S249+N249)</f>
        <v/>
      </c>
      <c r="X249" s="7">
        <f>IF($Y249="","",W249-U249-L249)</f>
        <v/>
      </c>
      <c r="Y249" s="13">
        <f>IF(ROWS($Y$2:$Y249)&lt;=MAX('Per Line'!$AP$2:$AP$1001),MATCH(ROWS($Y$2:$Y249),'Per Line'!$AP$2:$AP$1001,0),"")</f>
        <v/>
      </c>
    </row>
    <row r="250">
      <c r="A250" s="12" t="n"/>
      <c r="B250">
        <f>IF($Y250="","",INDEX('Per Line'!$E$2:$E$1001,$Y250)&amp;"")</f>
        <v/>
      </c>
      <c r="C250">
        <f>IF($Y250="","",INDEX('Per Line'!$F$2:$F$1001,$Y250)&amp;"")</f>
        <v/>
      </c>
      <c r="D250">
        <f>IF($Y250="","",INDEX('Per Line'!$A$2:$A$1001,$Y250)&amp;"")</f>
        <v/>
      </c>
      <c r="E250">
        <f>IF($Y250="","",INDEX('Per Line'!$B$2:$B$1001,$Y250))</f>
        <v/>
      </c>
      <c r="F250">
        <f>IF($Y250="","",INDEX('Per Line'!$G$2:$G$1001,$Y250)&amp;"")</f>
        <v/>
      </c>
      <c r="G250" s="11">
        <f>IF($Y250="","",INDEX('Per Line'!$H$2:$H$1001,$Y250))</f>
        <v/>
      </c>
      <c r="H250">
        <f>IF($Y250="","",INDEX('Per Line'!$K$2:$K$1001,$Y250)&amp;"")</f>
        <v/>
      </c>
      <c r="I250">
        <f>IF($Y250="","",INDEX('Per Line'!$L$2:$L$1001,$Y250)&amp;"")</f>
        <v/>
      </c>
      <c r="J250">
        <f>IF($Y250="","",INDEX('Per Line'!$M$2:$M$1001,$Y250)&amp;"")</f>
        <v/>
      </c>
      <c r="K250">
        <f>IF($Y250="","",INDEX('Per Line'!$Q$2:$Q$1001,$Y250))</f>
        <v/>
      </c>
      <c r="L250" s="7">
        <f>IF($Y250="","",K250*W250/100)</f>
        <v/>
      </c>
      <c r="M250">
        <f>IF($Y250="","",INDEX('Per Line'!$AD$2:$AD$1001,$Y250)&amp;"")</f>
        <v/>
      </c>
      <c r="N250" s="7">
        <f>IF($Y250="","",SUMIFS('Per Line'!$Z$2:$Z$1001,'Per Line'!$E$2:$E$1001,$B250,'Per Line'!$AR$2:$AR$1001,1))</f>
        <v/>
      </c>
      <c r="O250">
        <f>IF($Y250="","",Settings!$C$7)</f>
        <v/>
      </c>
      <c r="P250" s="7">
        <f>IF($Y250="","",SUMIFS('Per Line'!$Z$2:$Z$1001,'Per Line'!$E$2:$E$1001,$B250,'Per Line'!$AQ$2:$AQ$1001,0,'Per Line'!$AR$2:$AR$1001,0))</f>
        <v/>
      </c>
      <c r="Q250" s="7">
        <f>IF($Y250="","",P250*O250)</f>
        <v/>
      </c>
      <c r="R250">
        <f>IF($Y250="","",Settings!$C$6)</f>
        <v/>
      </c>
      <c r="S250" s="7">
        <f>IF($Y250="","",SUMIFS('Per Line'!$Z$2:$Z$1001,'Per Line'!$E$2:$E$1001,$B250,'Per Line'!$AQ$2:$AQ$1001,1,'Per Line'!$AR$2:$AR$1001,0))</f>
        <v/>
      </c>
      <c r="T250" s="7">
        <f>IF($Y250="","",S250*R250)</f>
        <v/>
      </c>
      <c r="U250" s="7">
        <f>IF($Y250="","",T250+Q250)</f>
        <v/>
      </c>
      <c r="V250" s="7">
        <f>IF($Y250="","",W250-U250)</f>
        <v/>
      </c>
      <c r="W250" s="7">
        <f>IF($Y250="","",P250+S250+N250)</f>
        <v/>
      </c>
      <c r="X250" s="7">
        <f>IF($Y250="","",W250-U250-L250)</f>
        <v/>
      </c>
      <c r="Y250" s="13">
        <f>IF(ROWS($Y$2:$Y250)&lt;=MAX('Per Line'!$AP$2:$AP$1001),MATCH(ROWS($Y$2:$Y250),'Per Line'!$AP$2:$AP$1001,0),"")</f>
        <v/>
      </c>
    </row>
    <row r="251">
      <c r="A251" s="12" t="n"/>
      <c r="B251">
        <f>IF($Y251="","",INDEX('Per Line'!$E$2:$E$1001,$Y251)&amp;"")</f>
        <v/>
      </c>
      <c r="C251">
        <f>IF($Y251="","",INDEX('Per Line'!$F$2:$F$1001,$Y251)&amp;"")</f>
        <v/>
      </c>
      <c r="D251">
        <f>IF($Y251="","",INDEX('Per Line'!$A$2:$A$1001,$Y251)&amp;"")</f>
        <v/>
      </c>
      <c r="E251">
        <f>IF($Y251="","",INDEX('Per Line'!$B$2:$B$1001,$Y251))</f>
        <v/>
      </c>
      <c r="F251">
        <f>IF($Y251="","",INDEX('Per Line'!$G$2:$G$1001,$Y251)&amp;"")</f>
        <v/>
      </c>
      <c r="G251" s="11">
        <f>IF($Y251="","",INDEX('Per Line'!$H$2:$H$1001,$Y251))</f>
        <v/>
      </c>
      <c r="H251">
        <f>IF($Y251="","",INDEX('Per Line'!$K$2:$K$1001,$Y251)&amp;"")</f>
        <v/>
      </c>
      <c r="I251">
        <f>IF($Y251="","",INDEX('Per Line'!$L$2:$L$1001,$Y251)&amp;"")</f>
        <v/>
      </c>
      <c r="J251">
        <f>IF($Y251="","",INDEX('Per Line'!$M$2:$M$1001,$Y251)&amp;"")</f>
        <v/>
      </c>
      <c r="K251">
        <f>IF($Y251="","",INDEX('Per Line'!$Q$2:$Q$1001,$Y251))</f>
        <v/>
      </c>
      <c r="L251" s="7">
        <f>IF($Y251="","",K251*W251/100)</f>
        <v/>
      </c>
      <c r="M251">
        <f>IF($Y251="","",INDEX('Per Line'!$AD$2:$AD$1001,$Y251)&amp;"")</f>
        <v/>
      </c>
      <c r="N251" s="7">
        <f>IF($Y251="","",SUMIFS('Per Line'!$Z$2:$Z$1001,'Per Line'!$E$2:$E$1001,$B251,'Per Line'!$AR$2:$AR$1001,1))</f>
        <v/>
      </c>
      <c r="O251">
        <f>IF($Y251="","",Settings!$C$7)</f>
        <v/>
      </c>
      <c r="P251" s="7">
        <f>IF($Y251="","",SUMIFS('Per Line'!$Z$2:$Z$1001,'Per Line'!$E$2:$E$1001,$B251,'Per Line'!$AQ$2:$AQ$1001,0,'Per Line'!$AR$2:$AR$1001,0))</f>
        <v/>
      </c>
      <c r="Q251" s="7">
        <f>IF($Y251="","",P251*O251)</f>
        <v/>
      </c>
      <c r="R251">
        <f>IF($Y251="","",Settings!$C$6)</f>
        <v/>
      </c>
      <c r="S251" s="7">
        <f>IF($Y251="","",SUMIFS('Per Line'!$Z$2:$Z$1001,'Per Line'!$E$2:$E$1001,$B251,'Per Line'!$AQ$2:$AQ$1001,1,'Per Line'!$AR$2:$AR$1001,0))</f>
        <v/>
      </c>
      <c r="T251" s="7">
        <f>IF($Y251="","",S251*R251)</f>
        <v/>
      </c>
      <c r="U251" s="7">
        <f>IF($Y251="","",T251+Q251)</f>
        <v/>
      </c>
      <c r="V251" s="7">
        <f>IF($Y251="","",W251-U251)</f>
        <v/>
      </c>
      <c r="W251" s="7">
        <f>IF($Y251="","",P251+S251+N251)</f>
        <v/>
      </c>
      <c r="X251" s="7">
        <f>IF($Y251="","",W251-U251-L251)</f>
        <v/>
      </c>
      <c r="Y251" s="13">
        <f>IF(ROWS($Y$2:$Y251)&lt;=MAX('Per Line'!$AP$2:$AP$1001),MATCH(ROWS($Y$2:$Y251),'Per Line'!$AP$2:$AP$1001,0),"")</f>
        <v/>
      </c>
    </row>
    <row r="252">
      <c r="A252" s="12" t="n"/>
      <c r="B252">
        <f>IF($Y252="","",INDEX('Per Line'!$E$2:$E$1001,$Y252)&amp;"")</f>
        <v/>
      </c>
      <c r="C252">
        <f>IF($Y252="","",INDEX('Per Line'!$F$2:$F$1001,$Y252)&amp;"")</f>
        <v/>
      </c>
      <c r="D252">
        <f>IF($Y252="","",INDEX('Per Line'!$A$2:$A$1001,$Y252)&amp;"")</f>
        <v/>
      </c>
      <c r="E252">
        <f>IF($Y252="","",INDEX('Per Line'!$B$2:$B$1001,$Y252))</f>
        <v/>
      </c>
      <c r="F252">
        <f>IF($Y252="","",INDEX('Per Line'!$G$2:$G$1001,$Y252)&amp;"")</f>
        <v/>
      </c>
      <c r="G252" s="11">
        <f>IF($Y252="","",INDEX('Per Line'!$H$2:$H$1001,$Y252))</f>
        <v/>
      </c>
      <c r="H252">
        <f>IF($Y252="","",INDEX('Per Line'!$K$2:$K$1001,$Y252)&amp;"")</f>
        <v/>
      </c>
      <c r="I252">
        <f>IF($Y252="","",INDEX('Per Line'!$L$2:$L$1001,$Y252)&amp;"")</f>
        <v/>
      </c>
      <c r="J252">
        <f>IF($Y252="","",INDEX('Per Line'!$M$2:$M$1001,$Y252)&amp;"")</f>
        <v/>
      </c>
      <c r="K252">
        <f>IF($Y252="","",INDEX('Per Line'!$Q$2:$Q$1001,$Y252))</f>
        <v/>
      </c>
      <c r="L252" s="7">
        <f>IF($Y252="","",K252*W252/100)</f>
        <v/>
      </c>
      <c r="M252">
        <f>IF($Y252="","",INDEX('Per Line'!$AD$2:$AD$1001,$Y252)&amp;"")</f>
        <v/>
      </c>
      <c r="N252" s="7">
        <f>IF($Y252="","",SUMIFS('Per Line'!$Z$2:$Z$1001,'Per Line'!$E$2:$E$1001,$B252,'Per Line'!$AR$2:$AR$1001,1))</f>
        <v/>
      </c>
      <c r="O252">
        <f>IF($Y252="","",Settings!$C$7)</f>
        <v/>
      </c>
      <c r="P252" s="7">
        <f>IF($Y252="","",SUMIFS('Per Line'!$Z$2:$Z$1001,'Per Line'!$E$2:$E$1001,$B252,'Per Line'!$AQ$2:$AQ$1001,0,'Per Line'!$AR$2:$AR$1001,0))</f>
        <v/>
      </c>
      <c r="Q252" s="7">
        <f>IF($Y252="","",P252*O252)</f>
        <v/>
      </c>
      <c r="R252">
        <f>IF($Y252="","",Settings!$C$6)</f>
        <v/>
      </c>
      <c r="S252" s="7">
        <f>IF($Y252="","",SUMIFS('Per Line'!$Z$2:$Z$1001,'Per Line'!$E$2:$E$1001,$B252,'Per Line'!$AQ$2:$AQ$1001,1,'Per Line'!$AR$2:$AR$1001,0))</f>
        <v/>
      </c>
      <c r="T252" s="7">
        <f>IF($Y252="","",S252*R252)</f>
        <v/>
      </c>
      <c r="U252" s="7">
        <f>IF($Y252="","",T252+Q252)</f>
        <v/>
      </c>
      <c r="V252" s="7">
        <f>IF($Y252="","",W252-U252)</f>
        <v/>
      </c>
      <c r="W252" s="7">
        <f>IF($Y252="","",P252+S252+N252)</f>
        <v/>
      </c>
      <c r="X252" s="7">
        <f>IF($Y252="","",W252-U252-L252)</f>
        <v/>
      </c>
      <c r="Y252" s="13">
        <f>IF(ROWS($Y$2:$Y252)&lt;=MAX('Per Line'!$AP$2:$AP$1001),MATCH(ROWS($Y$2:$Y252),'Per Line'!$AP$2:$AP$1001,0),"")</f>
        <v/>
      </c>
    </row>
    <row r="253">
      <c r="A253" s="12" t="n"/>
      <c r="B253">
        <f>IF($Y253="","",INDEX('Per Line'!$E$2:$E$1001,$Y253)&amp;"")</f>
        <v/>
      </c>
      <c r="C253">
        <f>IF($Y253="","",INDEX('Per Line'!$F$2:$F$1001,$Y253)&amp;"")</f>
        <v/>
      </c>
      <c r="D253">
        <f>IF($Y253="","",INDEX('Per Line'!$A$2:$A$1001,$Y253)&amp;"")</f>
        <v/>
      </c>
      <c r="E253">
        <f>IF($Y253="","",INDEX('Per Line'!$B$2:$B$1001,$Y253))</f>
        <v/>
      </c>
      <c r="F253">
        <f>IF($Y253="","",INDEX('Per Line'!$G$2:$G$1001,$Y253)&amp;"")</f>
        <v/>
      </c>
      <c r="G253" s="11">
        <f>IF($Y253="","",INDEX('Per Line'!$H$2:$H$1001,$Y253))</f>
        <v/>
      </c>
      <c r="H253">
        <f>IF($Y253="","",INDEX('Per Line'!$K$2:$K$1001,$Y253)&amp;"")</f>
        <v/>
      </c>
      <c r="I253">
        <f>IF($Y253="","",INDEX('Per Line'!$L$2:$L$1001,$Y253)&amp;"")</f>
        <v/>
      </c>
      <c r="J253">
        <f>IF($Y253="","",INDEX('Per Line'!$M$2:$M$1001,$Y253)&amp;"")</f>
        <v/>
      </c>
      <c r="K253">
        <f>IF($Y253="","",INDEX('Per Line'!$Q$2:$Q$1001,$Y253))</f>
        <v/>
      </c>
      <c r="L253" s="7">
        <f>IF($Y253="","",K253*W253/100)</f>
        <v/>
      </c>
      <c r="M253">
        <f>IF($Y253="","",INDEX('Per Line'!$AD$2:$AD$1001,$Y253)&amp;"")</f>
        <v/>
      </c>
      <c r="N253" s="7">
        <f>IF($Y253="","",SUMIFS('Per Line'!$Z$2:$Z$1001,'Per Line'!$E$2:$E$1001,$B253,'Per Line'!$AR$2:$AR$1001,1))</f>
        <v/>
      </c>
      <c r="O253">
        <f>IF($Y253="","",Settings!$C$7)</f>
        <v/>
      </c>
      <c r="P253" s="7">
        <f>IF($Y253="","",SUMIFS('Per Line'!$Z$2:$Z$1001,'Per Line'!$E$2:$E$1001,$B253,'Per Line'!$AQ$2:$AQ$1001,0,'Per Line'!$AR$2:$AR$1001,0))</f>
        <v/>
      </c>
      <c r="Q253" s="7">
        <f>IF($Y253="","",P253*O253)</f>
        <v/>
      </c>
      <c r="R253">
        <f>IF($Y253="","",Settings!$C$6)</f>
        <v/>
      </c>
      <c r="S253" s="7">
        <f>IF($Y253="","",SUMIFS('Per Line'!$Z$2:$Z$1001,'Per Line'!$E$2:$E$1001,$B253,'Per Line'!$AQ$2:$AQ$1001,1,'Per Line'!$AR$2:$AR$1001,0))</f>
        <v/>
      </c>
      <c r="T253" s="7">
        <f>IF($Y253="","",S253*R253)</f>
        <v/>
      </c>
      <c r="U253" s="7">
        <f>IF($Y253="","",T253+Q253)</f>
        <v/>
      </c>
      <c r="V253" s="7">
        <f>IF($Y253="","",W253-U253)</f>
        <v/>
      </c>
      <c r="W253" s="7">
        <f>IF($Y253="","",P253+S253+N253)</f>
        <v/>
      </c>
      <c r="X253" s="7">
        <f>IF($Y253="","",W253-U253-L253)</f>
        <v/>
      </c>
      <c r="Y253" s="13">
        <f>IF(ROWS($Y$2:$Y253)&lt;=MAX('Per Line'!$AP$2:$AP$1001),MATCH(ROWS($Y$2:$Y253),'Per Line'!$AP$2:$AP$1001,0),"")</f>
        <v/>
      </c>
    </row>
    <row r="254">
      <c r="A254" s="12" t="n"/>
      <c r="B254">
        <f>IF($Y254="","",INDEX('Per Line'!$E$2:$E$1001,$Y254)&amp;"")</f>
        <v/>
      </c>
      <c r="C254">
        <f>IF($Y254="","",INDEX('Per Line'!$F$2:$F$1001,$Y254)&amp;"")</f>
        <v/>
      </c>
      <c r="D254">
        <f>IF($Y254="","",INDEX('Per Line'!$A$2:$A$1001,$Y254)&amp;"")</f>
        <v/>
      </c>
      <c r="E254">
        <f>IF($Y254="","",INDEX('Per Line'!$B$2:$B$1001,$Y254))</f>
        <v/>
      </c>
      <c r="F254">
        <f>IF($Y254="","",INDEX('Per Line'!$G$2:$G$1001,$Y254)&amp;"")</f>
        <v/>
      </c>
      <c r="G254" s="11">
        <f>IF($Y254="","",INDEX('Per Line'!$H$2:$H$1001,$Y254))</f>
        <v/>
      </c>
      <c r="H254">
        <f>IF($Y254="","",INDEX('Per Line'!$K$2:$K$1001,$Y254)&amp;"")</f>
        <v/>
      </c>
      <c r="I254">
        <f>IF($Y254="","",INDEX('Per Line'!$L$2:$L$1001,$Y254)&amp;"")</f>
        <v/>
      </c>
      <c r="J254">
        <f>IF($Y254="","",INDEX('Per Line'!$M$2:$M$1001,$Y254)&amp;"")</f>
        <v/>
      </c>
      <c r="K254">
        <f>IF($Y254="","",INDEX('Per Line'!$Q$2:$Q$1001,$Y254))</f>
        <v/>
      </c>
      <c r="L254" s="7">
        <f>IF($Y254="","",K254*W254/100)</f>
        <v/>
      </c>
      <c r="M254">
        <f>IF($Y254="","",INDEX('Per Line'!$AD$2:$AD$1001,$Y254)&amp;"")</f>
        <v/>
      </c>
      <c r="N254" s="7">
        <f>IF($Y254="","",SUMIFS('Per Line'!$Z$2:$Z$1001,'Per Line'!$E$2:$E$1001,$B254,'Per Line'!$AR$2:$AR$1001,1))</f>
        <v/>
      </c>
      <c r="O254">
        <f>IF($Y254="","",Settings!$C$7)</f>
        <v/>
      </c>
      <c r="P254" s="7">
        <f>IF($Y254="","",SUMIFS('Per Line'!$Z$2:$Z$1001,'Per Line'!$E$2:$E$1001,$B254,'Per Line'!$AQ$2:$AQ$1001,0,'Per Line'!$AR$2:$AR$1001,0))</f>
        <v/>
      </c>
      <c r="Q254" s="7">
        <f>IF($Y254="","",P254*O254)</f>
        <v/>
      </c>
      <c r="R254">
        <f>IF($Y254="","",Settings!$C$6)</f>
        <v/>
      </c>
      <c r="S254" s="7">
        <f>IF($Y254="","",SUMIFS('Per Line'!$Z$2:$Z$1001,'Per Line'!$E$2:$E$1001,$B254,'Per Line'!$AQ$2:$AQ$1001,1,'Per Line'!$AR$2:$AR$1001,0))</f>
        <v/>
      </c>
      <c r="T254" s="7">
        <f>IF($Y254="","",S254*R254)</f>
        <v/>
      </c>
      <c r="U254" s="7">
        <f>IF($Y254="","",T254+Q254)</f>
        <v/>
      </c>
      <c r="V254" s="7">
        <f>IF($Y254="","",W254-U254)</f>
        <v/>
      </c>
      <c r="W254" s="7">
        <f>IF($Y254="","",P254+S254+N254)</f>
        <v/>
      </c>
      <c r="X254" s="7">
        <f>IF($Y254="","",W254-U254-L254)</f>
        <v/>
      </c>
      <c r="Y254" s="13">
        <f>IF(ROWS($Y$2:$Y254)&lt;=MAX('Per Line'!$AP$2:$AP$1001),MATCH(ROWS($Y$2:$Y254),'Per Line'!$AP$2:$AP$1001,0),"")</f>
        <v/>
      </c>
    </row>
    <row r="255">
      <c r="A255" s="12" t="n"/>
      <c r="B255">
        <f>IF($Y255="","",INDEX('Per Line'!$E$2:$E$1001,$Y255)&amp;"")</f>
        <v/>
      </c>
      <c r="C255">
        <f>IF($Y255="","",INDEX('Per Line'!$F$2:$F$1001,$Y255)&amp;"")</f>
        <v/>
      </c>
      <c r="D255">
        <f>IF($Y255="","",INDEX('Per Line'!$A$2:$A$1001,$Y255)&amp;"")</f>
        <v/>
      </c>
      <c r="E255">
        <f>IF($Y255="","",INDEX('Per Line'!$B$2:$B$1001,$Y255))</f>
        <v/>
      </c>
      <c r="F255">
        <f>IF($Y255="","",INDEX('Per Line'!$G$2:$G$1001,$Y255)&amp;"")</f>
        <v/>
      </c>
      <c r="G255" s="11">
        <f>IF($Y255="","",INDEX('Per Line'!$H$2:$H$1001,$Y255))</f>
        <v/>
      </c>
      <c r="H255">
        <f>IF($Y255="","",INDEX('Per Line'!$K$2:$K$1001,$Y255)&amp;"")</f>
        <v/>
      </c>
      <c r="I255">
        <f>IF($Y255="","",INDEX('Per Line'!$L$2:$L$1001,$Y255)&amp;"")</f>
        <v/>
      </c>
      <c r="J255">
        <f>IF($Y255="","",INDEX('Per Line'!$M$2:$M$1001,$Y255)&amp;"")</f>
        <v/>
      </c>
      <c r="K255">
        <f>IF($Y255="","",INDEX('Per Line'!$Q$2:$Q$1001,$Y255))</f>
        <v/>
      </c>
      <c r="L255" s="7">
        <f>IF($Y255="","",K255*W255/100)</f>
        <v/>
      </c>
      <c r="M255">
        <f>IF($Y255="","",INDEX('Per Line'!$AD$2:$AD$1001,$Y255)&amp;"")</f>
        <v/>
      </c>
      <c r="N255" s="7">
        <f>IF($Y255="","",SUMIFS('Per Line'!$Z$2:$Z$1001,'Per Line'!$E$2:$E$1001,$B255,'Per Line'!$AR$2:$AR$1001,1))</f>
        <v/>
      </c>
      <c r="O255">
        <f>IF($Y255="","",Settings!$C$7)</f>
        <v/>
      </c>
      <c r="P255" s="7">
        <f>IF($Y255="","",SUMIFS('Per Line'!$Z$2:$Z$1001,'Per Line'!$E$2:$E$1001,$B255,'Per Line'!$AQ$2:$AQ$1001,0,'Per Line'!$AR$2:$AR$1001,0))</f>
        <v/>
      </c>
      <c r="Q255" s="7">
        <f>IF($Y255="","",P255*O255)</f>
        <v/>
      </c>
      <c r="R255">
        <f>IF($Y255="","",Settings!$C$6)</f>
        <v/>
      </c>
      <c r="S255" s="7">
        <f>IF($Y255="","",SUMIFS('Per Line'!$Z$2:$Z$1001,'Per Line'!$E$2:$E$1001,$B255,'Per Line'!$AQ$2:$AQ$1001,1,'Per Line'!$AR$2:$AR$1001,0))</f>
        <v/>
      </c>
      <c r="T255" s="7">
        <f>IF($Y255="","",S255*R255)</f>
        <v/>
      </c>
      <c r="U255" s="7">
        <f>IF($Y255="","",T255+Q255)</f>
        <v/>
      </c>
      <c r="V255" s="7">
        <f>IF($Y255="","",W255-U255)</f>
        <v/>
      </c>
      <c r="W255" s="7">
        <f>IF($Y255="","",P255+S255+N255)</f>
        <v/>
      </c>
      <c r="X255" s="7">
        <f>IF($Y255="","",W255-U255-L255)</f>
        <v/>
      </c>
      <c r="Y255" s="13">
        <f>IF(ROWS($Y$2:$Y255)&lt;=MAX('Per Line'!$AP$2:$AP$1001),MATCH(ROWS($Y$2:$Y255),'Per Line'!$AP$2:$AP$1001,0),"")</f>
        <v/>
      </c>
    </row>
    <row r="256">
      <c r="A256" s="12" t="n"/>
      <c r="B256">
        <f>IF($Y256="","",INDEX('Per Line'!$E$2:$E$1001,$Y256)&amp;"")</f>
        <v/>
      </c>
      <c r="C256">
        <f>IF($Y256="","",INDEX('Per Line'!$F$2:$F$1001,$Y256)&amp;"")</f>
        <v/>
      </c>
      <c r="D256">
        <f>IF($Y256="","",INDEX('Per Line'!$A$2:$A$1001,$Y256)&amp;"")</f>
        <v/>
      </c>
      <c r="E256">
        <f>IF($Y256="","",INDEX('Per Line'!$B$2:$B$1001,$Y256))</f>
        <v/>
      </c>
      <c r="F256">
        <f>IF($Y256="","",INDEX('Per Line'!$G$2:$G$1001,$Y256)&amp;"")</f>
        <v/>
      </c>
      <c r="G256" s="11">
        <f>IF($Y256="","",INDEX('Per Line'!$H$2:$H$1001,$Y256))</f>
        <v/>
      </c>
      <c r="H256">
        <f>IF($Y256="","",INDEX('Per Line'!$K$2:$K$1001,$Y256)&amp;"")</f>
        <v/>
      </c>
      <c r="I256">
        <f>IF($Y256="","",INDEX('Per Line'!$L$2:$L$1001,$Y256)&amp;"")</f>
        <v/>
      </c>
      <c r="J256">
        <f>IF($Y256="","",INDEX('Per Line'!$M$2:$M$1001,$Y256)&amp;"")</f>
        <v/>
      </c>
      <c r="K256">
        <f>IF($Y256="","",INDEX('Per Line'!$Q$2:$Q$1001,$Y256))</f>
        <v/>
      </c>
      <c r="L256" s="7">
        <f>IF($Y256="","",K256*W256/100)</f>
        <v/>
      </c>
      <c r="M256">
        <f>IF($Y256="","",INDEX('Per Line'!$AD$2:$AD$1001,$Y256)&amp;"")</f>
        <v/>
      </c>
      <c r="N256" s="7">
        <f>IF($Y256="","",SUMIFS('Per Line'!$Z$2:$Z$1001,'Per Line'!$E$2:$E$1001,$B256,'Per Line'!$AR$2:$AR$1001,1))</f>
        <v/>
      </c>
      <c r="O256">
        <f>IF($Y256="","",Settings!$C$7)</f>
        <v/>
      </c>
      <c r="P256" s="7">
        <f>IF($Y256="","",SUMIFS('Per Line'!$Z$2:$Z$1001,'Per Line'!$E$2:$E$1001,$B256,'Per Line'!$AQ$2:$AQ$1001,0,'Per Line'!$AR$2:$AR$1001,0))</f>
        <v/>
      </c>
      <c r="Q256" s="7">
        <f>IF($Y256="","",P256*O256)</f>
        <v/>
      </c>
      <c r="R256">
        <f>IF($Y256="","",Settings!$C$6)</f>
        <v/>
      </c>
      <c r="S256" s="7">
        <f>IF($Y256="","",SUMIFS('Per Line'!$Z$2:$Z$1001,'Per Line'!$E$2:$E$1001,$B256,'Per Line'!$AQ$2:$AQ$1001,1,'Per Line'!$AR$2:$AR$1001,0))</f>
        <v/>
      </c>
      <c r="T256" s="7">
        <f>IF($Y256="","",S256*R256)</f>
        <v/>
      </c>
      <c r="U256" s="7">
        <f>IF($Y256="","",T256+Q256)</f>
        <v/>
      </c>
      <c r="V256" s="7">
        <f>IF($Y256="","",W256-U256)</f>
        <v/>
      </c>
      <c r="W256" s="7">
        <f>IF($Y256="","",P256+S256+N256)</f>
        <v/>
      </c>
      <c r="X256" s="7">
        <f>IF($Y256="","",W256-U256-L256)</f>
        <v/>
      </c>
      <c r="Y256" s="13">
        <f>IF(ROWS($Y$2:$Y256)&lt;=MAX('Per Line'!$AP$2:$AP$1001),MATCH(ROWS($Y$2:$Y256),'Per Line'!$AP$2:$AP$1001,0),"")</f>
        <v/>
      </c>
    </row>
    <row r="257">
      <c r="A257" s="12" t="n"/>
      <c r="B257">
        <f>IF($Y257="","",INDEX('Per Line'!$E$2:$E$1001,$Y257)&amp;"")</f>
        <v/>
      </c>
      <c r="C257">
        <f>IF($Y257="","",INDEX('Per Line'!$F$2:$F$1001,$Y257)&amp;"")</f>
        <v/>
      </c>
      <c r="D257">
        <f>IF($Y257="","",INDEX('Per Line'!$A$2:$A$1001,$Y257)&amp;"")</f>
        <v/>
      </c>
      <c r="E257">
        <f>IF($Y257="","",INDEX('Per Line'!$B$2:$B$1001,$Y257))</f>
        <v/>
      </c>
      <c r="F257">
        <f>IF($Y257="","",INDEX('Per Line'!$G$2:$G$1001,$Y257)&amp;"")</f>
        <v/>
      </c>
      <c r="G257" s="11">
        <f>IF($Y257="","",INDEX('Per Line'!$H$2:$H$1001,$Y257))</f>
        <v/>
      </c>
      <c r="H257">
        <f>IF($Y257="","",INDEX('Per Line'!$K$2:$K$1001,$Y257)&amp;"")</f>
        <v/>
      </c>
      <c r="I257">
        <f>IF($Y257="","",INDEX('Per Line'!$L$2:$L$1001,$Y257)&amp;"")</f>
        <v/>
      </c>
      <c r="J257">
        <f>IF($Y257="","",INDEX('Per Line'!$M$2:$M$1001,$Y257)&amp;"")</f>
        <v/>
      </c>
      <c r="K257">
        <f>IF($Y257="","",INDEX('Per Line'!$Q$2:$Q$1001,$Y257))</f>
        <v/>
      </c>
      <c r="L257" s="7">
        <f>IF($Y257="","",K257*W257/100)</f>
        <v/>
      </c>
      <c r="M257">
        <f>IF($Y257="","",INDEX('Per Line'!$AD$2:$AD$1001,$Y257)&amp;"")</f>
        <v/>
      </c>
      <c r="N257" s="7">
        <f>IF($Y257="","",SUMIFS('Per Line'!$Z$2:$Z$1001,'Per Line'!$E$2:$E$1001,$B257,'Per Line'!$AR$2:$AR$1001,1))</f>
        <v/>
      </c>
      <c r="O257">
        <f>IF($Y257="","",Settings!$C$7)</f>
        <v/>
      </c>
      <c r="P257" s="7">
        <f>IF($Y257="","",SUMIFS('Per Line'!$Z$2:$Z$1001,'Per Line'!$E$2:$E$1001,$B257,'Per Line'!$AQ$2:$AQ$1001,0,'Per Line'!$AR$2:$AR$1001,0))</f>
        <v/>
      </c>
      <c r="Q257" s="7">
        <f>IF($Y257="","",P257*O257)</f>
        <v/>
      </c>
      <c r="R257">
        <f>IF($Y257="","",Settings!$C$6)</f>
        <v/>
      </c>
      <c r="S257" s="7">
        <f>IF($Y257="","",SUMIFS('Per Line'!$Z$2:$Z$1001,'Per Line'!$E$2:$E$1001,$B257,'Per Line'!$AQ$2:$AQ$1001,1,'Per Line'!$AR$2:$AR$1001,0))</f>
        <v/>
      </c>
      <c r="T257" s="7">
        <f>IF($Y257="","",S257*R257)</f>
        <v/>
      </c>
      <c r="U257" s="7">
        <f>IF($Y257="","",T257+Q257)</f>
        <v/>
      </c>
      <c r="V257" s="7">
        <f>IF($Y257="","",W257-U257)</f>
        <v/>
      </c>
      <c r="W257" s="7">
        <f>IF($Y257="","",P257+S257+N257)</f>
        <v/>
      </c>
      <c r="X257" s="7">
        <f>IF($Y257="","",W257-U257-L257)</f>
        <v/>
      </c>
      <c r="Y257" s="13">
        <f>IF(ROWS($Y$2:$Y257)&lt;=MAX('Per Line'!$AP$2:$AP$1001),MATCH(ROWS($Y$2:$Y257),'Per Line'!$AP$2:$AP$1001,0),"")</f>
        <v/>
      </c>
    </row>
    <row r="258">
      <c r="A258" s="12" t="n"/>
      <c r="B258">
        <f>IF($Y258="","",INDEX('Per Line'!$E$2:$E$1001,$Y258)&amp;"")</f>
        <v/>
      </c>
      <c r="C258">
        <f>IF($Y258="","",INDEX('Per Line'!$F$2:$F$1001,$Y258)&amp;"")</f>
        <v/>
      </c>
      <c r="D258">
        <f>IF($Y258="","",INDEX('Per Line'!$A$2:$A$1001,$Y258)&amp;"")</f>
        <v/>
      </c>
      <c r="E258">
        <f>IF($Y258="","",INDEX('Per Line'!$B$2:$B$1001,$Y258))</f>
        <v/>
      </c>
      <c r="F258">
        <f>IF($Y258="","",INDEX('Per Line'!$G$2:$G$1001,$Y258)&amp;"")</f>
        <v/>
      </c>
      <c r="G258" s="11">
        <f>IF($Y258="","",INDEX('Per Line'!$H$2:$H$1001,$Y258))</f>
        <v/>
      </c>
      <c r="H258">
        <f>IF($Y258="","",INDEX('Per Line'!$K$2:$K$1001,$Y258)&amp;"")</f>
        <v/>
      </c>
      <c r="I258">
        <f>IF($Y258="","",INDEX('Per Line'!$L$2:$L$1001,$Y258)&amp;"")</f>
        <v/>
      </c>
      <c r="J258">
        <f>IF($Y258="","",INDEX('Per Line'!$M$2:$M$1001,$Y258)&amp;"")</f>
        <v/>
      </c>
      <c r="K258">
        <f>IF($Y258="","",INDEX('Per Line'!$Q$2:$Q$1001,$Y258))</f>
        <v/>
      </c>
      <c r="L258" s="7">
        <f>IF($Y258="","",K258*W258/100)</f>
        <v/>
      </c>
      <c r="M258">
        <f>IF($Y258="","",INDEX('Per Line'!$AD$2:$AD$1001,$Y258)&amp;"")</f>
        <v/>
      </c>
      <c r="N258" s="7">
        <f>IF($Y258="","",SUMIFS('Per Line'!$Z$2:$Z$1001,'Per Line'!$E$2:$E$1001,$B258,'Per Line'!$AR$2:$AR$1001,1))</f>
        <v/>
      </c>
      <c r="O258">
        <f>IF($Y258="","",Settings!$C$7)</f>
        <v/>
      </c>
      <c r="P258" s="7">
        <f>IF($Y258="","",SUMIFS('Per Line'!$Z$2:$Z$1001,'Per Line'!$E$2:$E$1001,$B258,'Per Line'!$AQ$2:$AQ$1001,0,'Per Line'!$AR$2:$AR$1001,0))</f>
        <v/>
      </c>
      <c r="Q258" s="7">
        <f>IF($Y258="","",P258*O258)</f>
        <v/>
      </c>
      <c r="R258">
        <f>IF($Y258="","",Settings!$C$6)</f>
        <v/>
      </c>
      <c r="S258" s="7">
        <f>IF($Y258="","",SUMIFS('Per Line'!$Z$2:$Z$1001,'Per Line'!$E$2:$E$1001,$B258,'Per Line'!$AQ$2:$AQ$1001,1,'Per Line'!$AR$2:$AR$1001,0))</f>
        <v/>
      </c>
      <c r="T258" s="7">
        <f>IF($Y258="","",S258*R258)</f>
        <v/>
      </c>
      <c r="U258" s="7">
        <f>IF($Y258="","",T258+Q258)</f>
        <v/>
      </c>
      <c r="V258" s="7">
        <f>IF($Y258="","",W258-U258)</f>
        <v/>
      </c>
      <c r="W258" s="7">
        <f>IF($Y258="","",P258+S258+N258)</f>
        <v/>
      </c>
      <c r="X258" s="7">
        <f>IF($Y258="","",W258-U258-L258)</f>
        <v/>
      </c>
      <c r="Y258" s="13">
        <f>IF(ROWS($Y$2:$Y258)&lt;=MAX('Per Line'!$AP$2:$AP$1001),MATCH(ROWS($Y$2:$Y258),'Per Line'!$AP$2:$AP$1001,0),"")</f>
        <v/>
      </c>
    </row>
    <row r="259">
      <c r="A259" s="12" t="n"/>
      <c r="B259">
        <f>IF($Y259="","",INDEX('Per Line'!$E$2:$E$1001,$Y259)&amp;"")</f>
        <v/>
      </c>
      <c r="C259">
        <f>IF($Y259="","",INDEX('Per Line'!$F$2:$F$1001,$Y259)&amp;"")</f>
        <v/>
      </c>
      <c r="D259">
        <f>IF($Y259="","",INDEX('Per Line'!$A$2:$A$1001,$Y259)&amp;"")</f>
        <v/>
      </c>
      <c r="E259">
        <f>IF($Y259="","",INDEX('Per Line'!$B$2:$B$1001,$Y259))</f>
        <v/>
      </c>
      <c r="F259">
        <f>IF($Y259="","",INDEX('Per Line'!$G$2:$G$1001,$Y259)&amp;"")</f>
        <v/>
      </c>
      <c r="G259" s="11">
        <f>IF($Y259="","",INDEX('Per Line'!$H$2:$H$1001,$Y259))</f>
        <v/>
      </c>
      <c r="H259">
        <f>IF($Y259="","",INDEX('Per Line'!$K$2:$K$1001,$Y259)&amp;"")</f>
        <v/>
      </c>
      <c r="I259">
        <f>IF($Y259="","",INDEX('Per Line'!$L$2:$L$1001,$Y259)&amp;"")</f>
        <v/>
      </c>
      <c r="J259">
        <f>IF($Y259="","",INDEX('Per Line'!$M$2:$M$1001,$Y259)&amp;"")</f>
        <v/>
      </c>
      <c r="K259">
        <f>IF($Y259="","",INDEX('Per Line'!$Q$2:$Q$1001,$Y259))</f>
        <v/>
      </c>
      <c r="L259" s="7">
        <f>IF($Y259="","",K259*W259/100)</f>
        <v/>
      </c>
      <c r="M259">
        <f>IF($Y259="","",INDEX('Per Line'!$AD$2:$AD$1001,$Y259)&amp;"")</f>
        <v/>
      </c>
      <c r="N259" s="7">
        <f>IF($Y259="","",SUMIFS('Per Line'!$Z$2:$Z$1001,'Per Line'!$E$2:$E$1001,$B259,'Per Line'!$AR$2:$AR$1001,1))</f>
        <v/>
      </c>
      <c r="O259">
        <f>IF($Y259="","",Settings!$C$7)</f>
        <v/>
      </c>
      <c r="P259" s="7">
        <f>IF($Y259="","",SUMIFS('Per Line'!$Z$2:$Z$1001,'Per Line'!$E$2:$E$1001,$B259,'Per Line'!$AQ$2:$AQ$1001,0,'Per Line'!$AR$2:$AR$1001,0))</f>
        <v/>
      </c>
      <c r="Q259" s="7">
        <f>IF($Y259="","",P259*O259)</f>
        <v/>
      </c>
      <c r="R259">
        <f>IF($Y259="","",Settings!$C$6)</f>
        <v/>
      </c>
      <c r="S259" s="7">
        <f>IF($Y259="","",SUMIFS('Per Line'!$Z$2:$Z$1001,'Per Line'!$E$2:$E$1001,$B259,'Per Line'!$AQ$2:$AQ$1001,1,'Per Line'!$AR$2:$AR$1001,0))</f>
        <v/>
      </c>
      <c r="T259" s="7">
        <f>IF($Y259="","",S259*R259)</f>
        <v/>
      </c>
      <c r="U259" s="7">
        <f>IF($Y259="","",T259+Q259)</f>
        <v/>
      </c>
      <c r="V259" s="7">
        <f>IF($Y259="","",W259-U259)</f>
        <v/>
      </c>
      <c r="W259" s="7">
        <f>IF($Y259="","",P259+S259+N259)</f>
        <v/>
      </c>
      <c r="X259" s="7">
        <f>IF($Y259="","",W259-U259-L259)</f>
        <v/>
      </c>
      <c r="Y259" s="13">
        <f>IF(ROWS($Y$2:$Y259)&lt;=MAX('Per Line'!$AP$2:$AP$1001),MATCH(ROWS($Y$2:$Y259),'Per Line'!$AP$2:$AP$1001,0),"")</f>
        <v/>
      </c>
    </row>
    <row r="260">
      <c r="A260" s="12" t="n"/>
      <c r="B260">
        <f>IF($Y260="","",INDEX('Per Line'!$E$2:$E$1001,$Y260)&amp;"")</f>
        <v/>
      </c>
      <c r="C260">
        <f>IF($Y260="","",INDEX('Per Line'!$F$2:$F$1001,$Y260)&amp;"")</f>
        <v/>
      </c>
      <c r="D260">
        <f>IF($Y260="","",INDEX('Per Line'!$A$2:$A$1001,$Y260)&amp;"")</f>
        <v/>
      </c>
      <c r="E260">
        <f>IF($Y260="","",INDEX('Per Line'!$B$2:$B$1001,$Y260))</f>
        <v/>
      </c>
      <c r="F260">
        <f>IF($Y260="","",INDEX('Per Line'!$G$2:$G$1001,$Y260)&amp;"")</f>
        <v/>
      </c>
      <c r="G260" s="11">
        <f>IF($Y260="","",INDEX('Per Line'!$H$2:$H$1001,$Y260))</f>
        <v/>
      </c>
      <c r="H260">
        <f>IF($Y260="","",INDEX('Per Line'!$K$2:$K$1001,$Y260)&amp;"")</f>
        <v/>
      </c>
      <c r="I260">
        <f>IF($Y260="","",INDEX('Per Line'!$L$2:$L$1001,$Y260)&amp;"")</f>
        <v/>
      </c>
      <c r="J260">
        <f>IF($Y260="","",INDEX('Per Line'!$M$2:$M$1001,$Y260)&amp;"")</f>
        <v/>
      </c>
      <c r="K260">
        <f>IF($Y260="","",INDEX('Per Line'!$Q$2:$Q$1001,$Y260))</f>
        <v/>
      </c>
      <c r="L260" s="7">
        <f>IF($Y260="","",K260*W260/100)</f>
        <v/>
      </c>
      <c r="M260">
        <f>IF($Y260="","",INDEX('Per Line'!$AD$2:$AD$1001,$Y260)&amp;"")</f>
        <v/>
      </c>
      <c r="N260" s="7">
        <f>IF($Y260="","",SUMIFS('Per Line'!$Z$2:$Z$1001,'Per Line'!$E$2:$E$1001,$B260,'Per Line'!$AR$2:$AR$1001,1))</f>
        <v/>
      </c>
      <c r="O260">
        <f>IF($Y260="","",Settings!$C$7)</f>
        <v/>
      </c>
      <c r="P260" s="7">
        <f>IF($Y260="","",SUMIFS('Per Line'!$Z$2:$Z$1001,'Per Line'!$E$2:$E$1001,$B260,'Per Line'!$AQ$2:$AQ$1001,0,'Per Line'!$AR$2:$AR$1001,0))</f>
        <v/>
      </c>
      <c r="Q260" s="7">
        <f>IF($Y260="","",P260*O260)</f>
        <v/>
      </c>
      <c r="R260">
        <f>IF($Y260="","",Settings!$C$6)</f>
        <v/>
      </c>
      <c r="S260" s="7">
        <f>IF($Y260="","",SUMIFS('Per Line'!$Z$2:$Z$1001,'Per Line'!$E$2:$E$1001,$B260,'Per Line'!$AQ$2:$AQ$1001,1,'Per Line'!$AR$2:$AR$1001,0))</f>
        <v/>
      </c>
      <c r="T260" s="7">
        <f>IF($Y260="","",S260*R260)</f>
        <v/>
      </c>
      <c r="U260" s="7">
        <f>IF($Y260="","",T260+Q260)</f>
        <v/>
      </c>
      <c r="V260" s="7">
        <f>IF($Y260="","",W260-U260)</f>
        <v/>
      </c>
      <c r="W260" s="7">
        <f>IF($Y260="","",P260+S260+N260)</f>
        <v/>
      </c>
      <c r="X260" s="7">
        <f>IF($Y260="","",W260-U260-L260)</f>
        <v/>
      </c>
      <c r="Y260" s="13">
        <f>IF(ROWS($Y$2:$Y260)&lt;=MAX('Per Line'!$AP$2:$AP$1001),MATCH(ROWS($Y$2:$Y260),'Per Line'!$AP$2:$AP$1001,0),"")</f>
        <v/>
      </c>
    </row>
    <row r="261">
      <c r="A261" s="12" t="n"/>
      <c r="B261">
        <f>IF($Y261="","",INDEX('Per Line'!$E$2:$E$1001,$Y261)&amp;"")</f>
        <v/>
      </c>
      <c r="C261">
        <f>IF($Y261="","",INDEX('Per Line'!$F$2:$F$1001,$Y261)&amp;"")</f>
        <v/>
      </c>
      <c r="D261">
        <f>IF($Y261="","",INDEX('Per Line'!$A$2:$A$1001,$Y261)&amp;"")</f>
        <v/>
      </c>
      <c r="E261">
        <f>IF($Y261="","",INDEX('Per Line'!$B$2:$B$1001,$Y261))</f>
        <v/>
      </c>
      <c r="F261">
        <f>IF($Y261="","",INDEX('Per Line'!$G$2:$G$1001,$Y261)&amp;"")</f>
        <v/>
      </c>
      <c r="G261" s="11">
        <f>IF($Y261="","",INDEX('Per Line'!$H$2:$H$1001,$Y261))</f>
        <v/>
      </c>
      <c r="H261">
        <f>IF($Y261="","",INDEX('Per Line'!$K$2:$K$1001,$Y261)&amp;"")</f>
        <v/>
      </c>
      <c r="I261">
        <f>IF($Y261="","",INDEX('Per Line'!$L$2:$L$1001,$Y261)&amp;"")</f>
        <v/>
      </c>
      <c r="J261">
        <f>IF($Y261="","",INDEX('Per Line'!$M$2:$M$1001,$Y261)&amp;"")</f>
        <v/>
      </c>
      <c r="K261">
        <f>IF($Y261="","",INDEX('Per Line'!$Q$2:$Q$1001,$Y261))</f>
        <v/>
      </c>
      <c r="L261" s="7">
        <f>IF($Y261="","",K261*W261/100)</f>
        <v/>
      </c>
      <c r="M261">
        <f>IF($Y261="","",INDEX('Per Line'!$AD$2:$AD$1001,$Y261)&amp;"")</f>
        <v/>
      </c>
      <c r="N261" s="7">
        <f>IF($Y261="","",SUMIFS('Per Line'!$Z$2:$Z$1001,'Per Line'!$E$2:$E$1001,$B261,'Per Line'!$AR$2:$AR$1001,1))</f>
        <v/>
      </c>
      <c r="O261">
        <f>IF($Y261="","",Settings!$C$7)</f>
        <v/>
      </c>
      <c r="P261" s="7">
        <f>IF($Y261="","",SUMIFS('Per Line'!$Z$2:$Z$1001,'Per Line'!$E$2:$E$1001,$B261,'Per Line'!$AQ$2:$AQ$1001,0,'Per Line'!$AR$2:$AR$1001,0))</f>
        <v/>
      </c>
      <c r="Q261" s="7">
        <f>IF($Y261="","",P261*O261)</f>
        <v/>
      </c>
      <c r="R261">
        <f>IF($Y261="","",Settings!$C$6)</f>
        <v/>
      </c>
      <c r="S261" s="7">
        <f>IF($Y261="","",SUMIFS('Per Line'!$Z$2:$Z$1001,'Per Line'!$E$2:$E$1001,$B261,'Per Line'!$AQ$2:$AQ$1001,1,'Per Line'!$AR$2:$AR$1001,0))</f>
        <v/>
      </c>
      <c r="T261" s="7">
        <f>IF($Y261="","",S261*R261)</f>
        <v/>
      </c>
      <c r="U261" s="7">
        <f>IF($Y261="","",T261+Q261)</f>
        <v/>
      </c>
      <c r="V261" s="7">
        <f>IF($Y261="","",W261-U261)</f>
        <v/>
      </c>
      <c r="W261" s="7">
        <f>IF($Y261="","",P261+S261+N261)</f>
        <v/>
      </c>
      <c r="X261" s="7">
        <f>IF($Y261="","",W261-U261-L261)</f>
        <v/>
      </c>
      <c r="Y261" s="13">
        <f>IF(ROWS($Y$2:$Y261)&lt;=MAX('Per Line'!$AP$2:$AP$1001),MATCH(ROWS($Y$2:$Y261),'Per Line'!$AP$2:$AP$1001,0),"")</f>
        <v/>
      </c>
    </row>
    <row r="262">
      <c r="A262" s="12" t="n"/>
      <c r="B262">
        <f>IF($Y262="","",INDEX('Per Line'!$E$2:$E$1001,$Y262)&amp;"")</f>
        <v/>
      </c>
      <c r="C262">
        <f>IF($Y262="","",INDEX('Per Line'!$F$2:$F$1001,$Y262)&amp;"")</f>
        <v/>
      </c>
      <c r="D262">
        <f>IF($Y262="","",INDEX('Per Line'!$A$2:$A$1001,$Y262)&amp;"")</f>
        <v/>
      </c>
      <c r="E262">
        <f>IF($Y262="","",INDEX('Per Line'!$B$2:$B$1001,$Y262))</f>
        <v/>
      </c>
      <c r="F262">
        <f>IF($Y262="","",INDEX('Per Line'!$G$2:$G$1001,$Y262)&amp;"")</f>
        <v/>
      </c>
      <c r="G262" s="11">
        <f>IF($Y262="","",INDEX('Per Line'!$H$2:$H$1001,$Y262))</f>
        <v/>
      </c>
      <c r="H262">
        <f>IF($Y262="","",INDEX('Per Line'!$K$2:$K$1001,$Y262)&amp;"")</f>
        <v/>
      </c>
      <c r="I262">
        <f>IF($Y262="","",INDEX('Per Line'!$L$2:$L$1001,$Y262)&amp;"")</f>
        <v/>
      </c>
      <c r="J262">
        <f>IF($Y262="","",INDEX('Per Line'!$M$2:$M$1001,$Y262)&amp;"")</f>
        <v/>
      </c>
      <c r="K262">
        <f>IF($Y262="","",INDEX('Per Line'!$Q$2:$Q$1001,$Y262))</f>
        <v/>
      </c>
      <c r="L262" s="7">
        <f>IF($Y262="","",K262*W262/100)</f>
        <v/>
      </c>
      <c r="M262">
        <f>IF($Y262="","",INDEX('Per Line'!$AD$2:$AD$1001,$Y262)&amp;"")</f>
        <v/>
      </c>
      <c r="N262" s="7">
        <f>IF($Y262="","",SUMIFS('Per Line'!$Z$2:$Z$1001,'Per Line'!$E$2:$E$1001,$B262,'Per Line'!$AR$2:$AR$1001,1))</f>
        <v/>
      </c>
      <c r="O262">
        <f>IF($Y262="","",Settings!$C$7)</f>
        <v/>
      </c>
      <c r="P262" s="7">
        <f>IF($Y262="","",SUMIFS('Per Line'!$Z$2:$Z$1001,'Per Line'!$E$2:$E$1001,$B262,'Per Line'!$AQ$2:$AQ$1001,0,'Per Line'!$AR$2:$AR$1001,0))</f>
        <v/>
      </c>
      <c r="Q262" s="7">
        <f>IF($Y262="","",P262*O262)</f>
        <v/>
      </c>
      <c r="R262">
        <f>IF($Y262="","",Settings!$C$6)</f>
        <v/>
      </c>
      <c r="S262" s="7">
        <f>IF($Y262="","",SUMIFS('Per Line'!$Z$2:$Z$1001,'Per Line'!$E$2:$E$1001,$B262,'Per Line'!$AQ$2:$AQ$1001,1,'Per Line'!$AR$2:$AR$1001,0))</f>
        <v/>
      </c>
      <c r="T262" s="7">
        <f>IF($Y262="","",S262*R262)</f>
        <v/>
      </c>
      <c r="U262" s="7">
        <f>IF($Y262="","",T262+Q262)</f>
        <v/>
      </c>
      <c r="V262" s="7">
        <f>IF($Y262="","",W262-U262)</f>
        <v/>
      </c>
      <c r="W262" s="7">
        <f>IF($Y262="","",P262+S262+N262)</f>
        <v/>
      </c>
      <c r="X262" s="7">
        <f>IF($Y262="","",W262-U262-L262)</f>
        <v/>
      </c>
      <c r="Y262" s="13">
        <f>IF(ROWS($Y$2:$Y262)&lt;=MAX('Per Line'!$AP$2:$AP$1001),MATCH(ROWS($Y$2:$Y262),'Per Line'!$AP$2:$AP$1001,0),"")</f>
        <v/>
      </c>
    </row>
    <row r="263">
      <c r="A263" s="12" t="n"/>
      <c r="B263">
        <f>IF($Y263="","",INDEX('Per Line'!$E$2:$E$1001,$Y263)&amp;"")</f>
        <v/>
      </c>
      <c r="C263">
        <f>IF($Y263="","",INDEX('Per Line'!$F$2:$F$1001,$Y263)&amp;"")</f>
        <v/>
      </c>
      <c r="D263">
        <f>IF($Y263="","",INDEX('Per Line'!$A$2:$A$1001,$Y263)&amp;"")</f>
        <v/>
      </c>
      <c r="E263">
        <f>IF($Y263="","",INDEX('Per Line'!$B$2:$B$1001,$Y263))</f>
        <v/>
      </c>
      <c r="F263">
        <f>IF($Y263="","",INDEX('Per Line'!$G$2:$G$1001,$Y263)&amp;"")</f>
        <v/>
      </c>
      <c r="G263" s="11">
        <f>IF($Y263="","",INDEX('Per Line'!$H$2:$H$1001,$Y263))</f>
        <v/>
      </c>
      <c r="H263">
        <f>IF($Y263="","",INDEX('Per Line'!$K$2:$K$1001,$Y263)&amp;"")</f>
        <v/>
      </c>
      <c r="I263">
        <f>IF($Y263="","",INDEX('Per Line'!$L$2:$L$1001,$Y263)&amp;"")</f>
        <v/>
      </c>
      <c r="J263">
        <f>IF($Y263="","",INDEX('Per Line'!$M$2:$M$1001,$Y263)&amp;"")</f>
        <v/>
      </c>
      <c r="K263">
        <f>IF($Y263="","",INDEX('Per Line'!$Q$2:$Q$1001,$Y263))</f>
        <v/>
      </c>
      <c r="L263" s="7">
        <f>IF($Y263="","",K263*W263/100)</f>
        <v/>
      </c>
      <c r="M263">
        <f>IF($Y263="","",INDEX('Per Line'!$AD$2:$AD$1001,$Y263)&amp;"")</f>
        <v/>
      </c>
      <c r="N263" s="7">
        <f>IF($Y263="","",SUMIFS('Per Line'!$Z$2:$Z$1001,'Per Line'!$E$2:$E$1001,$B263,'Per Line'!$AR$2:$AR$1001,1))</f>
        <v/>
      </c>
      <c r="O263">
        <f>IF($Y263="","",Settings!$C$7)</f>
        <v/>
      </c>
      <c r="P263" s="7">
        <f>IF($Y263="","",SUMIFS('Per Line'!$Z$2:$Z$1001,'Per Line'!$E$2:$E$1001,$B263,'Per Line'!$AQ$2:$AQ$1001,0,'Per Line'!$AR$2:$AR$1001,0))</f>
        <v/>
      </c>
      <c r="Q263" s="7">
        <f>IF($Y263="","",P263*O263)</f>
        <v/>
      </c>
      <c r="R263">
        <f>IF($Y263="","",Settings!$C$6)</f>
        <v/>
      </c>
      <c r="S263" s="7">
        <f>IF($Y263="","",SUMIFS('Per Line'!$Z$2:$Z$1001,'Per Line'!$E$2:$E$1001,$B263,'Per Line'!$AQ$2:$AQ$1001,1,'Per Line'!$AR$2:$AR$1001,0))</f>
        <v/>
      </c>
      <c r="T263" s="7">
        <f>IF($Y263="","",S263*R263)</f>
        <v/>
      </c>
      <c r="U263" s="7">
        <f>IF($Y263="","",T263+Q263)</f>
        <v/>
      </c>
      <c r="V263" s="7">
        <f>IF($Y263="","",W263-U263)</f>
        <v/>
      </c>
      <c r="W263" s="7">
        <f>IF($Y263="","",P263+S263+N263)</f>
        <v/>
      </c>
      <c r="X263" s="7">
        <f>IF($Y263="","",W263-U263-L263)</f>
        <v/>
      </c>
      <c r="Y263" s="13">
        <f>IF(ROWS($Y$2:$Y263)&lt;=MAX('Per Line'!$AP$2:$AP$1001),MATCH(ROWS($Y$2:$Y263),'Per Line'!$AP$2:$AP$1001,0),"")</f>
        <v/>
      </c>
    </row>
    <row r="264">
      <c r="A264" s="12" t="n"/>
      <c r="B264">
        <f>IF($Y264="","",INDEX('Per Line'!$E$2:$E$1001,$Y264)&amp;"")</f>
        <v/>
      </c>
      <c r="C264">
        <f>IF($Y264="","",INDEX('Per Line'!$F$2:$F$1001,$Y264)&amp;"")</f>
        <v/>
      </c>
      <c r="D264">
        <f>IF($Y264="","",INDEX('Per Line'!$A$2:$A$1001,$Y264)&amp;"")</f>
        <v/>
      </c>
      <c r="E264">
        <f>IF($Y264="","",INDEX('Per Line'!$B$2:$B$1001,$Y264))</f>
        <v/>
      </c>
      <c r="F264">
        <f>IF($Y264="","",INDEX('Per Line'!$G$2:$G$1001,$Y264)&amp;"")</f>
        <v/>
      </c>
      <c r="G264" s="11">
        <f>IF($Y264="","",INDEX('Per Line'!$H$2:$H$1001,$Y264))</f>
        <v/>
      </c>
      <c r="H264">
        <f>IF($Y264="","",INDEX('Per Line'!$K$2:$K$1001,$Y264)&amp;"")</f>
        <v/>
      </c>
      <c r="I264">
        <f>IF($Y264="","",INDEX('Per Line'!$L$2:$L$1001,$Y264)&amp;"")</f>
        <v/>
      </c>
      <c r="J264">
        <f>IF($Y264="","",INDEX('Per Line'!$M$2:$M$1001,$Y264)&amp;"")</f>
        <v/>
      </c>
      <c r="K264">
        <f>IF($Y264="","",INDEX('Per Line'!$Q$2:$Q$1001,$Y264))</f>
        <v/>
      </c>
      <c r="L264" s="7">
        <f>IF($Y264="","",K264*W264/100)</f>
        <v/>
      </c>
      <c r="M264">
        <f>IF($Y264="","",INDEX('Per Line'!$AD$2:$AD$1001,$Y264)&amp;"")</f>
        <v/>
      </c>
      <c r="N264" s="7">
        <f>IF($Y264="","",SUMIFS('Per Line'!$Z$2:$Z$1001,'Per Line'!$E$2:$E$1001,$B264,'Per Line'!$AR$2:$AR$1001,1))</f>
        <v/>
      </c>
      <c r="O264">
        <f>IF($Y264="","",Settings!$C$7)</f>
        <v/>
      </c>
      <c r="P264" s="7">
        <f>IF($Y264="","",SUMIFS('Per Line'!$Z$2:$Z$1001,'Per Line'!$E$2:$E$1001,$B264,'Per Line'!$AQ$2:$AQ$1001,0,'Per Line'!$AR$2:$AR$1001,0))</f>
        <v/>
      </c>
      <c r="Q264" s="7">
        <f>IF($Y264="","",P264*O264)</f>
        <v/>
      </c>
      <c r="R264">
        <f>IF($Y264="","",Settings!$C$6)</f>
        <v/>
      </c>
      <c r="S264" s="7">
        <f>IF($Y264="","",SUMIFS('Per Line'!$Z$2:$Z$1001,'Per Line'!$E$2:$E$1001,$B264,'Per Line'!$AQ$2:$AQ$1001,1,'Per Line'!$AR$2:$AR$1001,0))</f>
        <v/>
      </c>
      <c r="T264" s="7">
        <f>IF($Y264="","",S264*R264)</f>
        <v/>
      </c>
      <c r="U264" s="7">
        <f>IF($Y264="","",T264+Q264)</f>
        <v/>
      </c>
      <c r="V264" s="7">
        <f>IF($Y264="","",W264-U264)</f>
        <v/>
      </c>
      <c r="W264" s="7">
        <f>IF($Y264="","",P264+S264+N264)</f>
        <v/>
      </c>
      <c r="X264" s="7">
        <f>IF($Y264="","",W264-U264-L264)</f>
        <v/>
      </c>
      <c r="Y264" s="13">
        <f>IF(ROWS($Y$2:$Y264)&lt;=MAX('Per Line'!$AP$2:$AP$1001),MATCH(ROWS($Y$2:$Y264),'Per Line'!$AP$2:$AP$1001,0),"")</f>
        <v/>
      </c>
    </row>
    <row r="265">
      <c r="A265" s="12" t="n"/>
      <c r="B265">
        <f>IF($Y265="","",INDEX('Per Line'!$E$2:$E$1001,$Y265)&amp;"")</f>
        <v/>
      </c>
      <c r="C265">
        <f>IF($Y265="","",INDEX('Per Line'!$F$2:$F$1001,$Y265)&amp;"")</f>
        <v/>
      </c>
      <c r="D265">
        <f>IF($Y265="","",INDEX('Per Line'!$A$2:$A$1001,$Y265)&amp;"")</f>
        <v/>
      </c>
      <c r="E265">
        <f>IF($Y265="","",INDEX('Per Line'!$B$2:$B$1001,$Y265))</f>
        <v/>
      </c>
      <c r="F265">
        <f>IF($Y265="","",INDEX('Per Line'!$G$2:$G$1001,$Y265)&amp;"")</f>
        <v/>
      </c>
      <c r="G265" s="11">
        <f>IF($Y265="","",INDEX('Per Line'!$H$2:$H$1001,$Y265))</f>
        <v/>
      </c>
      <c r="H265">
        <f>IF($Y265="","",INDEX('Per Line'!$K$2:$K$1001,$Y265)&amp;"")</f>
        <v/>
      </c>
      <c r="I265">
        <f>IF($Y265="","",INDEX('Per Line'!$L$2:$L$1001,$Y265)&amp;"")</f>
        <v/>
      </c>
      <c r="J265">
        <f>IF($Y265="","",INDEX('Per Line'!$M$2:$M$1001,$Y265)&amp;"")</f>
        <v/>
      </c>
      <c r="K265">
        <f>IF($Y265="","",INDEX('Per Line'!$Q$2:$Q$1001,$Y265))</f>
        <v/>
      </c>
      <c r="L265" s="7">
        <f>IF($Y265="","",K265*W265/100)</f>
        <v/>
      </c>
      <c r="M265">
        <f>IF($Y265="","",INDEX('Per Line'!$AD$2:$AD$1001,$Y265)&amp;"")</f>
        <v/>
      </c>
      <c r="N265" s="7">
        <f>IF($Y265="","",SUMIFS('Per Line'!$Z$2:$Z$1001,'Per Line'!$E$2:$E$1001,$B265,'Per Line'!$AR$2:$AR$1001,1))</f>
        <v/>
      </c>
      <c r="O265">
        <f>IF($Y265="","",Settings!$C$7)</f>
        <v/>
      </c>
      <c r="P265" s="7">
        <f>IF($Y265="","",SUMIFS('Per Line'!$Z$2:$Z$1001,'Per Line'!$E$2:$E$1001,$B265,'Per Line'!$AQ$2:$AQ$1001,0,'Per Line'!$AR$2:$AR$1001,0))</f>
        <v/>
      </c>
      <c r="Q265" s="7">
        <f>IF($Y265="","",P265*O265)</f>
        <v/>
      </c>
      <c r="R265">
        <f>IF($Y265="","",Settings!$C$6)</f>
        <v/>
      </c>
      <c r="S265" s="7">
        <f>IF($Y265="","",SUMIFS('Per Line'!$Z$2:$Z$1001,'Per Line'!$E$2:$E$1001,$B265,'Per Line'!$AQ$2:$AQ$1001,1,'Per Line'!$AR$2:$AR$1001,0))</f>
        <v/>
      </c>
      <c r="T265" s="7">
        <f>IF($Y265="","",S265*R265)</f>
        <v/>
      </c>
      <c r="U265" s="7">
        <f>IF($Y265="","",T265+Q265)</f>
        <v/>
      </c>
      <c r="V265" s="7">
        <f>IF($Y265="","",W265-U265)</f>
        <v/>
      </c>
      <c r="W265" s="7">
        <f>IF($Y265="","",P265+S265+N265)</f>
        <v/>
      </c>
      <c r="X265" s="7">
        <f>IF($Y265="","",W265-U265-L265)</f>
        <v/>
      </c>
      <c r="Y265" s="13">
        <f>IF(ROWS($Y$2:$Y265)&lt;=MAX('Per Line'!$AP$2:$AP$1001),MATCH(ROWS($Y$2:$Y265),'Per Line'!$AP$2:$AP$1001,0),"")</f>
        <v/>
      </c>
    </row>
    <row r="266">
      <c r="A266" s="12" t="n"/>
      <c r="B266">
        <f>IF($Y266="","",INDEX('Per Line'!$E$2:$E$1001,$Y266)&amp;"")</f>
        <v/>
      </c>
      <c r="C266">
        <f>IF($Y266="","",INDEX('Per Line'!$F$2:$F$1001,$Y266)&amp;"")</f>
        <v/>
      </c>
      <c r="D266">
        <f>IF($Y266="","",INDEX('Per Line'!$A$2:$A$1001,$Y266)&amp;"")</f>
        <v/>
      </c>
      <c r="E266">
        <f>IF($Y266="","",INDEX('Per Line'!$B$2:$B$1001,$Y266))</f>
        <v/>
      </c>
      <c r="F266">
        <f>IF($Y266="","",INDEX('Per Line'!$G$2:$G$1001,$Y266)&amp;"")</f>
        <v/>
      </c>
      <c r="G266" s="11">
        <f>IF($Y266="","",INDEX('Per Line'!$H$2:$H$1001,$Y266))</f>
        <v/>
      </c>
      <c r="H266">
        <f>IF($Y266="","",INDEX('Per Line'!$K$2:$K$1001,$Y266)&amp;"")</f>
        <v/>
      </c>
      <c r="I266">
        <f>IF($Y266="","",INDEX('Per Line'!$L$2:$L$1001,$Y266)&amp;"")</f>
        <v/>
      </c>
      <c r="J266">
        <f>IF($Y266="","",INDEX('Per Line'!$M$2:$M$1001,$Y266)&amp;"")</f>
        <v/>
      </c>
      <c r="K266">
        <f>IF($Y266="","",INDEX('Per Line'!$Q$2:$Q$1001,$Y266))</f>
        <v/>
      </c>
      <c r="L266" s="7">
        <f>IF($Y266="","",K266*W266/100)</f>
        <v/>
      </c>
      <c r="M266">
        <f>IF($Y266="","",INDEX('Per Line'!$AD$2:$AD$1001,$Y266)&amp;"")</f>
        <v/>
      </c>
      <c r="N266" s="7">
        <f>IF($Y266="","",SUMIFS('Per Line'!$Z$2:$Z$1001,'Per Line'!$E$2:$E$1001,$B266,'Per Line'!$AR$2:$AR$1001,1))</f>
        <v/>
      </c>
      <c r="O266">
        <f>IF($Y266="","",Settings!$C$7)</f>
        <v/>
      </c>
      <c r="P266" s="7">
        <f>IF($Y266="","",SUMIFS('Per Line'!$Z$2:$Z$1001,'Per Line'!$E$2:$E$1001,$B266,'Per Line'!$AQ$2:$AQ$1001,0,'Per Line'!$AR$2:$AR$1001,0))</f>
        <v/>
      </c>
      <c r="Q266" s="7">
        <f>IF($Y266="","",P266*O266)</f>
        <v/>
      </c>
      <c r="R266">
        <f>IF($Y266="","",Settings!$C$6)</f>
        <v/>
      </c>
      <c r="S266" s="7">
        <f>IF($Y266="","",SUMIFS('Per Line'!$Z$2:$Z$1001,'Per Line'!$E$2:$E$1001,$B266,'Per Line'!$AQ$2:$AQ$1001,1,'Per Line'!$AR$2:$AR$1001,0))</f>
        <v/>
      </c>
      <c r="T266" s="7">
        <f>IF($Y266="","",S266*R266)</f>
        <v/>
      </c>
      <c r="U266" s="7">
        <f>IF($Y266="","",T266+Q266)</f>
        <v/>
      </c>
      <c r="V266" s="7">
        <f>IF($Y266="","",W266-U266)</f>
        <v/>
      </c>
      <c r="W266" s="7">
        <f>IF($Y266="","",P266+S266+N266)</f>
        <v/>
      </c>
      <c r="X266" s="7">
        <f>IF($Y266="","",W266-U266-L266)</f>
        <v/>
      </c>
      <c r="Y266" s="13">
        <f>IF(ROWS($Y$2:$Y266)&lt;=MAX('Per Line'!$AP$2:$AP$1001),MATCH(ROWS($Y$2:$Y266),'Per Line'!$AP$2:$AP$1001,0),"")</f>
        <v/>
      </c>
    </row>
    <row r="267">
      <c r="A267" s="12" t="n"/>
      <c r="B267">
        <f>IF($Y267="","",INDEX('Per Line'!$E$2:$E$1001,$Y267)&amp;"")</f>
        <v/>
      </c>
      <c r="C267">
        <f>IF($Y267="","",INDEX('Per Line'!$F$2:$F$1001,$Y267)&amp;"")</f>
        <v/>
      </c>
      <c r="D267">
        <f>IF($Y267="","",INDEX('Per Line'!$A$2:$A$1001,$Y267)&amp;"")</f>
        <v/>
      </c>
      <c r="E267">
        <f>IF($Y267="","",INDEX('Per Line'!$B$2:$B$1001,$Y267))</f>
        <v/>
      </c>
      <c r="F267">
        <f>IF($Y267="","",INDEX('Per Line'!$G$2:$G$1001,$Y267)&amp;"")</f>
        <v/>
      </c>
      <c r="G267" s="11">
        <f>IF($Y267="","",INDEX('Per Line'!$H$2:$H$1001,$Y267))</f>
        <v/>
      </c>
      <c r="H267">
        <f>IF($Y267="","",INDEX('Per Line'!$K$2:$K$1001,$Y267)&amp;"")</f>
        <v/>
      </c>
      <c r="I267">
        <f>IF($Y267="","",INDEX('Per Line'!$L$2:$L$1001,$Y267)&amp;"")</f>
        <v/>
      </c>
      <c r="J267">
        <f>IF($Y267="","",INDEX('Per Line'!$M$2:$M$1001,$Y267)&amp;"")</f>
        <v/>
      </c>
      <c r="K267">
        <f>IF($Y267="","",INDEX('Per Line'!$Q$2:$Q$1001,$Y267))</f>
        <v/>
      </c>
      <c r="L267" s="7">
        <f>IF($Y267="","",K267*W267/100)</f>
        <v/>
      </c>
      <c r="M267">
        <f>IF($Y267="","",INDEX('Per Line'!$AD$2:$AD$1001,$Y267)&amp;"")</f>
        <v/>
      </c>
      <c r="N267" s="7">
        <f>IF($Y267="","",SUMIFS('Per Line'!$Z$2:$Z$1001,'Per Line'!$E$2:$E$1001,$B267,'Per Line'!$AR$2:$AR$1001,1))</f>
        <v/>
      </c>
      <c r="O267">
        <f>IF($Y267="","",Settings!$C$7)</f>
        <v/>
      </c>
      <c r="P267" s="7">
        <f>IF($Y267="","",SUMIFS('Per Line'!$Z$2:$Z$1001,'Per Line'!$E$2:$E$1001,$B267,'Per Line'!$AQ$2:$AQ$1001,0,'Per Line'!$AR$2:$AR$1001,0))</f>
        <v/>
      </c>
      <c r="Q267" s="7">
        <f>IF($Y267="","",P267*O267)</f>
        <v/>
      </c>
      <c r="R267">
        <f>IF($Y267="","",Settings!$C$6)</f>
        <v/>
      </c>
      <c r="S267" s="7">
        <f>IF($Y267="","",SUMIFS('Per Line'!$Z$2:$Z$1001,'Per Line'!$E$2:$E$1001,$B267,'Per Line'!$AQ$2:$AQ$1001,1,'Per Line'!$AR$2:$AR$1001,0))</f>
        <v/>
      </c>
      <c r="T267" s="7">
        <f>IF($Y267="","",S267*R267)</f>
        <v/>
      </c>
      <c r="U267" s="7">
        <f>IF($Y267="","",T267+Q267)</f>
        <v/>
      </c>
      <c r="V267" s="7">
        <f>IF($Y267="","",W267-U267)</f>
        <v/>
      </c>
      <c r="W267" s="7">
        <f>IF($Y267="","",P267+S267+N267)</f>
        <v/>
      </c>
      <c r="X267" s="7">
        <f>IF($Y267="","",W267-U267-L267)</f>
        <v/>
      </c>
      <c r="Y267" s="13">
        <f>IF(ROWS($Y$2:$Y267)&lt;=MAX('Per Line'!$AP$2:$AP$1001),MATCH(ROWS($Y$2:$Y267),'Per Line'!$AP$2:$AP$1001,0),"")</f>
        <v/>
      </c>
    </row>
    <row r="268">
      <c r="A268" s="12" t="n"/>
      <c r="B268">
        <f>IF($Y268="","",INDEX('Per Line'!$E$2:$E$1001,$Y268)&amp;"")</f>
        <v/>
      </c>
      <c r="C268">
        <f>IF($Y268="","",INDEX('Per Line'!$F$2:$F$1001,$Y268)&amp;"")</f>
        <v/>
      </c>
      <c r="D268">
        <f>IF($Y268="","",INDEX('Per Line'!$A$2:$A$1001,$Y268)&amp;"")</f>
        <v/>
      </c>
      <c r="E268">
        <f>IF($Y268="","",INDEX('Per Line'!$B$2:$B$1001,$Y268))</f>
        <v/>
      </c>
      <c r="F268">
        <f>IF($Y268="","",INDEX('Per Line'!$G$2:$G$1001,$Y268)&amp;"")</f>
        <v/>
      </c>
      <c r="G268" s="11">
        <f>IF($Y268="","",INDEX('Per Line'!$H$2:$H$1001,$Y268))</f>
        <v/>
      </c>
      <c r="H268">
        <f>IF($Y268="","",INDEX('Per Line'!$K$2:$K$1001,$Y268)&amp;"")</f>
        <v/>
      </c>
      <c r="I268">
        <f>IF($Y268="","",INDEX('Per Line'!$L$2:$L$1001,$Y268)&amp;"")</f>
        <v/>
      </c>
      <c r="J268">
        <f>IF($Y268="","",INDEX('Per Line'!$M$2:$M$1001,$Y268)&amp;"")</f>
        <v/>
      </c>
      <c r="K268">
        <f>IF($Y268="","",INDEX('Per Line'!$Q$2:$Q$1001,$Y268))</f>
        <v/>
      </c>
      <c r="L268" s="7">
        <f>IF($Y268="","",K268*W268/100)</f>
        <v/>
      </c>
      <c r="M268">
        <f>IF($Y268="","",INDEX('Per Line'!$AD$2:$AD$1001,$Y268)&amp;"")</f>
        <v/>
      </c>
      <c r="N268" s="7">
        <f>IF($Y268="","",SUMIFS('Per Line'!$Z$2:$Z$1001,'Per Line'!$E$2:$E$1001,$B268,'Per Line'!$AR$2:$AR$1001,1))</f>
        <v/>
      </c>
      <c r="O268">
        <f>IF($Y268="","",Settings!$C$7)</f>
        <v/>
      </c>
      <c r="P268" s="7">
        <f>IF($Y268="","",SUMIFS('Per Line'!$Z$2:$Z$1001,'Per Line'!$E$2:$E$1001,$B268,'Per Line'!$AQ$2:$AQ$1001,0,'Per Line'!$AR$2:$AR$1001,0))</f>
        <v/>
      </c>
      <c r="Q268" s="7">
        <f>IF($Y268="","",P268*O268)</f>
        <v/>
      </c>
      <c r="R268">
        <f>IF($Y268="","",Settings!$C$6)</f>
        <v/>
      </c>
      <c r="S268" s="7">
        <f>IF($Y268="","",SUMIFS('Per Line'!$Z$2:$Z$1001,'Per Line'!$E$2:$E$1001,$B268,'Per Line'!$AQ$2:$AQ$1001,1,'Per Line'!$AR$2:$AR$1001,0))</f>
        <v/>
      </c>
      <c r="T268" s="7">
        <f>IF($Y268="","",S268*R268)</f>
        <v/>
      </c>
      <c r="U268" s="7">
        <f>IF($Y268="","",T268+Q268)</f>
        <v/>
      </c>
      <c r="V268" s="7">
        <f>IF($Y268="","",W268-U268)</f>
        <v/>
      </c>
      <c r="W268" s="7">
        <f>IF($Y268="","",P268+S268+N268)</f>
        <v/>
      </c>
      <c r="X268" s="7">
        <f>IF($Y268="","",W268-U268-L268)</f>
        <v/>
      </c>
      <c r="Y268" s="13">
        <f>IF(ROWS($Y$2:$Y268)&lt;=MAX('Per Line'!$AP$2:$AP$1001),MATCH(ROWS($Y$2:$Y268),'Per Line'!$AP$2:$AP$1001,0),"")</f>
        <v/>
      </c>
    </row>
    <row r="269">
      <c r="A269" s="12" t="n"/>
      <c r="B269">
        <f>IF($Y269="","",INDEX('Per Line'!$E$2:$E$1001,$Y269)&amp;"")</f>
        <v/>
      </c>
      <c r="C269">
        <f>IF($Y269="","",INDEX('Per Line'!$F$2:$F$1001,$Y269)&amp;"")</f>
        <v/>
      </c>
      <c r="D269">
        <f>IF($Y269="","",INDEX('Per Line'!$A$2:$A$1001,$Y269)&amp;"")</f>
        <v/>
      </c>
      <c r="E269">
        <f>IF($Y269="","",INDEX('Per Line'!$B$2:$B$1001,$Y269))</f>
        <v/>
      </c>
      <c r="F269">
        <f>IF($Y269="","",INDEX('Per Line'!$G$2:$G$1001,$Y269)&amp;"")</f>
        <v/>
      </c>
      <c r="G269" s="11">
        <f>IF($Y269="","",INDEX('Per Line'!$H$2:$H$1001,$Y269))</f>
        <v/>
      </c>
      <c r="H269">
        <f>IF($Y269="","",INDEX('Per Line'!$K$2:$K$1001,$Y269)&amp;"")</f>
        <v/>
      </c>
      <c r="I269">
        <f>IF($Y269="","",INDEX('Per Line'!$L$2:$L$1001,$Y269)&amp;"")</f>
        <v/>
      </c>
      <c r="J269">
        <f>IF($Y269="","",INDEX('Per Line'!$M$2:$M$1001,$Y269)&amp;"")</f>
        <v/>
      </c>
      <c r="K269">
        <f>IF($Y269="","",INDEX('Per Line'!$Q$2:$Q$1001,$Y269))</f>
        <v/>
      </c>
      <c r="L269" s="7">
        <f>IF($Y269="","",K269*W269/100)</f>
        <v/>
      </c>
      <c r="M269">
        <f>IF($Y269="","",INDEX('Per Line'!$AD$2:$AD$1001,$Y269)&amp;"")</f>
        <v/>
      </c>
      <c r="N269" s="7">
        <f>IF($Y269="","",SUMIFS('Per Line'!$Z$2:$Z$1001,'Per Line'!$E$2:$E$1001,$B269,'Per Line'!$AR$2:$AR$1001,1))</f>
        <v/>
      </c>
      <c r="O269">
        <f>IF($Y269="","",Settings!$C$7)</f>
        <v/>
      </c>
      <c r="P269" s="7">
        <f>IF($Y269="","",SUMIFS('Per Line'!$Z$2:$Z$1001,'Per Line'!$E$2:$E$1001,$B269,'Per Line'!$AQ$2:$AQ$1001,0,'Per Line'!$AR$2:$AR$1001,0))</f>
        <v/>
      </c>
      <c r="Q269" s="7">
        <f>IF($Y269="","",P269*O269)</f>
        <v/>
      </c>
      <c r="R269">
        <f>IF($Y269="","",Settings!$C$6)</f>
        <v/>
      </c>
      <c r="S269" s="7">
        <f>IF($Y269="","",SUMIFS('Per Line'!$Z$2:$Z$1001,'Per Line'!$E$2:$E$1001,$B269,'Per Line'!$AQ$2:$AQ$1001,1,'Per Line'!$AR$2:$AR$1001,0))</f>
        <v/>
      </c>
      <c r="T269" s="7">
        <f>IF($Y269="","",S269*R269)</f>
        <v/>
      </c>
      <c r="U269" s="7">
        <f>IF($Y269="","",T269+Q269)</f>
        <v/>
      </c>
      <c r="V269" s="7">
        <f>IF($Y269="","",W269-U269)</f>
        <v/>
      </c>
      <c r="W269" s="7">
        <f>IF($Y269="","",P269+S269+N269)</f>
        <v/>
      </c>
      <c r="X269" s="7">
        <f>IF($Y269="","",W269-U269-L269)</f>
        <v/>
      </c>
      <c r="Y269" s="13">
        <f>IF(ROWS($Y$2:$Y269)&lt;=MAX('Per Line'!$AP$2:$AP$1001),MATCH(ROWS($Y$2:$Y269),'Per Line'!$AP$2:$AP$1001,0),"")</f>
        <v/>
      </c>
    </row>
    <row r="270">
      <c r="A270" s="12" t="n"/>
      <c r="B270">
        <f>IF($Y270="","",INDEX('Per Line'!$E$2:$E$1001,$Y270)&amp;"")</f>
        <v/>
      </c>
      <c r="C270">
        <f>IF($Y270="","",INDEX('Per Line'!$F$2:$F$1001,$Y270)&amp;"")</f>
        <v/>
      </c>
      <c r="D270">
        <f>IF($Y270="","",INDEX('Per Line'!$A$2:$A$1001,$Y270)&amp;"")</f>
        <v/>
      </c>
      <c r="E270">
        <f>IF($Y270="","",INDEX('Per Line'!$B$2:$B$1001,$Y270))</f>
        <v/>
      </c>
      <c r="F270">
        <f>IF($Y270="","",INDEX('Per Line'!$G$2:$G$1001,$Y270)&amp;"")</f>
        <v/>
      </c>
      <c r="G270" s="11">
        <f>IF($Y270="","",INDEX('Per Line'!$H$2:$H$1001,$Y270))</f>
        <v/>
      </c>
      <c r="H270">
        <f>IF($Y270="","",INDEX('Per Line'!$K$2:$K$1001,$Y270)&amp;"")</f>
        <v/>
      </c>
      <c r="I270">
        <f>IF($Y270="","",INDEX('Per Line'!$L$2:$L$1001,$Y270)&amp;"")</f>
        <v/>
      </c>
      <c r="J270">
        <f>IF($Y270="","",INDEX('Per Line'!$M$2:$M$1001,$Y270)&amp;"")</f>
        <v/>
      </c>
      <c r="K270">
        <f>IF($Y270="","",INDEX('Per Line'!$Q$2:$Q$1001,$Y270))</f>
        <v/>
      </c>
      <c r="L270" s="7">
        <f>IF($Y270="","",K270*W270/100)</f>
        <v/>
      </c>
      <c r="M270">
        <f>IF($Y270="","",INDEX('Per Line'!$AD$2:$AD$1001,$Y270)&amp;"")</f>
        <v/>
      </c>
      <c r="N270" s="7">
        <f>IF($Y270="","",SUMIFS('Per Line'!$Z$2:$Z$1001,'Per Line'!$E$2:$E$1001,$B270,'Per Line'!$AR$2:$AR$1001,1))</f>
        <v/>
      </c>
      <c r="O270">
        <f>IF($Y270="","",Settings!$C$7)</f>
        <v/>
      </c>
      <c r="P270" s="7">
        <f>IF($Y270="","",SUMIFS('Per Line'!$Z$2:$Z$1001,'Per Line'!$E$2:$E$1001,$B270,'Per Line'!$AQ$2:$AQ$1001,0,'Per Line'!$AR$2:$AR$1001,0))</f>
        <v/>
      </c>
      <c r="Q270" s="7">
        <f>IF($Y270="","",P270*O270)</f>
        <v/>
      </c>
      <c r="R270">
        <f>IF($Y270="","",Settings!$C$6)</f>
        <v/>
      </c>
      <c r="S270" s="7">
        <f>IF($Y270="","",SUMIFS('Per Line'!$Z$2:$Z$1001,'Per Line'!$E$2:$E$1001,$B270,'Per Line'!$AQ$2:$AQ$1001,1,'Per Line'!$AR$2:$AR$1001,0))</f>
        <v/>
      </c>
      <c r="T270" s="7">
        <f>IF($Y270="","",S270*R270)</f>
        <v/>
      </c>
      <c r="U270" s="7">
        <f>IF($Y270="","",T270+Q270)</f>
        <v/>
      </c>
      <c r="V270" s="7">
        <f>IF($Y270="","",W270-U270)</f>
        <v/>
      </c>
      <c r="W270" s="7">
        <f>IF($Y270="","",P270+S270+N270)</f>
        <v/>
      </c>
      <c r="X270" s="7">
        <f>IF($Y270="","",W270-U270-L270)</f>
        <v/>
      </c>
      <c r="Y270" s="13">
        <f>IF(ROWS($Y$2:$Y270)&lt;=MAX('Per Line'!$AP$2:$AP$1001),MATCH(ROWS($Y$2:$Y270),'Per Line'!$AP$2:$AP$1001,0),"")</f>
        <v/>
      </c>
    </row>
    <row r="271">
      <c r="A271" s="12" t="n"/>
      <c r="B271">
        <f>IF($Y271="","",INDEX('Per Line'!$E$2:$E$1001,$Y271)&amp;"")</f>
        <v/>
      </c>
      <c r="C271">
        <f>IF($Y271="","",INDEX('Per Line'!$F$2:$F$1001,$Y271)&amp;"")</f>
        <v/>
      </c>
      <c r="D271">
        <f>IF($Y271="","",INDEX('Per Line'!$A$2:$A$1001,$Y271)&amp;"")</f>
        <v/>
      </c>
      <c r="E271">
        <f>IF($Y271="","",INDEX('Per Line'!$B$2:$B$1001,$Y271))</f>
        <v/>
      </c>
      <c r="F271">
        <f>IF($Y271="","",INDEX('Per Line'!$G$2:$G$1001,$Y271)&amp;"")</f>
        <v/>
      </c>
      <c r="G271" s="11">
        <f>IF($Y271="","",INDEX('Per Line'!$H$2:$H$1001,$Y271))</f>
        <v/>
      </c>
      <c r="H271">
        <f>IF($Y271="","",INDEX('Per Line'!$K$2:$K$1001,$Y271)&amp;"")</f>
        <v/>
      </c>
      <c r="I271">
        <f>IF($Y271="","",INDEX('Per Line'!$L$2:$L$1001,$Y271)&amp;"")</f>
        <v/>
      </c>
      <c r="J271">
        <f>IF($Y271="","",INDEX('Per Line'!$M$2:$M$1001,$Y271)&amp;"")</f>
        <v/>
      </c>
      <c r="K271">
        <f>IF($Y271="","",INDEX('Per Line'!$Q$2:$Q$1001,$Y271))</f>
        <v/>
      </c>
      <c r="L271" s="7">
        <f>IF($Y271="","",K271*W271/100)</f>
        <v/>
      </c>
      <c r="M271">
        <f>IF($Y271="","",INDEX('Per Line'!$AD$2:$AD$1001,$Y271)&amp;"")</f>
        <v/>
      </c>
      <c r="N271" s="7">
        <f>IF($Y271="","",SUMIFS('Per Line'!$Z$2:$Z$1001,'Per Line'!$E$2:$E$1001,$B271,'Per Line'!$AR$2:$AR$1001,1))</f>
        <v/>
      </c>
      <c r="O271">
        <f>IF($Y271="","",Settings!$C$7)</f>
        <v/>
      </c>
      <c r="P271" s="7">
        <f>IF($Y271="","",SUMIFS('Per Line'!$Z$2:$Z$1001,'Per Line'!$E$2:$E$1001,$B271,'Per Line'!$AQ$2:$AQ$1001,0,'Per Line'!$AR$2:$AR$1001,0))</f>
        <v/>
      </c>
      <c r="Q271" s="7">
        <f>IF($Y271="","",P271*O271)</f>
        <v/>
      </c>
      <c r="R271">
        <f>IF($Y271="","",Settings!$C$6)</f>
        <v/>
      </c>
      <c r="S271" s="7">
        <f>IF($Y271="","",SUMIFS('Per Line'!$Z$2:$Z$1001,'Per Line'!$E$2:$E$1001,$B271,'Per Line'!$AQ$2:$AQ$1001,1,'Per Line'!$AR$2:$AR$1001,0))</f>
        <v/>
      </c>
      <c r="T271" s="7">
        <f>IF($Y271="","",S271*R271)</f>
        <v/>
      </c>
      <c r="U271" s="7">
        <f>IF($Y271="","",T271+Q271)</f>
        <v/>
      </c>
      <c r="V271" s="7">
        <f>IF($Y271="","",W271-U271)</f>
        <v/>
      </c>
      <c r="W271" s="7">
        <f>IF($Y271="","",P271+S271+N271)</f>
        <v/>
      </c>
      <c r="X271" s="7">
        <f>IF($Y271="","",W271-U271-L271)</f>
        <v/>
      </c>
      <c r="Y271" s="13">
        <f>IF(ROWS($Y$2:$Y271)&lt;=MAX('Per Line'!$AP$2:$AP$1001),MATCH(ROWS($Y$2:$Y271),'Per Line'!$AP$2:$AP$1001,0),"")</f>
        <v/>
      </c>
    </row>
    <row r="272">
      <c r="A272" s="12" t="n"/>
      <c r="B272">
        <f>IF($Y272="","",INDEX('Per Line'!$E$2:$E$1001,$Y272)&amp;"")</f>
        <v/>
      </c>
      <c r="C272">
        <f>IF($Y272="","",INDEX('Per Line'!$F$2:$F$1001,$Y272)&amp;"")</f>
        <v/>
      </c>
      <c r="D272">
        <f>IF($Y272="","",INDEX('Per Line'!$A$2:$A$1001,$Y272)&amp;"")</f>
        <v/>
      </c>
      <c r="E272">
        <f>IF($Y272="","",INDEX('Per Line'!$B$2:$B$1001,$Y272))</f>
        <v/>
      </c>
      <c r="F272">
        <f>IF($Y272="","",INDEX('Per Line'!$G$2:$G$1001,$Y272)&amp;"")</f>
        <v/>
      </c>
      <c r="G272" s="11">
        <f>IF($Y272="","",INDEX('Per Line'!$H$2:$H$1001,$Y272))</f>
        <v/>
      </c>
      <c r="H272">
        <f>IF($Y272="","",INDEX('Per Line'!$K$2:$K$1001,$Y272)&amp;"")</f>
        <v/>
      </c>
      <c r="I272">
        <f>IF($Y272="","",INDEX('Per Line'!$L$2:$L$1001,$Y272)&amp;"")</f>
        <v/>
      </c>
      <c r="J272">
        <f>IF($Y272="","",INDEX('Per Line'!$M$2:$M$1001,$Y272)&amp;"")</f>
        <v/>
      </c>
      <c r="K272">
        <f>IF($Y272="","",INDEX('Per Line'!$Q$2:$Q$1001,$Y272))</f>
        <v/>
      </c>
      <c r="L272" s="7">
        <f>IF($Y272="","",K272*W272/100)</f>
        <v/>
      </c>
      <c r="M272">
        <f>IF($Y272="","",INDEX('Per Line'!$AD$2:$AD$1001,$Y272)&amp;"")</f>
        <v/>
      </c>
      <c r="N272" s="7">
        <f>IF($Y272="","",SUMIFS('Per Line'!$Z$2:$Z$1001,'Per Line'!$E$2:$E$1001,$B272,'Per Line'!$AR$2:$AR$1001,1))</f>
        <v/>
      </c>
      <c r="O272">
        <f>IF($Y272="","",Settings!$C$7)</f>
        <v/>
      </c>
      <c r="P272" s="7">
        <f>IF($Y272="","",SUMIFS('Per Line'!$Z$2:$Z$1001,'Per Line'!$E$2:$E$1001,$B272,'Per Line'!$AQ$2:$AQ$1001,0,'Per Line'!$AR$2:$AR$1001,0))</f>
        <v/>
      </c>
      <c r="Q272" s="7">
        <f>IF($Y272="","",P272*O272)</f>
        <v/>
      </c>
      <c r="R272">
        <f>IF($Y272="","",Settings!$C$6)</f>
        <v/>
      </c>
      <c r="S272" s="7">
        <f>IF($Y272="","",SUMIFS('Per Line'!$Z$2:$Z$1001,'Per Line'!$E$2:$E$1001,$B272,'Per Line'!$AQ$2:$AQ$1001,1,'Per Line'!$AR$2:$AR$1001,0))</f>
        <v/>
      </c>
      <c r="T272" s="7">
        <f>IF($Y272="","",S272*R272)</f>
        <v/>
      </c>
      <c r="U272" s="7">
        <f>IF($Y272="","",T272+Q272)</f>
        <v/>
      </c>
      <c r="V272" s="7">
        <f>IF($Y272="","",W272-U272)</f>
        <v/>
      </c>
      <c r="W272" s="7">
        <f>IF($Y272="","",P272+S272+N272)</f>
        <v/>
      </c>
      <c r="X272" s="7">
        <f>IF($Y272="","",W272-U272-L272)</f>
        <v/>
      </c>
      <c r="Y272" s="13">
        <f>IF(ROWS($Y$2:$Y272)&lt;=MAX('Per Line'!$AP$2:$AP$1001),MATCH(ROWS($Y$2:$Y272),'Per Line'!$AP$2:$AP$1001,0),"")</f>
        <v/>
      </c>
    </row>
    <row r="273">
      <c r="A273" s="12" t="n"/>
      <c r="B273">
        <f>IF($Y273="","",INDEX('Per Line'!$E$2:$E$1001,$Y273)&amp;"")</f>
        <v/>
      </c>
      <c r="C273">
        <f>IF($Y273="","",INDEX('Per Line'!$F$2:$F$1001,$Y273)&amp;"")</f>
        <v/>
      </c>
      <c r="D273">
        <f>IF($Y273="","",INDEX('Per Line'!$A$2:$A$1001,$Y273)&amp;"")</f>
        <v/>
      </c>
      <c r="E273">
        <f>IF($Y273="","",INDEX('Per Line'!$B$2:$B$1001,$Y273))</f>
        <v/>
      </c>
      <c r="F273">
        <f>IF($Y273="","",INDEX('Per Line'!$G$2:$G$1001,$Y273)&amp;"")</f>
        <v/>
      </c>
      <c r="G273" s="11">
        <f>IF($Y273="","",INDEX('Per Line'!$H$2:$H$1001,$Y273))</f>
        <v/>
      </c>
      <c r="H273">
        <f>IF($Y273="","",INDEX('Per Line'!$K$2:$K$1001,$Y273)&amp;"")</f>
        <v/>
      </c>
      <c r="I273">
        <f>IF($Y273="","",INDEX('Per Line'!$L$2:$L$1001,$Y273)&amp;"")</f>
        <v/>
      </c>
      <c r="J273">
        <f>IF($Y273="","",INDEX('Per Line'!$M$2:$M$1001,$Y273)&amp;"")</f>
        <v/>
      </c>
      <c r="K273">
        <f>IF($Y273="","",INDEX('Per Line'!$Q$2:$Q$1001,$Y273))</f>
        <v/>
      </c>
      <c r="L273" s="7">
        <f>IF($Y273="","",K273*W273/100)</f>
        <v/>
      </c>
      <c r="M273">
        <f>IF($Y273="","",INDEX('Per Line'!$AD$2:$AD$1001,$Y273)&amp;"")</f>
        <v/>
      </c>
      <c r="N273" s="7">
        <f>IF($Y273="","",SUMIFS('Per Line'!$Z$2:$Z$1001,'Per Line'!$E$2:$E$1001,$B273,'Per Line'!$AR$2:$AR$1001,1))</f>
        <v/>
      </c>
      <c r="O273">
        <f>IF($Y273="","",Settings!$C$7)</f>
        <v/>
      </c>
      <c r="P273" s="7">
        <f>IF($Y273="","",SUMIFS('Per Line'!$Z$2:$Z$1001,'Per Line'!$E$2:$E$1001,$B273,'Per Line'!$AQ$2:$AQ$1001,0,'Per Line'!$AR$2:$AR$1001,0))</f>
        <v/>
      </c>
      <c r="Q273" s="7">
        <f>IF($Y273="","",P273*O273)</f>
        <v/>
      </c>
      <c r="R273">
        <f>IF($Y273="","",Settings!$C$6)</f>
        <v/>
      </c>
      <c r="S273" s="7">
        <f>IF($Y273="","",SUMIFS('Per Line'!$Z$2:$Z$1001,'Per Line'!$E$2:$E$1001,$B273,'Per Line'!$AQ$2:$AQ$1001,1,'Per Line'!$AR$2:$AR$1001,0))</f>
        <v/>
      </c>
      <c r="T273" s="7">
        <f>IF($Y273="","",S273*R273)</f>
        <v/>
      </c>
      <c r="U273" s="7">
        <f>IF($Y273="","",T273+Q273)</f>
        <v/>
      </c>
      <c r="V273" s="7">
        <f>IF($Y273="","",W273-U273)</f>
        <v/>
      </c>
      <c r="W273" s="7">
        <f>IF($Y273="","",P273+S273+N273)</f>
        <v/>
      </c>
      <c r="X273" s="7">
        <f>IF($Y273="","",W273-U273-L273)</f>
        <v/>
      </c>
      <c r="Y273" s="13">
        <f>IF(ROWS($Y$2:$Y273)&lt;=MAX('Per Line'!$AP$2:$AP$1001),MATCH(ROWS($Y$2:$Y273),'Per Line'!$AP$2:$AP$1001,0),"")</f>
        <v/>
      </c>
    </row>
    <row r="274">
      <c r="A274" s="12" t="n"/>
      <c r="B274">
        <f>IF($Y274="","",INDEX('Per Line'!$E$2:$E$1001,$Y274)&amp;"")</f>
        <v/>
      </c>
      <c r="C274">
        <f>IF($Y274="","",INDEX('Per Line'!$F$2:$F$1001,$Y274)&amp;"")</f>
        <v/>
      </c>
      <c r="D274">
        <f>IF($Y274="","",INDEX('Per Line'!$A$2:$A$1001,$Y274)&amp;"")</f>
        <v/>
      </c>
      <c r="E274">
        <f>IF($Y274="","",INDEX('Per Line'!$B$2:$B$1001,$Y274))</f>
        <v/>
      </c>
      <c r="F274">
        <f>IF($Y274="","",INDEX('Per Line'!$G$2:$G$1001,$Y274)&amp;"")</f>
        <v/>
      </c>
      <c r="G274" s="11">
        <f>IF($Y274="","",INDEX('Per Line'!$H$2:$H$1001,$Y274))</f>
        <v/>
      </c>
      <c r="H274">
        <f>IF($Y274="","",INDEX('Per Line'!$K$2:$K$1001,$Y274)&amp;"")</f>
        <v/>
      </c>
      <c r="I274">
        <f>IF($Y274="","",INDEX('Per Line'!$L$2:$L$1001,$Y274)&amp;"")</f>
        <v/>
      </c>
      <c r="J274">
        <f>IF($Y274="","",INDEX('Per Line'!$M$2:$M$1001,$Y274)&amp;"")</f>
        <v/>
      </c>
      <c r="K274">
        <f>IF($Y274="","",INDEX('Per Line'!$Q$2:$Q$1001,$Y274))</f>
        <v/>
      </c>
      <c r="L274" s="7">
        <f>IF($Y274="","",K274*W274/100)</f>
        <v/>
      </c>
      <c r="M274">
        <f>IF($Y274="","",INDEX('Per Line'!$AD$2:$AD$1001,$Y274)&amp;"")</f>
        <v/>
      </c>
      <c r="N274" s="7">
        <f>IF($Y274="","",SUMIFS('Per Line'!$Z$2:$Z$1001,'Per Line'!$E$2:$E$1001,$B274,'Per Line'!$AR$2:$AR$1001,1))</f>
        <v/>
      </c>
      <c r="O274">
        <f>IF($Y274="","",Settings!$C$7)</f>
        <v/>
      </c>
      <c r="P274" s="7">
        <f>IF($Y274="","",SUMIFS('Per Line'!$Z$2:$Z$1001,'Per Line'!$E$2:$E$1001,$B274,'Per Line'!$AQ$2:$AQ$1001,0,'Per Line'!$AR$2:$AR$1001,0))</f>
        <v/>
      </c>
      <c r="Q274" s="7">
        <f>IF($Y274="","",P274*O274)</f>
        <v/>
      </c>
      <c r="R274">
        <f>IF($Y274="","",Settings!$C$6)</f>
        <v/>
      </c>
      <c r="S274" s="7">
        <f>IF($Y274="","",SUMIFS('Per Line'!$Z$2:$Z$1001,'Per Line'!$E$2:$E$1001,$B274,'Per Line'!$AQ$2:$AQ$1001,1,'Per Line'!$AR$2:$AR$1001,0))</f>
        <v/>
      </c>
      <c r="T274" s="7">
        <f>IF($Y274="","",S274*R274)</f>
        <v/>
      </c>
      <c r="U274" s="7">
        <f>IF($Y274="","",T274+Q274)</f>
        <v/>
      </c>
      <c r="V274" s="7">
        <f>IF($Y274="","",W274-U274)</f>
        <v/>
      </c>
      <c r="W274" s="7">
        <f>IF($Y274="","",P274+S274+N274)</f>
        <v/>
      </c>
      <c r="X274" s="7">
        <f>IF($Y274="","",W274-U274-L274)</f>
        <v/>
      </c>
      <c r="Y274" s="13">
        <f>IF(ROWS($Y$2:$Y274)&lt;=MAX('Per Line'!$AP$2:$AP$1001),MATCH(ROWS($Y$2:$Y274),'Per Line'!$AP$2:$AP$1001,0),"")</f>
        <v/>
      </c>
    </row>
    <row r="275">
      <c r="A275" s="12" t="n"/>
      <c r="B275">
        <f>IF($Y275="","",INDEX('Per Line'!$E$2:$E$1001,$Y275)&amp;"")</f>
        <v/>
      </c>
      <c r="C275">
        <f>IF($Y275="","",INDEX('Per Line'!$F$2:$F$1001,$Y275)&amp;"")</f>
        <v/>
      </c>
      <c r="D275">
        <f>IF($Y275="","",INDEX('Per Line'!$A$2:$A$1001,$Y275)&amp;"")</f>
        <v/>
      </c>
      <c r="E275">
        <f>IF($Y275="","",INDEX('Per Line'!$B$2:$B$1001,$Y275))</f>
        <v/>
      </c>
      <c r="F275">
        <f>IF($Y275="","",INDEX('Per Line'!$G$2:$G$1001,$Y275)&amp;"")</f>
        <v/>
      </c>
      <c r="G275" s="11">
        <f>IF($Y275="","",INDEX('Per Line'!$H$2:$H$1001,$Y275))</f>
        <v/>
      </c>
      <c r="H275">
        <f>IF($Y275="","",INDEX('Per Line'!$K$2:$K$1001,$Y275)&amp;"")</f>
        <v/>
      </c>
      <c r="I275">
        <f>IF($Y275="","",INDEX('Per Line'!$L$2:$L$1001,$Y275)&amp;"")</f>
        <v/>
      </c>
      <c r="J275">
        <f>IF($Y275="","",INDEX('Per Line'!$M$2:$M$1001,$Y275)&amp;"")</f>
        <v/>
      </c>
      <c r="K275">
        <f>IF($Y275="","",INDEX('Per Line'!$Q$2:$Q$1001,$Y275))</f>
        <v/>
      </c>
      <c r="L275" s="7">
        <f>IF($Y275="","",K275*W275/100)</f>
        <v/>
      </c>
      <c r="M275">
        <f>IF($Y275="","",INDEX('Per Line'!$AD$2:$AD$1001,$Y275)&amp;"")</f>
        <v/>
      </c>
      <c r="N275" s="7">
        <f>IF($Y275="","",SUMIFS('Per Line'!$Z$2:$Z$1001,'Per Line'!$E$2:$E$1001,$B275,'Per Line'!$AR$2:$AR$1001,1))</f>
        <v/>
      </c>
      <c r="O275">
        <f>IF($Y275="","",Settings!$C$7)</f>
        <v/>
      </c>
      <c r="P275" s="7">
        <f>IF($Y275="","",SUMIFS('Per Line'!$Z$2:$Z$1001,'Per Line'!$E$2:$E$1001,$B275,'Per Line'!$AQ$2:$AQ$1001,0,'Per Line'!$AR$2:$AR$1001,0))</f>
        <v/>
      </c>
      <c r="Q275" s="7">
        <f>IF($Y275="","",P275*O275)</f>
        <v/>
      </c>
      <c r="R275">
        <f>IF($Y275="","",Settings!$C$6)</f>
        <v/>
      </c>
      <c r="S275" s="7">
        <f>IF($Y275="","",SUMIFS('Per Line'!$Z$2:$Z$1001,'Per Line'!$E$2:$E$1001,$B275,'Per Line'!$AQ$2:$AQ$1001,1,'Per Line'!$AR$2:$AR$1001,0))</f>
        <v/>
      </c>
      <c r="T275" s="7">
        <f>IF($Y275="","",S275*R275)</f>
        <v/>
      </c>
      <c r="U275" s="7">
        <f>IF($Y275="","",T275+Q275)</f>
        <v/>
      </c>
      <c r="V275" s="7">
        <f>IF($Y275="","",W275-U275)</f>
        <v/>
      </c>
      <c r="W275" s="7">
        <f>IF($Y275="","",P275+S275+N275)</f>
        <v/>
      </c>
      <c r="X275" s="7">
        <f>IF($Y275="","",W275-U275-L275)</f>
        <v/>
      </c>
      <c r="Y275" s="13">
        <f>IF(ROWS($Y$2:$Y275)&lt;=MAX('Per Line'!$AP$2:$AP$1001),MATCH(ROWS($Y$2:$Y275),'Per Line'!$AP$2:$AP$1001,0),"")</f>
        <v/>
      </c>
    </row>
    <row r="276">
      <c r="A276" s="12" t="n"/>
      <c r="B276">
        <f>IF($Y276="","",INDEX('Per Line'!$E$2:$E$1001,$Y276)&amp;"")</f>
        <v/>
      </c>
      <c r="C276">
        <f>IF($Y276="","",INDEX('Per Line'!$F$2:$F$1001,$Y276)&amp;"")</f>
        <v/>
      </c>
      <c r="D276">
        <f>IF($Y276="","",INDEX('Per Line'!$A$2:$A$1001,$Y276)&amp;"")</f>
        <v/>
      </c>
      <c r="E276">
        <f>IF($Y276="","",INDEX('Per Line'!$B$2:$B$1001,$Y276))</f>
        <v/>
      </c>
      <c r="F276">
        <f>IF($Y276="","",INDEX('Per Line'!$G$2:$G$1001,$Y276)&amp;"")</f>
        <v/>
      </c>
      <c r="G276" s="11">
        <f>IF($Y276="","",INDEX('Per Line'!$H$2:$H$1001,$Y276))</f>
        <v/>
      </c>
      <c r="H276">
        <f>IF($Y276="","",INDEX('Per Line'!$K$2:$K$1001,$Y276)&amp;"")</f>
        <v/>
      </c>
      <c r="I276">
        <f>IF($Y276="","",INDEX('Per Line'!$L$2:$L$1001,$Y276)&amp;"")</f>
        <v/>
      </c>
      <c r="J276">
        <f>IF($Y276="","",INDEX('Per Line'!$M$2:$M$1001,$Y276)&amp;"")</f>
        <v/>
      </c>
      <c r="K276">
        <f>IF($Y276="","",INDEX('Per Line'!$Q$2:$Q$1001,$Y276))</f>
        <v/>
      </c>
      <c r="L276" s="7">
        <f>IF($Y276="","",K276*W276/100)</f>
        <v/>
      </c>
      <c r="M276">
        <f>IF($Y276="","",INDEX('Per Line'!$AD$2:$AD$1001,$Y276)&amp;"")</f>
        <v/>
      </c>
      <c r="N276" s="7">
        <f>IF($Y276="","",SUMIFS('Per Line'!$Z$2:$Z$1001,'Per Line'!$E$2:$E$1001,$B276,'Per Line'!$AR$2:$AR$1001,1))</f>
        <v/>
      </c>
      <c r="O276">
        <f>IF($Y276="","",Settings!$C$7)</f>
        <v/>
      </c>
      <c r="P276" s="7">
        <f>IF($Y276="","",SUMIFS('Per Line'!$Z$2:$Z$1001,'Per Line'!$E$2:$E$1001,$B276,'Per Line'!$AQ$2:$AQ$1001,0,'Per Line'!$AR$2:$AR$1001,0))</f>
        <v/>
      </c>
      <c r="Q276" s="7">
        <f>IF($Y276="","",P276*O276)</f>
        <v/>
      </c>
      <c r="R276">
        <f>IF($Y276="","",Settings!$C$6)</f>
        <v/>
      </c>
      <c r="S276" s="7">
        <f>IF($Y276="","",SUMIFS('Per Line'!$Z$2:$Z$1001,'Per Line'!$E$2:$E$1001,$B276,'Per Line'!$AQ$2:$AQ$1001,1,'Per Line'!$AR$2:$AR$1001,0))</f>
        <v/>
      </c>
      <c r="T276" s="7">
        <f>IF($Y276="","",S276*R276)</f>
        <v/>
      </c>
      <c r="U276" s="7">
        <f>IF($Y276="","",T276+Q276)</f>
        <v/>
      </c>
      <c r="V276" s="7">
        <f>IF($Y276="","",W276-U276)</f>
        <v/>
      </c>
      <c r="W276" s="7">
        <f>IF($Y276="","",P276+S276+N276)</f>
        <v/>
      </c>
      <c r="X276" s="7">
        <f>IF($Y276="","",W276-U276-L276)</f>
        <v/>
      </c>
      <c r="Y276" s="13">
        <f>IF(ROWS($Y$2:$Y276)&lt;=MAX('Per Line'!$AP$2:$AP$1001),MATCH(ROWS($Y$2:$Y276),'Per Line'!$AP$2:$AP$1001,0),"")</f>
        <v/>
      </c>
    </row>
    <row r="277">
      <c r="A277" s="12" t="n"/>
      <c r="B277">
        <f>IF($Y277="","",INDEX('Per Line'!$E$2:$E$1001,$Y277)&amp;"")</f>
        <v/>
      </c>
      <c r="C277">
        <f>IF($Y277="","",INDEX('Per Line'!$F$2:$F$1001,$Y277)&amp;"")</f>
        <v/>
      </c>
      <c r="D277">
        <f>IF($Y277="","",INDEX('Per Line'!$A$2:$A$1001,$Y277)&amp;"")</f>
        <v/>
      </c>
      <c r="E277">
        <f>IF($Y277="","",INDEX('Per Line'!$B$2:$B$1001,$Y277))</f>
        <v/>
      </c>
      <c r="F277">
        <f>IF($Y277="","",INDEX('Per Line'!$G$2:$G$1001,$Y277)&amp;"")</f>
        <v/>
      </c>
      <c r="G277" s="11">
        <f>IF($Y277="","",INDEX('Per Line'!$H$2:$H$1001,$Y277))</f>
        <v/>
      </c>
      <c r="H277">
        <f>IF($Y277="","",INDEX('Per Line'!$K$2:$K$1001,$Y277)&amp;"")</f>
        <v/>
      </c>
      <c r="I277">
        <f>IF($Y277="","",INDEX('Per Line'!$L$2:$L$1001,$Y277)&amp;"")</f>
        <v/>
      </c>
      <c r="J277">
        <f>IF($Y277="","",INDEX('Per Line'!$M$2:$M$1001,$Y277)&amp;"")</f>
        <v/>
      </c>
      <c r="K277">
        <f>IF($Y277="","",INDEX('Per Line'!$Q$2:$Q$1001,$Y277))</f>
        <v/>
      </c>
      <c r="L277" s="7">
        <f>IF($Y277="","",K277*W277/100)</f>
        <v/>
      </c>
      <c r="M277">
        <f>IF($Y277="","",INDEX('Per Line'!$AD$2:$AD$1001,$Y277)&amp;"")</f>
        <v/>
      </c>
      <c r="N277" s="7">
        <f>IF($Y277="","",SUMIFS('Per Line'!$Z$2:$Z$1001,'Per Line'!$E$2:$E$1001,$B277,'Per Line'!$AR$2:$AR$1001,1))</f>
        <v/>
      </c>
      <c r="O277">
        <f>IF($Y277="","",Settings!$C$7)</f>
        <v/>
      </c>
      <c r="P277" s="7">
        <f>IF($Y277="","",SUMIFS('Per Line'!$Z$2:$Z$1001,'Per Line'!$E$2:$E$1001,$B277,'Per Line'!$AQ$2:$AQ$1001,0,'Per Line'!$AR$2:$AR$1001,0))</f>
        <v/>
      </c>
      <c r="Q277" s="7">
        <f>IF($Y277="","",P277*O277)</f>
        <v/>
      </c>
      <c r="R277">
        <f>IF($Y277="","",Settings!$C$6)</f>
        <v/>
      </c>
      <c r="S277" s="7">
        <f>IF($Y277="","",SUMIFS('Per Line'!$Z$2:$Z$1001,'Per Line'!$E$2:$E$1001,$B277,'Per Line'!$AQ$2:$AQ$1001,1,'Per Line'!$AR$2:$AR$1001,0))</f>
        <v/>
      </c>
      <c r="T277" s="7">
        <f>IF($Y277="","",S277*R277)</f>
        <v/>
      </c>
      <c r="U277" s="7">
        <f>IF($Y277="","",T277+Q277)</f>
        <v/>
      </c>
      <c r="V277" s="7">
        <f>IF($Y277="","",W277-U277)</f>
        <v/>
      </c>
      <c r="W277" s="7">
        <f>IF($Y277="","",P277+S277+N277)</f>
        <v/>
      </c>
      <c r="X277" s="7">
        <f>IF($Y277="","",W277-U277-L277)</f>
        <v/>
      </c>
      <c r="Y277" s="13">
        <f>IF(ROWS($Y$2:$Y277)&lt;=MAX('Per Line'!$AP$2:$AP$1001),MATCH(ROWS($Y$2:$Y277),'Per Line'!$AP$2:$AP$1001,0),"")</f>
        <v/>
      </c>
    </row>
    <row r="278">
      <c r="A278" s="12" t="n"/>
      <c r="B278">
        <f>IF($Y278="","",INDEX('Per Line'!$E$2:$E$1001,$Y278)&amp;"")</f>
        <v/>
      </c>
      <c r="C278">
        <f>IF($Y278="","",INDEX('Per Line'!$F$2:$F$1001,$Y278)&amp;"")</f>
        <v/>
      </c>
      <c r="D278">
        <f>IF($Y278="","",INDEX('Per Line'!$A$2:$A$1001,$Y278)&amp;"")</f>
        <v/>
      </c>
      <c r="E278">
        <f>IF($Y278="","",INDEX('Per Line'!$B$2:$B$1001,$Y278))</f>
        <v/>
      </c>
      <c r="F278">
        <f>IF($Y278="","",INDEX('Per Line'!$G$2:$G$1001,$Y278)&amp;"")</f>
        <v/>
      </c>
      <c r="G278" s="11">
        <f>IF($Y278="","",INDEX('Per Line'!$H$2:$H$1001,$Y278))</f>
        <v/>
      </c>
      <c r="H278">
        <f>IF($Y278="","",INDEX('Per Line'!$K$2:$K$1001,$Y278)&amp;"")</f>
        <v/>
      </c>
      <c r="I278">
        <f>IF($Y278="","",INDEX('Per Line'!$L$2:$L$1001,$Y278)&amp;"")</f>
        <v/>
      </c>
      <c r="J278">
        <f>IF($Y278="","",INDEX('Per Line'!$M$2:$M$1001,$Y278)&amp;"")</f>
        <v/>
      </c>
      <c r="K278">
        <f>IF($Y278="","",INDEX('Per Line'!$Q$2:$Q$1001,$Y278))</f>
        <v/>
      </c>
      <c r="L278" s="7">
        <f>IF($Y278="","",K278*W278/100)</f>
        <v/>
      </c>
      <c r="M278">
        <f>IF($Y278="","",INDEX('Per Line'!$AD$2:$AD$1001,$Y278)&amp;"")</f>
        <v/>
      </c>
      <c r="N278" s="7">
        <f>IF($Y278="","",SUMIFS('Per Line'!$Z$2:$Z$1001,'Per Line'!$E$2:$E$1001,$B278,'Per Line'!$AR$2:$AR$1001,1))</f>
        <v/>
      </c>
      <c r="O278">
        <f>IF($Y278="","",Settings!$C$7)</f>
        <v/>
      </c>
      <c r="P278" s="7">
        <f>IF($Y278="","",SUMIFS('Per Line'!$Z$2:$Z$1001,'Per Line'!$E$2:$E$1001,$B278,'Per Line'!$AQ$2:$AQ$1001,0,'Per Line'!$AR$2:$AR$1001,0))</f>
        <v/>
      </c>
      <c r="Q278" s="7">
        <f>IF($Y278="","",P278*O278)</f>
        <v/>
      </c>
      <c r="R278">
        <f>IF($Y278="","",Settings!$C$6)</f>
        <v/>
      </c>
      <c r="S278" s="7">
        <f>IF($Y278="","",SUMIFS('Per Line'!$Z$2:$Z$1001,'Per Line'!$E$2:$E$1001,$B278,'Per Line'!$AQ$2:$AQ$1001,1,'Per Line'!$AR$2:$AR$1001,0))</f>
        <v/>
      </c>
      <c r="T278" s="7">
        <f>IF($Y278="","",S278*R278)</f>
        <v/>
      </c>
      <c r="U278" s="7">
        <f>IF($Y278="","",T278+Q278)</f>
        <v/>
      </c>
      <c r="V278" s="7">
        <f>IF($Y278="","",W278-U278)</f>
        <v/>
      </c>
      <c r="W278" s="7">
        <f>IF($Y278="","",P278+S278+N278)</f>
        <v/>
      </c>
      <c r="X278" s="7">
        <f>IF($Y278="","",W278-U278-L278)</f>
        <v/>
      </c>
      <c r="Y278" s="13">
        <f>IF(ROWS($Y$2:$Y278)&lt;=MAX('Per Line'!$AP$2:$AP$1001),MATCH(ROWS($Y$2:$Y278),'Per Line'!$AP$2:$AP$1001,0),"")</f>
        <v/>
      </c>
    </row>
    <row r="279">
      <c r="A279" s="12" t="n"/>
      <c r="B279">
        <f>IF($Y279="","",INDEX('Per Line'!$E$2:$E$1001,$Y279)&amp;"")</f>
        <v/>
      </c>
      <c r="C279">
        <f>IF($Y279="","",INDEX('Per Line'!$F$2:$F$1001,$Y279)&amp;"")</f>
        <v/>
      </c>
      <c r="D279">
        <f>IF($Y279="","",INDEX('Per Line'!$A$2:$A$1001,$Y279)&amp;"")</f>
        <v/>
      </c>
      <c r="E279">
        <f>IF($Y279="","",INDEX('Per Line'!$B$2:$B$1001,$Y279))</f>
        <v/>
      </c>
      <c r="F279">
        <f>IF($Y279="","",INDEX('Per Line'!$G$2:$G$1001,$Y279)&amp;"")</f>
        <v/>
      </c>
      <c r="G279" s="11">
        <f>IF($Y279="","",INDEX('Per Line'!$H$2:$H$1001,$Y279))</f>
        <v/>
      </c>
      <c r="H279">
        <f>IF($Y279="","",INDEX('Per Line'!$K$2:$K$1001,$Y279)&amp;"")</f>
        <v/>
      </c>
      <c r="I279">
        <f>IF($Y279="","",INDEX('Per Line'!$L$2:$L$1001,$Y279)&amp;"")</f>
        <v/>
      </c>
      <c r="J279">
        <f>IF($Y279="","",INDEX('Per Line'!$M$2:$M$1001,$Y279)&amp;"")</f>
        <v/>
      </c>
      <c r="K279">
        <f>IF($Y279="","",INDEX('Per Line'!$Q$2:$Q$1001,$Y279))</f>
        <v/>
      </c>
      <c r="L279" s="7">
        <f>IF($Y279="","",K279*W279/100)</f>
        <v/>
      </c>
      <c r="M279">
        <f>IF($Y279="","",INDEX('Per Line'!$AD$2:$AD$1001,$Y279)&amp;"")</f>
        <v/>
      </c>
      <c r="N279" s="7">
        <f>IF($Y279="","",SUMIFS('Per Line'!$Z$2:$Z$1001,'Per Line'!$E$2:$E$1001,$B279,'Per Line'!$AR$2:$AR$1001,1))</f>
        <v/>
      </c>
      <c r="O279">
        <f>IF($Y279="","",Settings!$C$7)</f>
        <v/>
      </c>
      <c r="P279" s="7">
        <f>IF($Y279="","",SUMIFS('Per Line'!$Z$2:$Z$1001,'Per Line'!$E$2:$E$1001,$B279,'Per Line'!$AQ$2:$AQ$1001,0,'Per Line'!$AR$2:$AR$1001,0))</f>
        <v/>
      </c>
      <c r="Q279" s="7">
        <f>IF($Y279="","",P279*O279)</f>
        <v/>
      </c>
      <c r="R279">
        <f>IF($Y279="","",Settings!$C$6)</f>
        <v/>
      </c>
      <c r="S279" s="7">
        <f>IF($Y279="","",SUMIFS('Per Line'!$Z$2:$Z$1001,'Per Line'!$E$2:$E$1001,$B279,'Per Line'!$AQ$2:$AQ$1001,1,'Per Line'!$AR$2:$AR$1001,0))</f>
        <v/>
      </c>
      <c r="T279" s="7">
        <f>IF($Y279="","",S279*R279)</f>
        <v/>
      </c>
      <c r="U279" s="7">
        <f>IF($Y279="","",T279+Q279)</f>
        <v/>
      </c>
      <c r="V279" s="7">
        <f>IF($Y279="","",W279-U279)</f>
        <v/>
      </c>
      <c r="W279" s="7">
        <f>IF($Y279="","",P279+S279+N279)</f>
        <v/>
      </c>
      <c r="X279" s="7">
        <f>IF($Y279="","",W279-U279-L279)</f>
        <v/>
      </c>
      <c r="Y279" s="13">
        <f>IF(ROWS($Y$2:$Y279)&lt;=MAX('Per Line'!$AP$2:$AP$1001),MATCH(ROWS($Y$2:$Y279),'Per Line'!$AP$2:$AP$1001,0),"")</f>
        <v/>
      </c>
    </row>
    <row r="280">
      <c r="A280" s="12" t="n"/>
      <c r="B280">
        <f>IF($Y280="","",INDEX('Per Line'!$E$2:$E$1001,$Y280)&amp;"")</f>
        <v/>
      </c>
      <c r="C280">
        <f>IF($Y280="","",INDEX('Per Line'!$F$2:$F$1001,$Y280)&amp;"")</f>
        <v/>
      </c>
      <c r="D280">
        <f>IF($Y280="","",INDEX('Per Line'!$A$2:$A$1001,$Y280)&amp;"")</f>
        <v/>
      </c>
      <c r="E280">
        <f>IF($Y280="","",INDEX('Per Line'!$B$2:$B$1001,$Y280))</f>
        <v/>
      </c>
      <c r="F280">
        <f>IF($Y280="","",INDEX('Per Line'!$G$2:$G$1001,$Y280)&amp;"")</f>
        <v/>
      </c>
      <c r="G280" s="11">
        <f>IF($Y280="","",INDEX('Per Line'!$H$2:$H$1001,$Y280))</f>
        <v/>
      </c>
      <c r="H280">
        <f>IF($Y280="","",INDEX('Per Line'!$K$2:$K$1001,$Y280)&amp;"")</f>
        <v/>
      </c>
      <c r="I280">
        <f>IF($Y280="","",INDEX('Per Line'!$L$2:$L$1001,$Y280)&amp;"")</f>
        <v/>
      </c>
      <c r="J280">
        <f>IF($Y280="","",INDEX('Per Line'!$M$2:$M$1001,$Y280)&amp;"")</f>
        <v/>
      </c>
      <c r="K280">
        <f>IF($Y280="","",INDEX('Per Line'!$Q$2:$Q$1001,$Y280))</f>
        <v/>
      </c>
      <c r="L280" s="7">
        <f>IF($Y280="","",K280*W280/100)</f>
        <v/>
      </c>
      <c r="M280">
        <f>IF($Y280="","",INDEX('Per Line'!$AD$2:$AD$1001,$Y280)&amp;"")</f>
        <v/>
      </c>
      <c r="N280" s="7">
        <f>IF($Y280="","",SUMIFS('Per Line'!$Z$2:$Z$1001,'Per Line'!$E$2:$E$1001,$B280,'Per Line'!$AR$2:$AR$1001,1))</f>
        <v/>
      </c>
      <c r="O280">
        <f>IF($Y280="","",Settings!$C$7)</f>
        <v/>
      </c>
      <c r="P280" s="7">
        <f>IF($Y280="","",SUMIFS('Per Line'!$Z$2:$Z$1001,'Per Line'!$E$2:$E$1001,$B280,'Per Line'!$AQ$2:$AQ$1001,0,'Per Line'!$AR$2:$AR$1001,0))</f>
        <v/>
      </c>
      <c r="Q280" s="7">
        <f>IF($Y280="","",P280*O280)</f>
        <v/>
      </c>
      <c r="R280">
        <f>IF($Y280="","",Settings!$C$6)</f>
        <v/>
      </c>
      <c r="S280" s="7">
        <f>IF($Y280="","",SUMIFS('Per Line'!$Z$2:$Z$1001,'Per Line'!$E$2:$E$1001,$B280,'Per Line'!$AQ$2:$AQ$1001,1,'Per Line'!$AR$2:$AR$1001,0))</f>
        <v/>
      </c>
      <c r="T280" s="7">
        <f>IF($Y280="","",S280*R280)</f>
        <v/>
      </c>
      <c r="U280" s="7">
        <f>IF($Y280="","",T280+Q280)</f>
        <v/>
      </c>
      <c r="V280" s="7">
        <f>IF($Y280="","",W280-U280)</f>
        <v/>
      </c>
      <c r="W280" s="7">
        <f>IF($Y280="","",P280+S280+N280)</f>
        <v/>
      </c>
      <c r="X280" s="7">
        <f>IF($Y280="","",W280-U280-L280)</f>
        <v/>
      </c>
      <c r="Y280" s="13">
        <f>IF(ROWS($Y$2:$Y280)&lt;=MAX('Per Line'!$AP$2:$AP$1001),MATCH(ROWS($Y$2:$Y280),'Per Line'!$AP$2:$AP$1001,0),"")</f>
        <v/>
      </c>
    </row>
    <row r="281">
      <c r="A281" s="12" t="n"/>
      <c r="B281">
        <f>IF($Y281="","",INDEX('Per Line'!$E$2:$E$1001,$Y281)&amp;"")</f>
        <v/>
      </c>
      <c r="C281">
        <f>IF($Y281="","",INDEX('Per Line'!$F$2:$F$1001,$Y281)&amp;"")</f>
        <v/>
      </c>
      <c r="D281">
        <f>IF($Y281="","",INDEX('Per Line'!$A$2:$A$1001,$Y281)&amp;"")</f>
        <v/>
      </c>
      <c r="E281">
        <f>IF($Y281="","",INDEX('Per Line'!$B$2:$B$1001,$Y281))</f>
        <v/>
      </c>
      <c r="F281">
        <f>IF($Y281="","",INDEX('Per Line'!$G$2:$G$1001,$Y281)&amp;"")</f>
        <v/>
      </c>
      <c r="G281" s="11">
        <f>IF($Y281="","",INDEX('Per Line'!$H$2:$H$1001,$Y281))</f>
        <v/>
      </c>
      <c r="H281">
        <f>IF($Y281="","",INDEX('Per Line'!$K$2:$K$1001,$Y281)&amp;"")</f>
        <v/>
      </c>
      <c r="I281">
        <f>IF($Y281="","",INDEX('Per Line'!$L$2:$L$1001,$Y281)&amp;"")</f>
        <v/>
      </c>
      <c r="J281">
        <f>IF($Y281="","",INDEX('Per Line'!$M$2:$M$1001,$Y281)&amp;"")</f>
        <v/>
      </c>
      <c r="K281">
        <f>IF($Y281="","",INDEX('Per Line'!$Q$2:$Q$1001,$Y281))</f>
        <v/>
      </c>
      <c r="L281" s="7">
        <f>IF($Y281="","",K281*W281/100)</f>
        <v/>
      </c>
      <c r="M281">
        <f>IF($Y281="","",INDEX('Per Line'!$AD$2:$AD$1001,$Y281)&amp;"")</f>
        <v/>
      </c>
      <c r="N281" s="7">
        <f>IF($Y281="","",SUMIFS('Per Line'!$Z$2:$Z$1001,'Per Line'!$E$2:$E$1001,$B281,'Per Line'!$AR$2:$AR$1001,1))</f>
        <v/>
      </c>
      <c r="O281">
        <f>IF($Y281="","",Settings!$C$7)</f>
        <v/>
      </c>
      <c r="P281" s="7">
        <f>IF($Y281="","",SUMIFS('Per Line'!$Z$2:$Z$1001,'Per Line'!$E$2:$E$1001,$B281,'Per Line'!$AQ$2:$AQ$1001,0,'Per Line'!$AR$2:$AR$1001,0))</f>
        <v/>
      </c>
      <c r="Q281" s="7">
        <f>IF($Y281="","",P281*O281)</f>
        <v/>
      </c>
      <c r="R281">
        <f>IF($Y281="","",Settings!$C$6)</f>
        <v/>
      </c>
      <c r="S281" s="7">
        <f>IF($Y281="","",SUMIFS('Per Line'!$Z$2:$Z$1001,'Per Line'!$E$2:$E$1001,$B281,'Per Line'!$AQ$2:$AQ$1001,1,'Per Line'!$AR$2:$AR$1001,0))</f>
        <v/>
      </c>
      <c r="T281" s="7">
        <f>IF($Y281="","",S281*R281)</f>
        <v/>
      </c>
      <c r="U281" s="7">
        <f>IF($Y281="","",T281+Q281)</f>
        <v/>
      </c>
      <c r="V281" s="7">
        <f>IF($Y281="","",W281-U281)</f>
        <v/>
      </c>
      <c r="W281" s="7">
        <f>IF($Y281="","",P281+S281+N281)</f>
        <v/>
      </c>
      <c r="X281" s="7">
        <f>IF($Y281="","",W281-U281-L281)</f>
        <v/>
      </c>
      <c r="Y281" s="13">
        <f>IF(ROWS($Y$2:$Y281)&lt;=MAX('Per Line'!$AP$2:$AP$1001),MATCH(ROWS($Y$2:$Y281),'Per Line'!$AP$2:$AP$1001,0),"")</f>
        <v/>
      </c>
    </row>
    <row r="282">
      <c r="A282" s="12" t="n"/>
      <c r="B282">
        <f>IF($Y282="","",INDEX('Per Line'!$E$2:$E$1001,$Y282)&amp;"")</f>
        <v/>
      </c>
      <c r="C282">
        <f>IF($Y282="","",INDEX('Per Line'!$F$2:$F$1001,$Y282)&amp;"")</f>
        <v/>
      </c>
      <c r="D282">
        <f>IF($Y282="","",INDEX('Per Line'!$A$2:$A$1001,$Y282)&amp;"")</f>
        <v/>
      </c>
      <c r="E282">
        <f>IF($Y282="","",INDEX('Per Line'!$B$2:$B$1001,$Y282))</f>
        <v/>
      </c>
      <c r="F282">
        <f>IF($Y282="","",INDEX('Per Line'!$G$2:$G$1001,$Y282)&amp;"")</f>
        <v/>
      </c>
      <c r="G282" s="11">
        <f>IF($Y282="","",INDEX('Per Line'!$H$2:$H$1001,$Y282))</f>
        <v/>
      </c>
      <c r="H282">
        <f>IF($Y282="","",INDEX('Per Line'!$K$2:$K$1001,$Y282)&amp;"")</f>
        <v/>
      </c>
      <c r="I282">
        <f>IF($Y282="","",INDEX('Per Line'!$L$2:$L$1001,$Y282)&amp;"")</f>
        <v/>
      </c>
      <c r="J282">
        <f>IF($Y282="","",INDEX('Per Line'!$M$2:$M$1001,$Y282)&amp;"")</f>
        <v/>
      </c>
      <c r="K282">
        <f>IF($Y282="","",INDEX('Per Line'!$Q$2:$Q$1001,$Y282))</f>
        <v/>
      </c>
      <c r="L282" s="7">
        <f>IF($Y282="","",K282*W282/100)</f>
        <v/>
      </c>
      <c r="M282">
        <f>IF($Y282="","",INDEX('Per Line'!$AD$2:$AD$1001,$Y282)&amp;"")</f>
        <v/>
      </c>
      <c r="N282" s="7">
        <f>IF($Y282="","",SUMIFS('Per Line'!$Z$2:$Z$1001,'Per Line'!$E$2:$E$1001,$B282,'Per Line'!$AR$2:$AR$1001,1))</f>
        <v/>
      </c>
      <c r="O282">
        <f>IF($Y282="","",Settings!$C$7)</f>
        <v/>
      </c>
      <c r="P282" s="7">
        <f>IF($Y282="","",SUMIFS('Per Line'!$Z$2:$Z$1001,'Per Line'!$E$2:$E$1001,$B282,'Per Line'!$AQ$2:$AQ$1001,0,'Per Line'!$AR$2:$AR$1001,0))</f>
        <v/>
      </c>
      <c r="Q282" s="7">
        <f>IF($Y282="","",P282*O282)</f>
        <v/>
      </c>
      <c r="R282">
        <f>IF($Y282="","",Settings!$C$6)</f>
        <v/>
      </c>
      <c r="S282" s="7">
        <f>IF($Y282="","",SUMIFS('Per Line'!$Z$2:$Z$1001,'Per Line'!$E$2:$E$1001,$B282,'Per Line'!$AQ$2:$AQ$1001,1,'Per Line'!$AR$2:$AR$1001,0))</f>
        <v/>
      </c>
      <c r="T282" s="7">
        <f>IF($Y282="","",S282*R282)</f>
        <v/>
      </c>
      <c r="U282" s="7">
        <f>IF($Y282="","",T282+Q282)</f>
        <v/>
      </c>
      <c r="V282" s="7">
        <f>IF($Y282="","",W282-U282)</f>
        <v/>
      </c>
      <c r="W282" s="7">
        <f>IF($Y282="","",P282+S282+N282)</f>
        <v/>
      </c>
      <c r="X282" s="7">
        <f>IF($Y282="","",W282-U282-L282)</f>
        <v/>
      </c>
      <c r="Y282" s="13">
        <f>IF(ROWS($Y$2:$Y282)&lt;=MAX('Per Line'!$AP$2:$AP$1001),MATCH(ROWS($Y$2:$Y282),'Per Line'!$AP$2:$AP$1001,0),"")</f>
        <v/>
      </c>
    </row>
    <row r="283">
      <c r="A283" s="12" t="n"/>
      <c r="B283">
        <f>IF($Y283="","",INDEX('Per Line'!$E$2:$E$1001,$Y283)&amp;"")</f>
        <v/>
      </c>
      <c r="C283">
        <f>IF($Y283="","",INDEX('Per Line'!$F$2:$F$1001,$Y283)&amp;"")</f>
        <v/>
      </c>
      <c r="D283">
        <f>IF($Y283="","",INDEX('Per Line'!$A$2:$A$1001,$Y283)&amp;"")</f>
        <v/>
      </c>
      <c r="E283">
        <f>IF($Y283="","",INDEX('Per Line'!$B$2:$B$1001,$Y283))</f>
        <v/>
      </c>
      <c r="F283">
        <f>IF($Y283="","",INDEX('Per Line'!$G$2:$G$1001,$Y283)&amp;"")</f>
        <v/>
      </c>
      <c r="G283" s="11">
        <f>IF($Y283="","",INDEX('Per Line'!$H$2:$H$1001,$Y283))</f>
        <v/>
      </c>
      <c r="H283">
        <f>IF($Y283="","",INDEX('Per Line'!$K$2:$K$1001,$Y283)&amp;"")</f>
        <v/>
      </c>
      <c r="I283">
        <f>IF($Y283="","",INDEX('Per Line'!$L$2:$L$1001,$Y283)&amp;"")</f>
        <v/>
      </c>
      <c r="J283">
        <f>IF($Y283="","",INDEX('Per Line'!$M$2:$M$1001,$Y283)&amp;"")</f>
        <v/>
      </c>
      <c r="K283">
        <f>IF($Y283="","",INDEX('Per Line'!$Q$2:$Q$1001,$Y283))</f>
        <v/>
      </c>
      <c r="L283" s="7">
        <f>IF($Y283="","",K283*W283/100)</f>
        <v/>
      </c>
      <c r="M283">
        <f>IF($Y283="","",INDEX('Per Line'!$AD$2:$AD$1001,$Y283)&amp;"")</f>
        <v/>
      </c>
      <c r="N283" s="7">
        <f>IF($Y283="","",SUMIFS('Per Line'!$Z$2:$Z$1001,'Per Line'!$E$2:$E$1001,$B283,'Per Line'!$AR$2:$AR$1001,1))</f>
        <v/>
      </c>
      <c r="O283">
        <f>IF($Y283="","",Settings!$C$7)</f>
        <v/>
      </c>
      <c r="P283" s="7">
        <f>IF($Y283="","",SUMIFS('Per Line'!$Z$2:$Z$1001,'Per Line'!$E$2:$E$1001,$B283,'Per Line'!$AQ$2:$AQ$1001,0,'Per Line'!$AR$2:$AR$1001,0))</f>
        <v/>
      </c>
      <c r="Q283" s="7">
        <f>IF($Y283="","",P283*O283)</f>
        <v/>
      </c>
      <c r="R283">
        <f>IF($Y283="","",Settings!$C$6)</f>
        <v/>
      </c>
      <c r="S283" s="7">
        <f>IF($Y283="","",SUMIFS('Per Line'!$Z$2:$Z$1001,'Per Line'!$E$2:$E$1001,$B283,'Per Line'!$AQ$2:$AQ$1001,1,'Per Line'!$AR$2:$AR$1001,0))</f>
        <v/>
      </c>
      <c r="T283" s="7">
        <f>IF($Y283="","",S283*R283)</f>
        <v/>
      </c>
      <c r="U283" s="7">
        <f>IF($Y283="","",T283+Q283)</f>
        <v/>
      </c>
      <c r="V283" s="7">
        <f>IF($Y283="","",W283-U283)</f>
        <v/>
      </c>
      <c r="W283" s="7">
        <f>IF($Y283="","",P283+S283+N283)</f>
        <v/>
      </c>
      <c r="X283" s="7">
        <f>IF($Y283="","",W283-U283-L283)</f>
        <v/>
      </c>
      <c r="Y283" s="13">
        <f>IF(ROWS($Y$2:$Y283)&lt;=MAX('Per Line'!$AP$2:$AP$1001),MATCH(ROWS($Y$2:$Y283),'Per Line'!$AP$2:$AP$1001,0),"")</f>
        <v/>
      </c>
    </row>
    <row r="284">
      <c r="A284" s="12" t="n"/>
      <c r="B284">
        <f>IF($Y284="","",INDEX('Per Line'!$E$2:$E$1001,$Y284)&amp;"")</f>
        <v/>
      </c>
      <c r="C284">
        <f>IF($Y284="","",INDEX('Per Line'!$F$2:$F$1001,$Y284)&amp;"")</f>
        <v/>
      </c>
      <c r="D284">
        <f>IF($Y284="","",INDEX('Per Line'!$A$2:$A$1001,$Y284)&amp;"")</f>
        <v/>
      </c>
      <c r="E284">
        <f>IF($Y284="","",INDEX('Per Line'!$B$2:$B$1001,$Y284))</f>
        <v/>
      </c>
      <c r="F284">
        <f>IF($Y284="","",INDEX('Per Line'!$G$2:$G$1001,$Y284)&amp;"")</f>
        <v/>
      </c>
      <c r="G284" s="11">
        <f>IF($Y284="","",INDEX('Per Line'!$H$2:$H$1001,$Y284))</f>
        <v/>
      </c>
      <c r="H284">
        <f>IF($Y284="","",INDEX('Per Line'!$K$2:$K$1001,$Y284)&amp;"")</f>
        <v/>
      </c>
      <c r="I284">
        <f>IF($Y284="","",INDEX('Per Line'!$L$2:$L$1001,$Y284)&amp;"")</f>
        <v/>
      </c>
      <c r="J284">
        <f>IF($Y284="","",INDEX('Per Line'!$M$2:$M$1001,$Y284)&amp;"")</f>
        <v/>
      </c>
      <c r="K284">
        <f>IF($Y284="","",INDEX('Per Line'!$Q$2:$Q$1001,$Y284))</f>
        <v/>
      </c>
      <c r="L284" s="7">
        <f>IF($Y284="","",K284*W284/100)</f>
        <v/>
      </c>
      <c r="M284">
        <f>IF($Y284="","",INDEX('Per Line'!$AD$2:$AD$1001,$Y284)&amp;"")</f>
        <v/>
      </c>
      <c r="N284" s="7">
        <f>IF($Y284="","",SUMIFS('Per Line'!$Z$2:$Z$1001,'Per Line'!$E$2:$E$1001,$B284,'Per Line'!$AR$2:$AR$1001,1))</f>
        <v/>
      </c>
      <c r="O284">
        <f>IF($Y284="","",Settings!$C$7)</f>
        <v/>
      </c>
      <c r="P284" s="7">
        <f>IF($Y284="","",SUMIFS('Per Line'!$Z$2:$Z$1001,'Per Line'!$E$2:$E$1001,$B284,'Per Line'!$AQ$2:$AQ$1001,0,'Per Line'!$AR$2:$AR$1001,0))</f>
        <v/>
      </c>
      <c r="Q284" s="7">
        <f>IF($Y284="","",P284*O284)</f>
        <v/>
      </c>
      <c r="R284">
        <f>IF($Y284="","",Settings!$C$6)</f>
        <v/>
      </c>
      <c r="S284" s="7">
        <f>IF($Y284="","",SUMIFS('Per Line'!$Z$2:$Z$1001,'Per Line'!$E$2:$E$1001,$B284,'Per Line'!$AQ$2:$AQ$1001,1,'Per Line'!$AR$2:$AR$1001,0))</f>
        <v/>
      </c>
      <c r="T284" s="7">
        <f>IF($Y284="","",S284*R284)</f>
        <v/>
      </c>
      <c r="U284" s="7">
        <f>IF($Y284="","",T284+Q284)</f>
        <v/>
      </c>
      <c r="V284" s="7">
        <f>IF($Y284="","",W284-U284)</f>
        <v/>
      </c>
      <c r="W284" s="7">
        <f>IF($Y284="","",P284+S284+N284)</f>
        <v/>
      </c>
      <c r="X284" s="7">
        <f>IF($Y284="","",W284-U284-L284)</f>
        <v/>
      </c>
      <c r="Y284" s="13">
        <f>IF(ROWS($Y$2:$Y284)&lt;=MAX('Per Line'!$AP$2:$AP$1001),MATCH(ROWS($Y$2:$Y284),'Per Line'!$AP$2:$AP$1001,0),"")</f>
        <v/>
      </c>
    </row>
    <row r="285">
      <c r="A285" s="12" t="n"/>
      <c r="B285">
        <f>IF($Y285="","",INDEX('Per Line'!$E$2:$E$1001,$Y285)&amp;"")</f>
        <v/>
      </c>
      <c r="C285">
        <f>IF($Y285="","",INDEX('Per Line'!$F$2:$F$1001,$Y285)&amp;"")</f>
        <v/>
      </c>
      <c r="D285">
        <f>IF($Y285="","",INDEX('Per Line'!$A$2:$A$1001,$Y285)&amp;"")</f>
        <v/>
      </c>
      <c r="E285">
        <f>IF($Y285="","",INDEX('Per Line'!$B$2:$B$1001,$Y285))</f>
        <v/>
      </c>
      <c r="F285">
        <f>IF($Y285="","",INDEX('Per Line'!$G$2:$G$1001,$Y285)&amp;"")</f>
        <v/>
      </c>
      <c r="G285" s="11">
        <f>IF($Y285="","",INDEX('Per Line'!$H$2:$H$1001,$Y285))</f>
        <v/>
      </c>
      <c r="H285">
        <f>IF($Y285="","",INDEX('Per Line'!$K$2:$K$1001,$Y285)&amp;"")</f>
        <v/>
      </c>
      <c r="I285">
        <f>IF($Y285="","",INDEX('Per Line'!$L$2:$L$1001,$Y285)&amp;"")</f>
        <v/>
      </c>
      <c r="J285">
        <f>IF($Y285="","",INDEX('Per Line'!$M$2:$M$1001,$Y285)&amp;"")</f>
        <v/>
      </c>
      <c r="K285">
        <f>IF($Y285="","",INDEX('Per Line'!$Q$2:$Q$1001,$Y285))</f>
        <v/>
      </c>
      <c r="L285" s="7">
        <f>IF($Y285="","",K285*W285/100)</f>
        <v/>
      </c>
      <c r="M285">
        <f>IF($Y285="","",INDEX('Per Line'!$AD$2:$AD$1001,$Y285)&amp;"")</f>
        <v/>
      </c>
      <c r="N285" s="7">
        <f>IF($Y285="","",SUMIFS('Per Line'!$Z$2:$Z$1001,'Per Line'!$E$2:$E$1001,$B285,'Per Line'!$AR$2:$AR$1001,1))</f>
        <v/>
      </c>
      <c r="O285">
        <f>IF($Y285="","",Settings!$C$7)</f>
        <v/>
      </c>
      <c r="P285" s="7">
        <f>IF($Y285="","",SUMIFS('Per Line'!$Z$2:$Z$1001,'Per Line'!$E$2:$E$1001,$B285,'Per Line'!$AQ$2:$AQ$1001,0,'Per Line'!$AR$2:$AR$1001,0))</f>
        <v/>
      </c>
      <c r="Q285" s="7">
        <f>IF($Y285="","",P285*O285)</f>
        <v/>
      </c>
      <c r="R285">
        <f>IF($Y285="","",Settings!$C$6)</f>
        <v/>
      </c>
      <c r="S285" s="7">
        <f>IF($Y285="","",SUMIFS('Per Line'!$Z$2:$Z$1001,'Per Line'!$E$2:$E$1001,$B285,'Per Line'!$AQ$2:$AQ$1001,1,'Per Line'!$AR$2:$AR$1001,0))</f>
        <v/>
      </c>
      <c r="T285" s="7">
        <f>IF($Y285="","",S285*R285)</f>
        <v/>
      </c>
      <c r="U285" s="7">
        <f>IF($Y285="","",T285+Q285)</f>
        <v/>
      </c>
      <c r="V285" s="7">
        <f>IF($Y285="","",W285-U285)</f>
        <v/>
      </c>
      <c r="W285" s="7">
        <f>IF($Y285="","",P285+S285+N285)</f>
        <v/>
      </c>
      <c r="X285" s="7">
        <f>IF($Y285="","",W285-U285-L285)</f>
        <v/>
      </c>
      <c r="Y285" s="13">
        <f>IF(ROWS($Y$2:$Y285)&lt;=MAX('Per Line'!$AP$2:$AP$1001),MATCH(ROWS($Y$2:$Y285),'Per Line'!$AP$2:$AP$1001,0),"")</f>
        <v/>
      </c>
    </row>
    <row r="286">
      <c r="A286" s="12" t="n"/>
      <c r="B286">
        <f>IF($Y286="","",INDEX('Per Line'!$E$2:$E$1001,$Y286)&amp;"")</f>
        <v/>
      </c>
      <c r="C286">
        <f>IF($Y286="","",INDEX('Per Line'!$F$2:$F$1001,$Y286)&amp;"")</f>
        <v/>
      </c>
      <c r="D286">
        <f>IF($Y286="","",INDEX('Per Line'!$A$2:$A$1001,$Y286)&amp;"")</f>
        <v/>
      </c>
      <c r="E286">
        <f>IF($Y286="","",INDEX('Per Line'!$B$2:$B$1001,$Y286))</f>
        <v/>
      </c>
      <c r="F286">
        <f>IF($Y286="","",INDEX('Per Line'!$G$2:$G$1001,$Y286)&amp;"")</f>
        <v/>
      </c>
      <c r="G286" s="11">
        <f>IF($Y286="","",INDEX('Per Line'!$H$2:$H$1001,$Y286))</f>
        <v/>
      </c>
      <c r="H286">
        <f>IF($Y286="","",INDEX('Per Line'!$K$2:$K$1001,$Y286)&amp;"")</f>
        <v/>
      </c>
      <c r="I286">
        <f>IF($Y286="","",INDEX('Per Line'!$L$2:$L$1001,$Y286)&amp;"")</f>
        <v/>
      </c>
      <c r="J286">
        <f>IF($Y286="","",INDEX('Per Line'!$M$2:$M$1001,$Y286)&amp;"")</f>
        <v/>
      </c>
      <c r="K286">
        <f>IF($Y286="","",INDEX('Per Line'!$Q$2:$Q$1001,$Y286))</f>
        <v/>
      </c>
      <c r="L286" s="7">
        <f>IF($Y286="","",K286*W286/100)</f>
        <v/>
      </c>
      <c r="M286">
        <f>IF($Y286="","",INDEX('Per Line'!$AD$2:$AD$1001,$Y286)&amp;"")</f>
        <v/>
      </c>
      <c r="N286" s="7">
        <f>IF($Y286="","",SUMIFS('Per Line'!$Z$2:$Z$1001,'Per Line'!$E$2:$E$1001,$B286,'Per Line'!$AR$2:$AR$1001,1))</f>
        <v/>
      </c>
      <c r="O286">
        <f>IF($Y286="","",Settings!$C$7)</f>
        <v/>
      </c>
      <c r="P286" s="7">
        <f>IF($Y286="","",SUMIFS('Per Line'!$Z$2:$Z$1001,'Per Line'!$E$2:$E$1001,$B286,'Per Line'!$AQ$2:$AQ$1001,0,'Per Line'!$AR$2:$AR$1001,0))</f>
        <v/>
      </c>
      <c r="Q286" s="7">
        <f>IF($Y286="","",P286*O286)</f>
        <v/>
      </c>
      <c r="R286">
        <f>IF($Y286="","",Settings!$C$6)</f>
        <v/>
      </c>
      <c r="S286" s="7">
        <f>IF($Y286="","",SUMIFS('Per Line'!$Z$2:$Z$1001,'Per Line'!$E$2:$E$1001,$B286,'Per Line'!$AQ$2:$AQ$1001,1,'Per Line'!$AR$2:$AR$1001,0))</f>
        <v/>
      </c>
      <c r="T286" s="7">
        <f>IF($Y286="","",S286*R286)</f>
        <v/>
      </c>
      <c r="U286" s="7">
        <f>IF($Y286="","",T286+Q286)</f>
        <v/>
      </c>
      <c r="V286" s="7">
        <f>IF($Y286="","",W286-U286)</f>
        <v/>
      </c>
      <c r="W286" s="7">
        <f>IF($Y286="","",P286+S286+N286)</f>
        <v/>
      </c>
      <c r="X286" s="7">
        <f>IF($Y286="","",W286-U286-L286)</f>
        <v/>
      </c>
      <c r="Y286" s="13">
        <f>IF(ROWS($Y$2:$Y286)&lt;=MAX('Per Line'!$AP$2:$AP$1001),MATCH(ROWS($Y$2:$Y286),'Per Line'!$AP$2:$AP$1001,0),"")</f>
        <v/>
      </c>
    </row>
    <row r="287">
      <c r="A287" s="12" t="n"/>
      <c r="B287">
        <f>IF($Y287="","",INDEX('Per Line'!$E$2:$E$1001,$Y287)&amp;"")</f>
        <v/>
      </c>
      <c r="C287">
        <f>IF($Y287="","",INDEX('Per Line'!$F$2:$F$1001,$Y287)&amp;"")</f>
        <v/>
      </c>
      <c r="D287">
        <f>IF($Y287="","",INDEX('Per Line'!$A$2:$A$1001,$Y287)&amp;"")</f>
        <v/>
      </c>
      <c r="E287">
        <f>IF($Y287="","",INDEX('Per Line'!$B$2:$B$1001,$Y287))</f>
        <v/>
      </c>
      <c r="F287">
        <f>IF($Y287="","",INDEX('Per Line'!$G$2:$G$1001,$Y287)&amp;"")</f>
        <v/>
      </c>
      <c r="G287" s="11">
        <f>IF($Y287="","",INDEX('Per Line'!$H$2:$H$1001,$Y287))</f>
        <v/>
      </c>
      <c r="H287">
        <f>IF($Y287="","",INDEX('Per Line'!$K$2:$K$1001,$Y287)&amp;"")</f>
        <v/>
      </c>
      <c r="I287">
        <f>IF($Y287="","",INDEX('Per Line'!$L$2:$L$1001,$Y287)&amp;"")</f>
        <v/>
      </c>
      <c r="J287">
        <f>IF($Y287="","",INDEX('Per Line'!$M$2:$M$1001,$Y287)&amp;"")</f>
        <v/>
      </c>
      <c r="K287">
        <f>IF($Y287="","",INDEX('Per Line'!$Q$2:$Q$1001,$Y287))</f>
        <v/>
      </c>
      <c r="L287" s="7">
        <f>IF($Y287="","",K287*W287/100)</f>
        <v/>
      </c>
      <c r="M287">
        <f>IF($Y287="","",INDEX('Per Line'!$AD$2:$AD$1001,$Y287)&amp;"")</f>
        <v/>
      </c>
      <c r="N287" s="7">
        <f>IF($Y287="","",SUMIFS('Per Line'!$Z$2:$Z$1001,'Per Line'!$E$2:$E$1001,$B287,'Per Line'!$AR$2:$AR$1001,1))</f>
        <v/>
      </c>
      <c r="O287">
        <f>IF($Y287="","",Settings!$C$7)</f>
        <v/>
      </c>
      <c r="P287" s="7">
        <f>IF($Y287="","",SUMIFS('Per Line'!$Z$2:$Z$1001,'Per Line'!$E$2:$E$1001,$B287,'Per Line'!$AQ$2:$AQ$1001,0,'Per Line'!$AR$2:$AR$1001,0))</f>
        <v/>
      </c>
      <c r="Q287" s="7">
        <f>IF($Y287="","",P287*O287)</f>
        <v/>
      </c>
      <c r="R287">
        <f>IF($Y287="","",Settings!$C$6)</f>
        <v/>
      </c>
      <c r="S287" s="7">
        <f>IF($Y287="","",SUMIFS('Per Line'!$Z$2:$Z$1001,'Per Line'!$E$2:$E$1001,$B287,'Per Line'!$AQ$2:$AQ$1001,1,'Per Line'!$AR$2:$AR$1001,0))</f>
        <v/>
      </c>
      <c r="T287" s="7">
        <f>IF($Y287="","",S287*R287)</f>
        <v/>
      </c>
      <c r="U287" s="7">
        <f>IF($Y287="","",T287+Q287)</f>
        <v/>
      </c>
      <c r="V287" s="7">
        <f>IF($Y287="","",W287-U287)</f>
        <v/>
      </c>
      <c r="W287" s="7">
        <f>IF($Y287="","",P287+S287+N287)</f>
        <v/>
      </c>
      <c r="X287" s="7">
        <f>IF($Y287="","",W287-U287-L287)</f>
        <v/>
      </c>
      <c r="Y287" s="13">
        <f>IF(ROWS($Y$2:$Y287)&lt;=MAX('Per Line'!$AP$2:$AP$1001),MATCH(ROWS($Y$2:$Y287),'Per Line'!$AP$2:$AP$1001,0),"")</f>
        <v/>
      </c>
    </row>
    <row r="288">
      <c r="A288" s="12" t="n"/>
      <c r="B288">
        <f>IF($Y288="","",INDEX('Per Line'!$E$2:$E$1001,$Y288)&amp;"")</f>
        <v/>
      </c>
      <c r="C288">
        <f>IF($Y288="","",INDEX('Per Line'!$F$2:$F$1001,$Y288)&amp;"")</f>
        <v/>
      </c>
      <c r="D288">
        <f>IF($Y288="","",INDEX('Per Line'!$A$2:$A$1001,$Y288)&amp;"")</f>
        <v/>
      </c>
      <c r="E288">
        <f>IF($Y288="","",INDEX('Per Line'!$B$2:$B$1001,$Y288))</f>
        <v/>
      </c>
      <c r="F288">
        <f>IF($Y288="","",INDEX('Per Line'!$G$2:$G$1001,$Y288)&amp;"")</f>
        <v/>
      </c>
      <c r="G288" s="11">
        <f>IF($Y288="","",INDEX('Per Line'!$H$2:$H$1001,$Y288))</f>
        <v/>
      </c>
      <c r="H288">
        <f>IF($Y288="","",INDEX('Per Line'!$K$2:$K$1001,$Y288)&amp;"")</f>
        <v/>
      </c>
      <c r="I288">
        <f>IF($Y288="","",INDEX('Per Line'!$L$2:$L$1001,$Y288)&amp;"")</f>
        <v/>
      </c>
      <c r="J288">
        <f>IF($Y288="","",INDEX('Per Line'!$M$2:$M$1001,$Y288)&amp;"")</f>
        <v/>
      </c>
      <c r="K288">
        <f>IF($Y288="","",INDEX('Per Line'!$Q$2:$Q$1001,$Y288))</f>
        <v/>
      </c>
      <c r="L288" s="7">
        <f>IF($Y288="","",K288*W288/100)</f>
        <v/>
      </c>
      <c r="M288">
        <f>IF($Y288="","",INDEX('Per Line'!$AD$2:$AD$1001,$Y288)&amp;"")</f>
        <v/>
      </c>
      <c r="N288" s="7">
        <f>IF($Y288="","",SUMIFS('Per Line'!$Z$2:$Z$1001,'Per Line'!$E$2:$E$1001,$B288,'Per Line'!$AR$2:$AR$1001,1))</f>
        <v/>
      </c>
      <c r="O288">
        <f>IF($Y288="","",Settings!$C$7)</f>
        <v/>
      </c>
      <c r="P288" s="7">
        <f>IF($Y288="","",SUMIFS('Per Line'!$Z$2:$Z$1001,'Per Line'!$E$2:$E$1001,$B288,'Per Line'!$AQ$2:$AQ$1001,0,'Per Line'!$AR$2:$AR$1001,0))</f>
        <v/>
      </c>
      <c r="Q288" s="7">
        <f>IF($Y288="","",P288*O288)</f>
        <v/>
      </c>
      <c r="R288">
        <f>IF($Y288="","",Settings!$C$6)</f>
        <v/>
      </c>
      <c r="S288" s="7">
        <f>IF($Y288="","",SUMIFS('Per Line'!$Z$2:$Z$1001,'Per Line'!$E$2:$E$1001,$B288,'Per Line'!$AQ$2:$AQ$1001,1,'Per Line'!$AR$2:$AR$1001,0))</f>
        <v/>
      </c>
      <c r="T288" s="7">
        <f>IF($Y288="","",S288*R288)</f>
        <v/>
      </c>
      <c r="U288" s="7">
        <f>IF($Y288="","",T288+Q288)</f>
        <v/>
      </c>
      <c r="V288" s="7">
        <f>IF($Y288="","",W288-U288)</f>
        <v/>
      </c>
      <c r="W288" s="7">
        <f>IF($Y288="","",P288+S288+N288)</f>
        <v/>
      </c>
      <c r="X288" s="7">
        <f>IF($Y288="","",W288-U288-L288)</f>
        <v/>
      </c>
      <c r="Y288" s="13">
        <f>IF(ROWS($Y$2:$Y288)&lt;=MAX('Per Line'!$AP$2:$AP$1001),MATCH(ROWS($Y$2:$Y288),'Per Line'!$AP$2:$AP$1001,0),"")</f>
        <v/>
      </c>
    </row>
    <row r="289">
      <c r="A289" s="12" t="n"/>
      <c r="B289">
        <f>IF($Y289="","",INDEX('Per Line'!$E$2:$E$1001,$Y289)&amp;"")</f>
        <v/>
      </c>
      <c r="C289">
        <f>IF($Y289="","",INDEX('Per Line'!$F$2:$F$1001,$Y289)&amp;"")</f>
        <v/>
      </c>
      <c r="D289">
        <f>IF($Y289="","",INDEX('Per Line'!$A$2:$A$1001,$Y289)&amp;"")</f>
        <v/>
      </c>
      <c r="E289">
        <f>IF($Y289="","",INDEX('Per Line'!$B$2:$B$1001,$Y289))</f>
        <v/>
      </c>
      <c r="F289">
        <f>IF($Y289="","",INDEX('Per Line'!$G$2:$G$1001,$Y289)&amp;"")</f>
        <v/>
      </c>
      <c r="G289" s="11">
        <f>IF($Y289="","",INDEX('Per Line'!$H$2:$H$1001,$Y289))</f>
        <v/>
      </c>
      <c r="H289">
        <f>IF($Y289="","",INDEX('Per Line'!$K$2:$K$1001,$Y289)&amp;"")</f>
        <v/>
      </c>
      <c r="I289">
        <f>IF($Y289="","",INDEX('Per Line'!$L$2:$L$1001,$Y289)&amp;"")</f>
        <v/>
      </c>
      <c r="J289">
        <f>IF($Y289="","",INDEX('Per Line'!$M$2:$M$1001,$Y289)&amp;"")</f>
        <v/>
      </c>
      <c r="K289">
        <f>IF($Y289="","",INDEX('Per Line'!$Q$2:$Q$1001,$Y289))</f>
        <v/>
      </c>
      <c r="L289" s="7">
        <f>IF($Y289="","",K289*W289/100)</f>
        <v/>
      </c>
      <c r="M289">
        <f>IF($Y289="","",INDEX('Per Line'!$AD$2:$AD$1001,$Y289)&amp;"")</f>
        <v/>
      </c>
      <c r="N289" s="7">
        <f>IF($Y289="","",SUMIFS('Per Line'!$Z$2:$Z$1001,'Per Line'!$E$2:$E$1001,$B289,'Per Line'!$AR$2:$AR$1001,1))</f>
        <v/>
      </c>
      <c r="O289">
        <f>IF($Y289="","",Settings!$C$7)</f>
        <v/>
      </c>
      <c r="P289" s="7">
        <f>IF($Y289="","",SUMIFS('Per Line'!$Z$2:$Z$1001,'Per Line'!$E$2:$E$1001,$B289,'Per Line'!$AQ$2:$AQ$1001,0,'Per Line'!$AR$2:$AR$1001,0))</f>
        <v/>
      </c>
      <c r="Q289" s="7">
        <f>IF($Y289="","",P289*O289)</f>
        <v/>
      </c>
      <c r="R289">
        <f>IF($Y289="","",Settings!$C$6)</f>
        <v/>
      </c>
      <c r="S289" s="7">
        <f>IF($Y289="","",SUMIFS('Per Line'!$Z$2:$Z$1001,'Per Line'!$E$2:$E$1001,$B289,'Per Line'!$AQ$2:$AQ$1001,1,'Per Line'!$AR$2:$AR$1001,0))</f>
        <v/>
      </c>
      <c r="T289" s="7">
        <f>IF($Y289="","",S289*R289)</f>
        <v/>
      </c>
      <c r="U289" s="7">
        <f>IF($Y289="","",T289+Q289)</f>
        <v/>
      </c>
      <c r="V289" s="7">
        <f>IF($Y289="","",W289-U289)</f>
        <v/>
      </c>
      <c r="W289" s="7">
        <f>IF($Y289="","",P289+S289+N289)</f>
        <v/>
      </c>
      <c r="X289" s="7">
        <f>IF($Y289="","",W289-U289-L289)</f>
        <v/>
      </c>
      <c r="Y289" s="13">
        <f>IF(ROWS($Y$2:$Y289)&lt;=MAX('Per Line'!$AP$2:$AP$1001),MATCH(ROWS($Y$2:$Y289),'Per Line'!$AP$2:$AP$1001,0),"")</f>
        <v/>
      </c>
    </row>
    <row r="290">
      <c r="A290" s="12" t="n"/>
      <c r="B290">
        <f>IF($Y290="","",INDEX('Per Line'!$E$2:$E$1001,$Y290)&amp;"")</f>
        <v/>
      </c>
      <c r="C290">
        <f>IF($Y290="","",INDEX('Per Line'!$F$2:$F$1001,$Y290)&amp;"")</f>
        <v/>
      </c>
      <c r="D290">
        <f>IF($Y290="","",INDEX('Per Line'!$A$2:$A$1001,$Y290)&amp;"")</f>
        <v/>
      </c>
      <c r="E290">
        <f>IF($Y290="","",INDEX('Per Line'!$B$2:$B$1001,$Y290))</f>
        <v/>
      </c>
      <c r="F290">
        <f>IF($Y290="","",INDEX('Per Line'!$G$2:$G$1001,$Y290)&amp;"")</f>
        <v/>
      </c>
      <c r="G290" s="11">
        <f>IF($Y290="","",INDEX('Per Line'!$H$2:$H$1001,$Y290))</f>
        <v/>
      </c>
      <c r="H290">
        <f>IF($Y290="","",INDEX('Per Line'!$K$2:$K$1001,$Y290)&amp;"")</f>
        <v/>
      </c>
      <c r="I290">
        <f>IF($Y290="","",INDEX('Per Line'!$L$2:$L$1001,$Y290)&amp;"")</f>
        <v/>
      </c>
      <c r="J290">
        <f>IF($Y290="","",INDEX('Per Line'!$M$2:$M$1001,$Y290)&amp;"")</f>
        <v/>
      </c>
      <c r="K290">
        <f>IF($Y290="","",INDEX('Per Line'!$Q$2:$Q$1001,$Y290))</f>
        <v/>
      </c>
      <c r="L290" s="7">
        <f>IF($Y290="","",K290*W290/100)</f>
        <v/>
      </c>
      <c r="M290">
        <f>IF($Y290="","",INDEX('Per Line'!$AD$2:$AD$1001,$Y290)&amp;"")</f>
        <v/>
      </c>
      <c r="N290" s="7">
        <f>IF($Y290="","",SUMIFS('Per Line'!$Z$2:$Z$1001,'Per Line'!$E$2:$E$1001,$B290,'Per Line'!$AR$2:$AR$1001,1))</f>
        <v/>
      </c>
      <c r="O290">
        <f>IF($Y290="","",Settings!$C$7)</f>
        <v/>
      </c>
      <c r="P290" s="7">
        <f>IF($Y290="","",SUMIFS('Per Line'!$Z$2:$Z$1001,'Per Line'!$E$2:$E$1001,$B290,'Per Line'!$AQ$2:$AQ$1001,0,'Per Line'!$AR$2:$AR$1001,0))</f>
        <v/>
      </c>
      <c r="Q290" s="7">
        <f>IF($Y290="","",P290*O290)</f>
        <v/>
      </c>
      <c r="R290">
        <f>IF($Y290="","",Settings!$C$6)</f>
        <v/>
      </c>
      <c r="S290" s="7">
        <f>IF($Y290="","",SUMIFS('Per Line'!$Z$2:$Z$1001,'Per Line'!$E$2:$E$1001,$B290,'Per Line'!$AQ$2:$AQ$1001,1,'Per Line'!$AR$2:$AR$1001,0))</f>
        <v/>
      </c>
      <c r="T290" s="7">
        <f>IF($Y290="","",S290*R290)</f>
        <v/>
      </c>
      <c r="U290" s="7">
        <f>IF($Y290="","",T290+Q290)</f>
        <v/>
      </c>
      <c r="V290" s="7">
        <f>IF($Y290="","",W290-U290)</f>
        <v/>
      </c>
      <c r="W290" s="7">
        <f>IF($Y290="","",P290+S290+N290)</f>
        <v/>
      </c>
      <c r="X290" s="7">
        <f>IF($Y290="","",W290-U290-L290)</f>
        <v/>
      </c>
      <c r="Y290" s="13">
        <f>IF(ROWS($Y$2:$Y290)&lt;=MAX('Per Line'!$AP$2:$AP$1001),MATCH(ROWS($Y$2:$Y290),'Per Line'!$AP$2:$AP$1001,0),"")</f>
        <v/>
      </c>
    </row>
    <row r="291">
      <c r="A291" s="12" t="n"/>
      <c r="B291">
        <f>IF($Y291="","",INDEX('Per Line'!$E$2:$E$1001,$Y291)&amp;"")</f>
        <v/>
      </c>
      <c r="C291">
        <f>IF($Y291="","",INDEX('Per Line'!$F$2:$F$1001,$Y291)&amp;"")</f>
        <v/>
      </c>
      <c r="D291">
        <f>IF($Y291="","",INDEX('Per Line'!$A$2:$A$1001,$Y291)&amp;"")</f>
        <v/>
      </c>
      <c r="E291">
        <f>IF($Y291="","",INDEX('Per Line'!$B$2:$B$1001,$Y291))</f>
        <v/>
      </c>
      <c r="F291">
        <f>IF($Y291="","",INDEX('Per Line'!$G$2:$G$1001,$Y291)&amp;"")</f>
        <v/>
      </c>
      <c r="G291" s="11">
        <f>IF($Y291="","",INDEX('Per Line'!$H$2:$H$1001,$Y291))</f>
        <v/>
      </c>
      <c r="H291">
        <f>IF($Y291="","",INDEX('Per Line'!$K$2:$K$1001,$Y291)&amp;"")</f>
        <v/>
      </c>
      <c r="I291">
        <f>IF($Y291="","",INDEX('Per Line'!$L$2:$L$1001,$Y291)&amp;"")</f>
        <v/>
      </c>
      <c r="J291">
        <f>IF($Y291="","",INDEX('Per Line'!$M$2:$M$1001,$Y291)&amp;"")</f>
        <v/>
      </c>
      <c r="K291">
        <f>IF($Y291="","",INDEX('Per Line'!$Q$2:$Q$1001,$Y291))</f>
        <v/>
      </c>
      <c r="L291" s="7">
        <f>IF($Y291="","",K291*W291/100)</f>
        <v/>
      </c>
      <c r="M291">
        <f>IF($Y291="","",INDEX('Per Line'!$AD$2:$AD$1001,$Y291)&amp;"")</f>
        <v/>
      </c>
      <c r="N291" s="7">
        <f>IF($Y291="","",SUMIFS('Per Line'!$Z$2:$Z$1001,'Per Line'!$E$2:$E$1001,$B291,'Per Line'!$AR$2:$AR$1001,1))</f>
        <v/>
      </c>
      <c r="O291">
        <f>IF($Y291="","",Settings!$C$7)</f>
        <v/>
      </c>
      <c r="P291" s="7">
        <f>IF($Y291="","",SUMIFS('Per Line'!$Z$2:$Z$1001,'Per Line'!$E$2:$E$1001,$B291,'Per Line'!$AQ$2:$AQ$1001,0,'Per Line'!$AR$2:$AR$1001,0))</f>
        <v/>
      </c>
      <c r="Q291" s="7">
        <f>IF($Y291="","",P291*O291)</f>
        <v/>
      </c>
      <c r="R291">
        <f>IF($Y291="","",Settings!$C$6)</f>
        <v/>
      </c>
      <c r="S291" s="7">
        <f>IF($Y291="","",SUMIFS('Per Line'!$Z$2:$Z$1001,'Per Line'!$E$2:$E$1001,$B291,'Per Line'!$AQ$2:$AQ$1001,1,'Per Line'!$AR$2:$AR$1001,0))</f>
        <v/>
      </c>
      <c r="T291" s="7">
        <f>IF($Y291="","",S291*R291)</f>
        <v/>
      </c>
      <c r="U291" s="7">
        <f>IF($Y291="","",T291+Q291)</f>
        <v/>
      </c>
      <c r="V291" s="7">
        <f>IF($Y291="","",W291-U291)</f>
        <v/>
      </c>
      <c r="W291" s="7">
        <f>IF($Y291="","",P291+S291+N291)</f>
        <v/>
      </c>
      <c r="X291" s="7">
        <f>IF($Y291="","",W291-U291-L291)</f>
        <v/>
      </c>
      <c r="Y291" s="13">
        <f>IF(ROWS($Y$2:$Y291)&lt;=MAX('Per Line'!$AP$2:$AP$1001),MATCH(ROWS($Y$2:$Y291),'Per Line'!$AP$2:$AP$1001,0),"")</f>
        <v/>
      </c>
    </row>
    <row r="292">
      <c r="A292" s="12" t="n"/>
      <c r="B292">
        <f>IF($Y292="","",INDEX('Per Line'!$E$2:$E$1001,$Y292)&amp;"")</f>
        <v/>
      </c>
      <c r="C292">
        <f>IF($Y292="","",INDEX('Per Line'!$F$2:$F$1001,$Y292)&amp;"")</f>
        <v/>
      </c>
      <c r="D292">
        <f>IF($Y292="","",INDEX('Per Line'!$A$2:$A$1001,$Y292)&amp;"")</f>
        <v/>
      </c>
      <c r="E292">
        <f>IF($Y292="","",INDEX('Per Line'!$B$2:$B$1001,$Y292))</f>
        <v/>
      </c>
      <c r="F292">
        <f>IF($Y292="","",INDEX('Per Line'!$G$2:$G$1001,$Y292)&amp;"")</f>
        <v/>
      </c>
      <c r="G292" s="11">
        <f>IF($Y292="","",INDEX('Per Line'!$H$2:$H$1001,$Y292))</f>
        <v/>
      </c>
      <c r="H292">
        <f>IF($Y292="","",INDEX('Per Line'!$K$2:$K$1001,$Y292)&amp;"")</f>
        <v/>
      </c>
      <c r="I292">
        <f>IF($Y292="","",INDEX('Per Line'!$L$2:$L$1001,$Y292)&amp;"")</f>
        <v/>
      </c>
      <c r="J292">
        <f>IF($Y292="","",INDEX('Per Line'!$M$2:$M$1001,$Y292)&amp;"")</f>
        <v/>
      </c>
      <c r="K292">
        <f>IF($Y292="","",INDEX('Per Line'!$Q$2:$Q$1001,$Y292))</f>
        <v/>
      </c>
      <c r="L292" s="7">
        <f>IF($Y292="","",K292*W292/100)</f>
        <v/>
      </c>
      <c r="M292">
        <f>IF($Y292="","",INDEX('Per Line'!$AD$2:$AD$1001,$Y292)&amp;"")</f>
        <v/>
      </c>
      <c r="N292" s="7">
        <f>IF($Y292="","",SUMIFS('Per Line'!$Z$2:$Z$1001,'Per Line'!$E$2:$E$1001,$B292,'Per Line'!$AR$2:$AR$1001,1))</f>
        <v/>
      </c>
      <c r="O292">
        <f>IF($Y292="","",Settings!$C$7)</f>
        <v/>
      </c>
      <c r="P292" s="7">
        <f>IF($Y292="","",SUMIFS('Per Line'!$Z$2:$Z$1001,'Per Line'!$E$2:$E$1001,$B292,'Per Line'!$AQ$2:$AQ$1001,0,'Per Line'!$AR$2:$AR$1001,0))</f>
        <v/>
      </c>
      <c r="Q292" s="7">
        <f>IF($Y292="","",P292*O292)</f>
        <v/>
      </c>
      <c r="R292">
        <f>IF($Y292="","",Settings!$C$6)</f>
        <v/>
      </c>
      <c r="S292" s="7">
        <f>IF($Y292="","",SUMIFS('Per Line'!$Z$2:$Z$1001,'Per Line'!$E$2:$E$1001,$B292,'Per Line'!$AQ$2:$AQ$1001,1,'Per Line'!$AR$2:$AR$1001,0))</f>
        <v/>
      </c>
      <c r="T292" s="7">
        <f>IF($Y292="","",S292*R292)</f>
        <v/>
      </c>
      <c r="U292" s="7">
        <f>IF($Y292="","",T292+Q292)</f>
        <v/>
      </c>
      <c r="V292" s="7">
        <f>IF($Y292="","",W292-U292)</f>
        <v/>
      </c>
      <c r="W292" s="7">
        <f>IF($Y292="","",P292+S292+N292)</f>
        <v/>
      </c>
      <c r="X292" s="7">
        <f>IF($Y292="","",W292-U292-L292)</f>
        <v/>
      </c>
      <c r="Y292" s="13">
        <f>IF(ROWS($Y$2:$Y292)&lt;=MAX('Per Line'!$AP$2:$AP$1001),MATCH(ROWS($Y$2:$Y292),'Per Line'!$AP$2:$AP$1001,0),"")</f>
        <v/>
      </c>
    </row>
    <row r="293">
      <c r="A293" s="12" t="n"/>
      <c r="B293">
        <f>IF($Y293="","",INDEX('Per Line'!$E$2:$E$1001,$Y293)&amp;"")</f>
        <v/>
      </c>
      <c r="C293">
        <f>IF($Y293="","",INDEX('Per Line'!$F$2:$F$1001,$Y293)&amp;"")</f>
        <v/>
      </c>
      <c r="D293">
        <f>IF($Y293="","",INDEX('Per Line'!$A$2:$A$1001,$Y293)&amp;"")</f>
        <v/>
      </c>
      <c r="E293">
        <f>IF($Y293="","",INDEX('Per Line'!$B$2:$B$1001,$Y293))</f>
        <v/>
      </c>
      <c r="F293">
        <f>IF($Y293="","",INDEX('Per Line'!$G$2:$G$1001,$Y293)&amp;"")</f>
        <v/>
      </c>
      <c r="G293" s="11">
        <f>IF($Y293="","",INDEX('Per Line'!$H$2:$H$1001,$Y293))</f>
        <v/>
      </c>
      <c r="H293">
        <f>IF($Y293="","",INDEX('Per Line'!$K$2:$K$1001,$Y293)&amp;"")</f>
        <v/>
      </c>
      <c r="I293">
        <f>IF($Y293="","",INDEX('Per Line'!$L$2:$L$1001,$Y293)&amp;"")</f>
        <v/>
      </c>
      <c r="J293">
        <f>IF($Y293="","",INDEX('Per Line'!$M$2:$M$1001,$Y293)&amp;"")</f>
        <v/>
      </c>
      <c r="K293">
        <f>IF($Y293="","",INDEX('Per Line'!$Q$2:$Q$1001,$Y293))</f>
        <v/>
      </c>
      <c r="L293" s="7">
        <f>IF($Y293="","",K293*W293/100)</f>
        <v/>
      </c>
      <c r="M293">
        <f>IF($Y293="","",INDEX('Per Line'!$AD$2:$AD$1001,$Y293)&amp;"")</f>
        <v/>
      </c>
      <c r="N293" s="7">
        <f>IF($Y293="","",SUMIFS('Per Line'!$Z$2:$Z$1001,'Per Line'!$E$2:$E$1001,$B293,'Per Line'!$AR$2:$AR$1001,1))</f>
        <v/>
      </c>
      <c r="O293">
        <f>IF($Y293="","",Settings!$C$7)</f>
        <v/>
      </c>
      <c r="P293" s="7">
        <f>IF($Y293="","",SUMIFS('Per Line'!$Z$2:$Z$1001,'Per Line'!$E$2:$E$1001,$B293,'Per Line'!$AQ$2:$AQ$1001,0,'Per Line'!$AR$2:$AR$1001,0))</f>
        <v/>
      </c>
      <c r="Q293" s="7">
        <f>IF($Y293="","",P293*O293)</f>
        <v/>
      </c>
      <c r="R293">
        <f>IF($Y293="","",Settings!$C$6)</f>
        <v/>
      </c>
      <c r="S293" s="7">
        <f>IF($Y293="","",SUMIFS('Per Line'!$Z$2:$Z$1001,'Per Line'!$E$2:$E$1001,$B293,'Per Line'!$AQ$2:$AQ$1001,1,'Per Line'!$AR$2:$AR$1001,0))</f>
        <v/>
      </c>
      <c r="T293" s="7">
        <f>IF($Y293="","",S293*R293)</f>
        <v/>
      </c>
      <c r="U293" s="7">
        <f>IF($Y293="","",T293+Q293)</f>
        <v/>
      </c>
      <c r="V293" s="7">
        <f>IF($Y293="","",W293-U293)</f>
        <v/>
      </c>
      <c r="W293" s="7">
        <f>IF($Y293="","",P293+S293+N293)</f>
        <v/>
      </c>
      <c r="X293" s="7">
        <f>IF($Y293="","",W293-U293-L293)</f>
        <v/>
      </c>
      <c r="Y293" s="13">
        <f>IF(ROWS($Y$2:$Y293)&lt;=MAX('Per Line'!$AP$2:$AP$1001),MATCH(ROWS($Y$2:$Y293),'Per Line'!$AP$2:$AP$1001,0),"")</f>
        <v/>
      </c>
    </row>
    <row r="294">
      <c r="A294" s="12" t="n"/>
      <c r="B294">
        <f>IF($Y294="","",INDEX('Per Line'!$E$2:$E$1001,$Y294)&amp;"")</f>
        <v/>
      </c>
      <c r="C294">
        <f>IF($Y294="","",INDEX('Per Line'!$F$2:$F$1001,$Y294)&amp;"")</f>
        <v/>
      </c>
      <c r="D294">
        <f>IF($Y294="","",INDEX('Per Line'!$A$2:$A$1001,$Y294)&amp;"")</f>
        <v/>
      </c>
      <c r="E294">
        <f>IF($Y294="","",INDEX('Per Line'!$B$2:$B$1001,$Y294))</f>
        <v/>
      </c>
      <c r="F294">
        <f>IF($Y294="","",INDEX('Per Line'!$G$2:$G$1001,$Y294)&amp;"")</f>
        <v/>
      </c>
      <c r="G294" s="11">
        <f>IF($Y294="","",INDEX('Per Line'!$H$2:$H$1001,$Y294))</f>
        <v/>
      </c>
      <c r="H294">
        <f>IF($Y294="","",INDEX('Per Line'!$K$2:$K$1001,$Y294)&amp;"")</f>
        <v/>
      </c>
      <c r="I294">
        <f>IF($Y294="","",INDEX('Per Line'!$L$2:$L$1001,$Y294)&amp;"")</f>
        <v/>
      </c>
      <c r="J294">
        <f>IF($Y294="","",INDEX('Per Line'!$M$2:$M$1001,$Y294)&amp;"")</f>
        <v/>
      </c>
      <c r="K294">
        <f>IF($Y294="","",INDEX('Per Line'!$Q$2:$Q$1001,$Y294))</f>
        <v/>
      </c>
      <c r="L294" s="7">
        <f>IF($Y294="","",K294*W294/100)</f>
        <v/>
      </c>
      <c r="M294">
        <f>IF($Y294="","",INDEX('Per Line'!$AD$2:$AD$1001,$Y294)&amp;"")</f>
        <v/>
      </c>
      <c r="N294" s="7">
        <f>IF($Y294="","",SUMIFS('Per Line'!$Z$2:$Z$1001,'Per Line'!$E$2:$E$1001,$B294,'Per Line'!$AR$2:$AR$1001,1))</f>
        <v/>
      </c>
      <c r="O294">
        <f>IF($Y294="","",Settings!$C$7)</f>
        <v/>
      </c>
      <c r="P294" s="7">
        <f>IF($Y294="","",SUMIFS('Per Line'!$Z$2:$Z$1001,'Per Line'!$E$2:$E$1001,$B294,'Per Line'!$AQ$2:$AQ$1001,0,'Per Line'!$AR$2:$AR$1001,0))</f>
        <v/>
      </c>
      <c r="Q294" s="7">
        <f>IF($Y294="","",P294*O294)</f>
        <v/>
      </c>
      <c r="R294">
        <f>IF($Y294="","",Settings!$C$6)</f>
        <v/>
      </c>
      <c r="S294" s="7">
        <f>IF($Y294="","",SUMIFS('Per Line'!$Z$2:$Z$1001,'Per Line'!$E$2:$E$1001,$B294,'Per Line'!$AQ$2:$AQ$1001,1,'Per Line'!$AR$2:$AR$1001,0))</f>
        <v/>
      </c>
      <c r="T294" s="7">
        <f>IF($Y294="","",S294*R294)</f>
        <v/>
      </c>
      <c r="U294" s="7">
        <f>IF($Y294="","",T294+Q294)</f>
        <v/>
      </c>
      <c r="V294" s="7">
        <f>IF($Y294="","",W294-U294)</f>
        <v/>
      </c>
      <c r="W294" s="7">
        <f>IF($Y294="","",P294+S294+N294)</f>
        <v/>
      </c>
      <c r="X294" s="7">
        <f>IF($Y294="","",W294-U294-L294)</f>
        <v/>
      </c>
      <c r="Y294" s="13">
        <f>IF(ROWS($Y$2:$Y294)&lt;=MAX('Per Line'!$AP$2:$AP$1001),MATCH(ROWS($Y$2:$Y294),'Per Line'!$AP$2:$AP$1001,0),"")</f>
        <v/>
      </c>
    </row>
    <row r="295">
      <c r="A295" s="12" t="n"/>
      <c r="B295">
        <f>IF($Y295="","",INDEX('Per Line'!$E$2:$E$1001,$Y295)&amp;"")</f>
        <v/>
      </c>
      <c r="C295">
        <f>IF($Y295="","",INDEX('Per Line'!$F$2:$F$1001,$Y295)&amp;"")</f>
        <v/>
      </c>
      <c r="D295">
        <f>IF($Y295="","",INDEX('Per Line'!$A$2:$A$1001,$Y295)&amp;"")</f>
        <v/>
      </c>
      <c r="E295">
        <f>IF($Y295="","",INDEX('Per Line'!$B$2:$B$1001,$Y295))</f>
        <v/>
      </c>
      <c r="F295">
        <f>IF($Y295="","",INDEX('Per Line'!$G$2:$G$1001,$Y295)&amp;"")</f>
        <v/>
      </c>
      <c r="G295" s="11">
        <f>IF($Y295="","",INDEX('Per Line'!$H$2:$H$1001,$Y295))</f>
        <v/>
      </c>
      <c r="H295">
        <f>IF($Y295="","",INDEX('Per Line'!$K$2:$K$1001,$Y295)&amp;"")</f>
        <v/>
      </c>
      <c r="I295">
        <f>IF($Y295="","",INDEX('Per Line'!$L$2:$L$1001,$Y295)&amp;"")</f>
        <v/>
      </c>
      <c r="J295">
        <f>IF($Y295="","",INDEX('Per Line'!$M$2:$M$1001,$Y295)&amp;"")</f>
        <v/>
      </c>
      <c r="K295">
        <f>IF($Y295="","",INDEX('Per Line'!$Q$2:$Q$1001,$Y295))</f>
        <v/>
      </c>
      <c r="L295" s="7">
        <f>IF($Y295="","",K295*W295/100)</f>
        <v/>
      </c>
      <c r="M295">
        <f>IF($Y295="","",INDEX('Per Line'!$AD$2:$AD$1001,$Y295)&amp;"")</f>
        <v/>
      </c>
      <c r="N295" s="7">
        <f>IF($Y295="","",SUMIFS('Per Line'!$Z$2:$Z$1001,'Per Line'!$E$2:$E$1001,$B295,'Per Line'!$AR$2:$AR$1001,1))</f>
        <v/>
      </c>
      <c r="O295">
        <f>IF($Y295="","",Settings!$C$7)</f>
        <v/>
      </c>
      <c r="P295" s="7">
        <f>IF($Y295="","",SUMIFS('Per Line'!$Z$2:$Z$1001,'Per Line'!$E$2:$E$1001,$B295,'Per Line'!$AQ$2:$AQ$1001,0,'Per Line'!$AR$2:$AR$1001,0))</f>
        <v/>
      </c>
      <c r="Q295" s="7">
        <f>IF($Y295="","",P295*O295)</f>
        <v/>
      </c>
      <c r="R295">
        <f>IF($Y295="","",Settings!$C$6)</f>
        <v/>
      </c>
      <c r="S295" s="7">
        <f>IF($Y295="","",SUMIFS('Per Line'!$Z$2:$Z$1001,'Per Line'!$E$2:$E$1001,$B295,'Per Line'!$AQ$2:$AQ$1001,1,'Per Line'!$AR$2:$AR$1001,0))</f>
        <v/>
      </c>
      <c r="T295" s="7">
        <f>IF($Y295="","",S295*R295)</f>
        <v/>
      </c>
      <c r="U295" s="7">
        <f>IF($Y295="","",T295+Q295)</f>
        <v/>
      </c>
      <c r="V295" s="7">
        <f>IF($Y295="","",W295-U295)</f>
        <v/>
      </c>
      <c r="W295" s="7">
        <f>IF($Y295="","",P295+S295+N295)</f>
        <v/>
      </c>
      <c r="X295" s="7">
        <f>IF($Y295="","",W295-U295-L295)</f>
        <v/>
      </c>
      <c r="Y295" s="13">
        <f>IF(ROWS($Y$2:$Y295)&lt;=MAX('Per Line'!$AP$2:$AP$1001),MATCH(ROWS($Y$2:$Y295),'Per Line'!$AP$2:$AP$1001,0),"")</f>
        <v/>
      </c>
    </row>
    <row r="296">
      <c r="A296" s="12" t="n"/>
      <c r="B296">
        <f>IF($Y296="","",INDEX('Per Line'!$E$2:$E$1001,$Y296)&amp;"")</f>
        <v/>
      </c>
      <c r="C296">
        <f>IF($Y296="","",INDEX('Per Line'!$F$2:$F$1001,$Y296)&amp;"")</f>
        <v/>
      </c>
      <c r="D296">
        <f>IF($Y296="","",INDEX('Per Line'!$A$2:$A$1001,$Y296)&amp;"")</f>
        <v/>
      </c>
      <c r="E296">
        <f>IF($Y296="","",INDEX('Per Line'!$B$2:$B$1001,$Y296))</f>
        <v/>
      </c>
      <c r="F296">
        <f>IF($Y296="","",INDEX('Per Line'!$G$2:$G$1001,$Y296)&amp;"")</f>
        <v/>
      </c>
      <c r="G296" s="11">
        <f>IF($Y296="","",INDEX('Per Line'!$H$2:$H$1001,$Y296))</f>
        <v/>
      </c>
      <c r="H296">
        <f>IF($Y296="","",INDEX('Per Line'!$K$2:$K$1001,$Y296)&amp;"")</f>
        <v/>
      </c>
      <c r="I296">
        <f>IF($Y296="","",INDEX('Per Line'!$L$2:$L$1001,$Y296)&amp;"")</f>
        <v/>
      </c>
      <c r="J296">
        <f>IF($Y296="","",INDEX('Per Line'!$M$2:$M$1001,$Y296)&amp;"")</f>
        <v/>
      </c>
      <c r="K296">
        <f>IF($Y296="","",INDEX('Per Line'!$Q$2:$Q$1001,$Y296))</f>
        <v/>
      </c>
      <c r="L296" s="7">
        <f>IF($Y296="","",K296*W296/100)</f>
        <v/>
      </c>
      <c r="M296">
        <f>IF($Y296="","",INDEX('Per Line'!$AD$2:$AD$1001,$Y296)&amp;"")</f>
        <v/>
      </c>
      <c r="N296" s="7">
        <f>IF($Y296="","",SUMIFS('Per Line'!$Z$2:$Z$1001,'Per Line'!$E$2:$E$1001,$B296,'Per Line'!$AR$2:$AR$1001,1))</f>
        <v/>
      </c>
      <c r="O296">
        <f>IF($Y296="","",Settings!$C$7)</f>
        <v/>
      </c>
      <c r="P296" s="7">
        <f>IF($Y296="","",SUMIFS('Per Line'!$Z$2:$Z$1001,'Per Line'!$E$2:$E$1001,$B296,'Per Line'!$AQ$2:$AQ$1001,0,'Per Line'!$AR$2:$AR$1001,0))</f>
        <v/>
      </c>
      <c r="Q296" s="7">
        <f>IF($Y296="","",P296*O296)</f>
        <v/>
      </c>
      <c r="R296">
        <f>IF($Y296="","",Settings!$C$6)</f>
        <v/>
      </c>
      <c r="S296" s="7">
        <f>IF($Y296="","",SUMIFS('Per Line'!$Z$2:$Z$1001,'Per Line'!$E$2:$E$1001,$B296,'Per Line'!$AQ$2:$AQ$1001,1,'Per Line'!$AR$2:$AR$1001,0))</f>
        <v/>
      </c>
      <c r="T296" s="7">
        <f>IF($Y296="","",S296*R296)</f>
        <v/>
      </c>
      <c r="U296" s="7">
        <f>IF($Y296="","",T296+Q296)</f>
        <v/>
      </c>
      <c r="V296" s="7">
        <f>IF($Y296="","",W296-U296)</f>
        <v/>
      </c>
      <c r="W296" s="7">
        <f>IF($Y296="","",P296+S296+N296)</f>
        <v/>
      </c>
      <c r="X296" s="7">
        <f>IF($Y296="","",W296-U296-L296)</f>
        <v/>
      </c>
      <c r="Y296" s="13">
        <f>IF(ROWS($Y$2:$Y296)&lt;=MAX('Per Line'!$AP$2:$AP$1001),MATCH(ROWS($Y$2:$Y296),'Per Line'!$AP$2:$AP$1001,0),"")</f>
        <v/>
      </c>
    </row>
    <row r="297">
      <c r="A297" s="12" t="n"/>
      <c r="B297">
        <f>IF($Y297="","",INDEX('Per Line'!$E$2:$E$1001,$Y297)&amp;"")</f>
        <v/>
      </c>
      <c r="C297">
        <f>IF($Y297="","",INDEX('Per Line'!$F$2:$F$1001,$Y297)&amp;"")</f>
        <v/>
      </c>
      <c r="D297">
        <f>IF($Y297="","",INDEX('Per Line'!$A$2:$A$1001,$Y297)&amp;"")</f>
        <v/>
      </c>
      <c r="E297">
        <f>IF($Y297="","",INDEX('Per Line'!$B$2:$B$1001,$Y297))</f>
        <v/>
      </c>
      <c r="F297">
        <f>IF($Y297="","",INDEX('Per Line'!$G$2:$G$1001,$Y297)&amp;"")</f>
        <v/>
      </c>
      <c r="G297" s="11">
        <f>IF($Y297="","",INDEX('Per Line'!$H$2:$H$1001,$Y297))</f>
        <v/>
      </c>
      <c r="H297">
        <f>IF($Y297="","",INDEX('Per Line'!$K$2:$K$1001,$Y297)&amp;"")</f>
        <v/>
      </c>
      <c r="I297">
        <f>IF($Y297="","",INDEX('Per Line'!$L$2:$L$1001,$Y297)&amp;"")</f>
        <v/>
      </c>
      <c r="J297">
        <f>IF($Y297="","",INDEX('Per Line'!$M$2:$M$1001,$Y297)&amp;"")</f>
        <v/>
      </c>
      <c r="K297">
        <f>IF($Y297="","",INDEX('Per Line'!$Q$2:$Q$1001,$Y297))</f>
        <v/>
      </c>
      <c r="L297" s="7">
        <f>IF($Y297="","",K297*W297/100)</f>
        <v/>
      </c>
      <c r="M297">
        <f>IF($Y297="","",INDEX('Per Line'!$AD$2:$AD$1001,$Y297)&amp;"")</f>
        <v/>
      </c>
      <c r="N297" s="7">
        <f>IF($Y297="","",SUMIFS('Per Line'!$Z$2:$Z$1001,'Per Line'!$E$2:$E$1001,$B297,'Per Line'!$AR$2:$AR$1001,1))</f>
        <v/>
      </c>
      <c r="O297">
        <f>IF($Y297="","",Settings!$C$7)</f>
        <v/>
      </c>
      <c r="P297" s="7">
        <f>IF($Y297="","",SUMIFS('Per Line'!$Z$2:$Z$1001,'Per Line'!$E$2:$E$1001,$B297,'Per Line'!$AQ$2:$AQ$1001,0,'Per Line'!$AR$2:$AR$1001,0))</f>
        <v/>
      </c>
      <c r="Q297" s="7">
        <f>IF($Y297="","",P297*O297)</f>
        <v/>
      </c>
      <c r="R297">
        <f>IF($Y297="","",Settings!$C$6)</f>
        <v/>
      </c>
      <c r="S297" s="7">
        <f>IF($Y297="","",SUMIFS('Per Line'!$Z$2:$Z$1001,'Per Line'!$E$2:$E$1001,$B297,'Per Line'!$AQ$2:$AQ$1001,1,'Per Line'!$AR$2:$AR$1001,0))</f>
        <v/>
      </c>
      <c r="T297" s="7">
        <f>IF($Y297="","",S297*R297)</f>
        <v/>
      </c>
      <c r="U297" s="7">
        <f>IF($Y297="","",T297+Q297)</f>
        <v/>
      </c>
      <c r="V297" s="7">
        <f>IF($Y297="","",W297-U297)</f>
        <v/>
      </c>
      <c r="W297" s="7">
        <f>IF($Y297="","",P297+S297+N297)</f>
        <v/>
      </c>
      <c r="X297" s="7">
        <f>IF($Y297="","",W297-U297-L297)</f>
        <v/>
      </c>
      <c r="Y297" s="13">
        <f>IF(ROWS($Y$2:$Y297)&lt;=MAX('Per Line'!$AP$2:$AP$1001),MATCH(ROWS($Y$2:$Y297),'Per Line'!$AP$2:$AP$1001,0),"")</f>
        <v/>
      </c>
    </row>
    <row r="298">
      <c r="A298" s="12" t="n"/>
      <c r="B298">
        <f>IF($Y298="","",INDEX('Per Line'!$E$2:$E$1001,$Y298)&amp;"")</f>
        <v/>
      </c>
      <c r="C298">
        <f>IF($Y298="","",INDEX('Per Line'!$F$2:$F$1001,$Y298)&amp;"")</f>
        <v/>
      </c>
      <c r="D298">
        <f>IF($Y298="","",INDEX('Per Line'!$A$2:$A$1001,$Y298)&amp;"")</f>
        <v/>
      </c>
      <c r="E298">
        <f>IF($Y298="","",INDEX('Per Line'!$B$2:$B$1001,$Y298))</f>
        <v/>
      </c>
      <c r="F298">
        <f>IF($Y298="","",INDEX('Per Line'!$G$2:$G$1001,$Y298)&amp;"")</f>
        <v/>
      </c>
      <c r="G298" s="11">
        <f>IF($Y298="","",INDEX('Per Line'!$H$2:$H$1001,$Y298))</f>
        <v/>
      </c>
      <c r="H298">
        <f>IF($Y298="","",INDEX('Per Line'!$K$2:$K$1001,$Y298)&amp;"")</f>
        <v/>
      </c>
      <c r="I298">
        <f>IF($Y298="","",INDEX('Per Line'!$L$2:$L$1001,$Y298)&amp;"")</f>
        <v/>
      </c>
      <c r="J298">
        <f>IF($Y298="","",INDEX('Per Line'!$M$2:$M$1001,$Y298)&amp;"")</f>
        <v/>
      </c>
      <c r="K298">
        <f>IF($Y298="","",INDEX('Per Line'!$Q$2:$Q$1001,$Y298))</f>
        <v/>
      </c>
      <c r="L298" s="7">
        <f>IF($Y298="","",K298*W298/100)</f>
        <v/>
      </c>
      <c r="M298">
        <f>IF($Y298="","",INDEX('Per Line'!$AD$2:$AD$1001,$Y298)&amp;"")</f>
        <v/>
      </c>
      <c r="N298" s="7">
        <f>IF($Y298="","",SUMIFS('Per Line'!$Z$2:$Z$1001,'Per Line'!$E$2:$E$1001,$B298,'Per Line'!$AR$2:$AR$1001,1))</f>
        <v/>
      </c>
      <c r="O298">
        <f>IF($Y298="","",Settings!$C$7)</f>
        <v/>
      </c>
      <c r="P298" s="7">
        <f>IF($Y298="","",SUMIFS('Per Line'!$Z$2:$Z$1001,'Per Line'!$E$2:$E$1001,$B298,'Per Line'!$AQ$2:$AQ$1001,0,'Per Line'!$AR$2:$AR$1001,0))</f>
        <v/>
      </c>
      <c r="Q298" s="7">
        <f>IF($Y298="","",P298*O298)</f>
        <v/>
      </c>
      <c r="R298">
        <f>IF($Y298="","",Settings!$C$6)</f>
        <v/>
      </c>
      <c r="S298" s="7">
        <f>IF($Y298="","",SUMIFS('Per Line'!$Z$2:$Z$1001,'Per Line'!$E$2:$E$1001,$B298,'Per Line'!$AQ$2:$AQ$1001,1,'Per Line'!$AR$2:$AR$1001,0))</f>
        <v/>
      </c>
      <c r="T298" s="7">
        <f>IF($Y298="","",S298*R298)</f>
        <v/>
      </c>
      <c r="U298" s="7">
        <f>IF($Y298="","",T298+Q298)</f>
        <v/>
      </c>
      <c r="V298" s="7">
        <f>IF($Y298="","",W298-U298)</f>
        <v/>
      </c>
      <c r="W298" s="7">
        <f>IF($Y298="","",P298+S298+N298)</f>
        <v/>
      </c>
      <c r="X298" s="7">
        <f>IF($Y298="","",W298-U298-L298)</f>
        <v/>
      </c>
      <c r="Y298" s="13">
        <f>IF(ROWS($Y$2:$Y298)&lt;=MAX('Per Line'!$AP$2:$AP$1001),MATCH(ROWS($Y$2:$Y298),'Per Line'!$AP$2:$AP$1001,0),"")</f>
        <v/>
      </c>
    </row>
    <row r="299">
      <c r="A299" s="12" t="n"/>
      <c r="B299">
        <f>IF($Y299="","",INDEX('Per Line'!$E$2:$E$1001,$Y299)&amp;"")</f>
        <v/>
      </c>
      <c r="C299">
        <f>IF($Y299="","",INDEX('Per Line'!$F$2:$F$1001,$Y299)&amp;"")</f>
        <v/>
      </c>
      <c r="D299">
        <f>IF($Y299="","",INDEX('Per Line'!$A$2:$A$1001,$Y299)&amp;"")</f>
        <v/>
      </c>
      <c r="E299">
        <f>IF($Y299="","",INDEX('Per Line'!$B$2:$B$1001,$Y299))</f>
        <v/>
      </c>
      <c r="F299">
        <f>IF($Y299="","",INDEX('Per Line'!$G$2:$G$1001,$Y299)&amp;"")</f>
        <v/>
      </c>
      <c r="G299" s="11">
        <f>IF($Y299="","",INDEX('Per Line'!$H$2:$H$1001,$Y299))</f>
        <v/>
      </c>
      <c r="H299">
        <f>IF($Y299="","",INDEX('Per Line'!$K$2:$K$1001,$Y299)&amp;"")</f>
        <v/>
      </c>
      <c r="I299">
        <f>IF($Y299="","",INDEX('Per Line'!$L$2:$L$1001,$Y299)&amp;"")</f>
        <v/>
      </c>
      <c r="J299">
        <f>IF($Y299="","",INDEX('Per Line'!$M$2:$M$1001,$Y299)&amp;"")</f>
        <v/>
      </c>
      <c r="K299">
        <f>IF($Y299="","",INDEX('Per Line'!$Q$2:$Q$1001,$Y299))</f>
        <v/>
      </c>
      <c r="L299" s="7">
        <f>IF($Y299="","",K299*W299/100)</f>
        <v/>
      </c>
      <c r="M299">
        <f>IF($Y299="","",INDEX('Per Line'!$AD$2:$AD$1001,$Y299)&amp;"")</f>
        <v/>
      </c>
      <c r="N299" s="7">
        <f>IF($Y299="","",SUMIFS('Per Line'!$Z$2:$Z$1001,'Per Line'!$E$2:$E$1001,$B299,'Per Line'!$AR$2:$AR$1001,1))</f>
        <v/>
      </c>
      <c r="O299">
        <f>IF($Y299="","",Settings!$C$7)</f>
        <v/>
      </c>
      <c r="P299" s="7">
        <f>IF($Y299="","",SUMIFS('Per Line'!$Z$2:$Z$1001,'Per Line'!$E$2:$E$1001,$B299,'Per Line'!$AQ$2:$AQ$1001,0,'Per Line'!$AR$2:$AR$1001,0))</f>
        <v/>
      </c>
      <c r="Q299" s="7">
        <f>IF($Y299="","",P299*O299)</f>
        <v/>
      </c>
      <c r="R299">
        <f>IF($Y299="","",Settings!$C$6)</f>
        <v/>
      </c>
      <c r="S299" s="7">
        <f>IF($Y299="","",SUMIFS('Per Line'!$Z$2:$Z$1001,'Per Line'!$E$2:$E$1001,$B299,'Per Line'!$AQ$2:$AQ$1001,1,'Per Line'!$AR$2:$AR$1001,0))</f>
        <v/>
      </c>
      <c r="T299" s="7">
        <f>IF($Y299="","",S299*R299)</f>
        <v/>
      </c>
      <c r="U299" s="7">
        <f>IF($Y299="","",T299+Q299)</f>
        <v/>
      </c>
      <c r="V299" s="7">
        <f>IF($Y299="","",W299-U299)</f>
        <v/>
      </c>
      <c r="W299" s="7">
        <f>IF($Y299="","",P299+S299+N299)</f>
        <v/>
      </c>
      <c r="X299" s="7">
        <f>IF($Y299="","",W299-U299-L299)</f>
        <v/>
      </c>
      <c r="Y299" s="13">
        <f>IF(ROWS($Y$2:$Y299)&lt;=MAX('Per Line'!$AP$2:$AP$1001),MATCH(ROWS($Y$2:$Y299),'Per Line'!$AP$2:$AP$1001,0),"")</f>
        <v/>
      </c>
    </row>
    <row r="300">
      <c r="A300" s="12" t="n"/>
      <c r="B300">
        <f>IF($Y300="","",INDEX('Per Line'!$E$2:$E$1001,$Y300)&amp;"")</f>
        <v/>
      </c>
      <c r="C300">
        <f>IF($Y300="","",INDEX('Per Line'!$F$2:$F$1001,$Y300)&amp;"")</f>
        <v/>
      </c>
      <c r="D300">
        <f>IF($Y300="","",INDEX('Per Line'!$A$2:$A$1001,$Y300)&amp;"")</f>
        <v/>
      </c>
      <c r="E300">
        <f>IF($Y300="","",INDEX('Per Line'!$B$2:$B$1001,$Y300))</f>
        <v/>
      </c>
      <c r="F300">
        <f>IF($Y300="","",INDEX('Per Line'!$G$2:$G$1001,$Y300)&amp;"")</f>
        <v/>
      </c>
      <c r="G300" s="11">
        <f>IF($Y300="","",INDEX('Per Line'!$H$2:$H$1001,$Y300))</f>
        <v/>
      </c>
      <c r="H300">
        <f>IF($Y300="","",INDEX('Per Line'!$K$2:$K$1001,$Y300)&amp;"")</f>
        <v/>
      </c>
      <c r="I300">
        <f>IF($Y300="","",INDEX('Per Line'!$L$2:$L$1001,$Y300)&amp;"")</f>
        <v/>
      </c>
      <c r="J300">
        <f>IF($Y300="","",INDEX('Per Line'!$M$2:$M$1001,$Y300)&amp;"")</f>
        <v/>
      </c>
      <c r="K300">
        <f>IF($Y300="","",INDEX('Per Line'!$Q$2:$Q$1001,$Y300))</f>
        <v/>
      </c>
      <c r="L300" s="7">
        <f>IF($Y300="","",K300*W300/100)</f>
        <v/>
      </c>
      <c r="M300">
        <f>IF($Y300="","",INDEX('Per Line'!$AD$2:$AD$1001,$Y300)&amp;"")</f>
        <v/>
      </c>
      <c r="N300" s="7">
        <f>IF($Y300="","",SUMIFS('Per Line'!$Z$2:$Z$1001,'Per Line'!$E$2:$E$1001,$B300,'Per Line'!$AR$2:$AR$1001,1))</f>
        <v/>
      </c>
      <c r="O300">
        <f>IF($Y300="","",Settings!$C$7)</f>
        <v/>
      </c>
      <c r="P300" s="7">
        <f>IF($Y300="","",SUMIFS('Per Line'!$Z$2:$Z$1001,'Per Line'!$E$2:$E$1001,$B300,'Per Line'!$AQ$2:$AQ$1001,0,'Per Line'!$AR$2:$AR$1001,0))</f>
        <v/>
      </c>
      <c r="Q300" s="7">
        <f>IF($Y300="","",P300*O300)</f>
        <v/>
      </c>
      <c r="R300">
        <f>IF($Y300="","",Settings!$C$6)</f>
        <v/>
      </c>
      <c r="S300" s="7">
        <f>IF($Y300="","",SUMIFS('Per Line'!$Z$2:$Z$1001,'Per Line'!$E$2:$E$1001,$B300,'Per Line'!$AQ$2:$AQ$1001,1,'Per Line'!$AR$2:$AR$1001,0))</f>
        <v/>
      </c>
      <c r="T300" s="7">
        <f>IF($Y300="","",S300*R300)</f>
        <v/>
      </c>
      <c r="U300" s="7">
        <f>IF($Y300="","",T300+Q300)</f>
        <v/>
      </c>
      <c r="V300" s="7">
        <f>IF($Y300="","",W300-U300)</f>
        <v/>
      </c>
      <c r="W300" s="7">
        <f>IF($Y300="","",P300+S300+N300)</f>
        <v/>
      </c>
      <c r="X300" s="7">
        <f>IF($Y300="","",W300-U300-L300)</f>
        <v/>
      </c>
      <c r="Y300" s="13">
        <f>IF(ROWS($Y$2:$Y300)&lt;=MAX('Per Line'!$AP$2:$AP$1001),MATCH(ROWS($Y$2:$Y300),'Per Line'!$AP$2:$AP$1001,0),"")</f>
        <v/>
      </c>
    </row>
    <row r="301">
      <c r="A301" s="12" t="n"/>
      <c r="B301">
        <f>IF($Y301="","",INDEX('Per Line'!$E$2:$E$1001,$Y301)&amp;"")</f>
        <v/>
      </c>
      <c r="C301">
        <f>IF($Y301="","",INDEX('Per Line'!$F$2:$F$1001,$Y301)&amp;"")</f>
        <v/>
      </c>
      <c r="D301">
        <f>IF($Y301="","",INDEX('Per Line'!$A$2:$A$1001,$Y301)&amp;"")</f>
        <v/>
      </c>
      <c r="E301">
        <f>IF($Y301="","",INDEX('Per Line'!$B$2:$B$1001,$Y301))</f>
        <v/>
      </c>
      <c r="F301">
        <f>IF($Y301="","",INDEX('Per Line'!$G$2:$G$1001,$Y301)&amp;"")</f>
        <v/>
      </c>
      <c r="G301" s="11">
        <f>IF($Y301="","",INDEX('Per Line'!$H$2:$H$1001,$Y301))</f>
        <v/>
      </c>
      <c r="H301">
        <f>IF($Y301="","",INDEX('Per Line'!$K$2:$K$1001,$Y301)&amp;"")</f>
        <v/>
      </c>
      <c r="I301">
        <f>IF($Y301="","",INDEX('Per Line'!$L$2:$L$1001,$Y301)&amp;"")</f>
        <v/>
      </c>
      <c r="J301">
        <f>IF($Y301="","",INDEX('Per Line'!$M$2:$M$1001,$Y301)&amp;"")</f>
        <v/>
      </c>
      <c r="K301">
        <f>IF($Y301="","",INDEX('Per Line'!$Q$2:$Q$1001,$Y301))</f>
        <v/>
      </c>
      <c r="L301" s="7">
        <f>IF($Y301="","",K301*W301/100)</f>
        <v/>
      </c>
      <c r="M301">
        <f>IF($Y301="","",INDEX('Per Line'!$AD$2:$AD$1001,$Y301)&amp;"")</f>
        <v/>
      </c>
      <c r="N301" s="7">
        <f>IF($Y301="","",SUMIFS('Per Line'!$Z$2:$Z$1001,'Per Line'!$E$2:$E$1001,$B301,'Per Line'!$AR$2:$AR$1001,1))</f>
        <v/>
      </c>
      <c r="O301">
        <f>IF($Y301="","",Settings!$C$7)</f>
        <v/>
      </c>
      <c r="P301" s="7">
        <f>IF($Y301="","",SUMIFS('Per Line'!$Z$2:$Z$1001,'Per Line'!$E$2:$E$1001,$B301,'Per Line'!$AQ$2:$AQ$1001,0,'Per Line'!$AR$2:$AR$1001,0))</f>
        <v/>
      </c>
      <c r="Q301" s="7">
        <f>IF($Y301="","",P301*O301)</f>
        <v/>
      </c>
      <c r="R301">
        <f>IF($Y301="","",Settings!$C$6)</f>
        <v/>
      </c>
      <c r="S301" s="7">
        <f>IF($Y301="","",SUMIFS('Per Line'!$Z$2:$Z$1001,'Per Line'!$E$2:$E$1001,$B301,'Per Line'!$AQ$2:$AQ$1001,1,'Per Line'!$AR$2:$AR$1001,0))</f>
        <v/>
      </c>
      <c r="T301" s="7">
        <f>IF($Y301="","",S301*R301)</f>
        <v/>
      </c>
      <c r="U301" s="7">
        <f>IF($Y301="","",T301+Q301)</f>
        <v/>
      </c>
      <c r="V301" s="7">
        <f>IF($Y301="","",W301-U301)</f>
        <v/>
      </c>
      <c r="W301" s="7">
        <f>IF($Y301="","",P301+S301+N301)</f>
        <v/>
      </c>
      <c r="X301" s="7">
        <f>IF($Y301="","",W301-U301-L301)</f>
        <v/>
      </c>
      <c r="Y301" s="13">
        <f>IF(ROWS($Y$2:$Y301)&lt;=MAX('Per Line'!$AP$2:$AP$1001),MATCH(ROWS($Y$2:$Y301),'Per Line'!$AP$2:$AP$1001,0),"")</f>
        <v/>
      </c>
    </row>
  </sheetData>
  <autoFilter ref="A1:Y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2026-10-12T10:25:22Z</dcterms:created>
  <dcterms:modified xmlns:dcterms="http://purl.org/dc/terms/" xmlns:xsi="http://www.w3.org/2001/XMLSchema-instance" xsi:type="dcterms:W3CDTF">2026-10-12T10:25:22Z</dcterms:modified>
</cp:coreProperties>
</file>