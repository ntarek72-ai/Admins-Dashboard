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Line'!$A$1:$W$501</definedName>
    <definedName name="_xlnm._FilterDatabase" localSheetId="3" hidden="1">'Per Invoice'!$A$1:$S$201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OMEGA CARE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A-E, G-O (same order as the system export).</t>
        </is>
      </c>
    </row>
    <row r="6">
      <c r="A6" s="3" t="inlineStr">
        <is>
          <t>3. Green columns (F, P, Q, R, S) and the grey helper columns (T-W) calculate automatically - do not paste over them.</t>
        </is>
      </c>
    </row>
    <row r="7">
      <c r="A7" s="3" t="inlineStr">
        <is>
          <t>4. 'Per Invoice' fills itself from 'Per Line' (one row per POS Reference, split into IMP / Local). No pivot table, no refresh.</t>
        </is>
      </c>
    </row>
    <row r="8">
      <c r="A8" s="3" t="inlineStr">
        <is>
          <t>5. The ONLY manual column in 'Per Invoice' is column A 'Invoice' (blue): type the invoice number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July 2026 sheet)</t>
        </is>
      </c>
    </row>
    <row r="15">
      <c r="A15" s="3" t="inlineStr">
        <is>
          <t>Co val = Co Payment % x Total / 100.   Discount = Total x Rebates (Rebates is a fraction here, e.g. 0.14).   Subtotal = Total - Discount.   Net = Subtotal - Co val.   (Total = 'Total Delivered')</t>
        </is>
      </c>
    </row>
    <row r="16">
      <c r="A16" s="3" t="inlineStr">
        <is>
          <t>This export has no 'Is Local' column, so every line gets the Local rate (14%), exactly as in the July 2026 sheet. Rates are set in 'Settings'.</t>
        </is>
      </c>
    </row>
    <row r="18">
      <c r="A18" s="3" t="inlineStr">
        <is>
          <t>Per Invoice: IMP = sum of Total of non-local lines; Local = sum of Total of local lines. Grand Total =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500 lines and 200 invoices per month. A line with an empty POS Reference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OMEGA CARE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0.14</v>
      </c>
      <c r="D6" t="inlineStr">
        <is>
          <t>Source: July sheet (Rebates = 0.14 on every line).</t>
        </is>
      </c>
    </row>
    <row r="7">
      <c r="B7" t="inlineStr">
        <is>
          <t>Imported (IMP) products rebate %</t>
        </is>
      </c>
      <c r="C7" s="5" t="n">
        <v>0.06</v>
      </c>
      <c r="D7" t="inlineStr">
        <is>
          <t>Source: July Per Inv used 6% for IMP (no imported lines that month; the export has no Is Local column, so all lines use the Local rate).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Line'!$A$2:$A$501)</f>
        <v/>
      </c>
    </row>
    <row r="11">
      <c r="B11" t="inlineStr">
        <is>
          <t>Invoices (unique Order #)</t>
        </is>
      </c>
      <c r="C11">
        <f>MAX('Per Line'!$U$2:$U$501)</f>
        <v/>
      </c>
    </row>
    <row r="12">
      <c r="B12" t="inlineStr">
        <is>
          <t>Invoices shown in Per Invoice</t>
        </is>
      </c>
      <c r="C12">
        <f>SUMPRODUCT(--('Per Invoice'!$B$2:$B$201&lt;&gt;""))</f>
        <v/>
      </c>
    </row>
    <row r="13">
      <c r="B13" t="inlineStr">
        <is>
          <t>Grand Total - Per Line (Product Total)</t>
        </is>
      </c>
      <c r="C13" s="7">
        <f>SUM('Per Line'!$K$2:$K$501)</f>
        <v/>
      </c>
    </row>
    <row r="14">
      <c r="B14" t="inlineStr">
        <is>
          <t>Grand Total - Per Invoice</t>
        </is>
      </c>
      <c r="C14" s="7">
        <f>SUM('Per Invoice'!$Q$2:$Q$201)</f>
        <v/>
      </c>
    </row>
    <row r="15">
      <c r="B15" t="inlineStr">
        <is>
          <t>Discount - Per Line</t>
        </is>
      </c>
      <c r="C15" s="7">
        <f>SUM('Per Line'!$Q$2:$Q$501)</f>
        <v/>
      </c>
    </row>
    <row r="16">
      <c r="B16" t="inlineStr">
        <is>
          <t>Discount - Per Invoice</t>
        </is>
      </c>
      <c r="C16" s="7">
        <f>SUM('Per Invoice'!$O$2:$O$201)</f>
        <v/>
      </c>
    </row>
    <row r="17">
      <c r="B17" t="inlineStr">
        <is>
          <t>Co val - Per Line</t>
        </is>
      </c>
      <c r="C17" s="7">
        <f>SUM('Per Line'!$F$2:$F$501)</f>
        <v/>
      </c>
    </row>
    <row r="18">
      <c r="B18" t="inlineStr">
        <is>
          <t>Co val - Per Invoice</t>
        </is>
      </c>
      <c r="C18" s="7">
        <f>SUM('Per Invoice'!$G$2:$G$201)</f>
        <v/>
      </c>
    </row>
    <row r="19">
      <c r="B19" t="inlineStr">
        <is>
          <t>Net - Per Line</t>
        </is>
      </c>
      <c r="C19" s="7">
        <f>SUM('Per Line'!$S$2:$S$501)</f>
        <v/>
      </c>
    </row>
    <row r="20">
      <c r="B20" t="inlineStr">
        <is>
          <t>Net - Per Invoice</t>
        </is>
      </c>
      <c r="C20" s="7">
        <f>SUM('Per Invoice'!$R$2:$R$201)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Line'!$A:$A)-1&gt;500,"TOO MANY LINES - extend template",IF(C11&gt;200,"TOO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3" customWidth="1" min="4" max="4"/>
    <col width="12" customWidth="1" min="5" max="5"/>
    <col width="11" customWidth="1" min="6" max="6"/>
    <col width="12" customWidth="1" min="7" max="7"/>
    <col width="40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7" customWidth="1" min="15" max="15"/>
    <col width="11" customWidth="1" min="16" max="16"/>
    <col width="11" customWidth="1" min="17" max="17"/>
    <col width="11" customWidth="1" min="18" max="18"/>
    <col width="11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32" customHeight="1">
      <c r="A1" s="8" t="inlineStr">
        <is>
          <t>Pos Reference</t>
        </is>
      </c>
      <c r="B1" s="8" t="inlineStr">
        <is>
          <t>Insurance Company</t>
        </is>
      </c>
      <c r="C1" s="8" t="inlineStr">
        <is>
          <t>Name</t>
        </is>
      </c>
      <c r="D1" s="8" t="inlineStr">
        <is>
          <t>Card Number</t>
        </is>
      </c>
      <c r="E1" s="8" t="inlineStr">
        <is>
          <t>Co Payment %</t>
        </is>
      </c>
      <c r="F1" s="9" t="inlineStr">
        <is>
          <t>Co val</t>
        </is>
      </c>
      <c r="G1" s="8" t="inlineStr">
        <is>
          <t>Heisenberg id</t>
        </is>
      </c>
      <c r="H1" s="8" t="inlineStr">
        <is>
          <t>Product</t>
        </is>
      </c>
      <c r="I1" s="8" t="inlineStr">
        <is>
          <t>Delivered Qty</t>
        </is>
      </c>
      <c r="J1" s="8" t="inlineStr">
        <is>
          <t>Delivered Price</t>
        </is>
      </c>
      <c r="K1" s="8" t="inlineStr">
        <is>
          <t>Total Delivered</t>
        </is>
      </c>
      <c r="L1" s="8" t="inlineStr">
        <is>
          <t>Payment Amount</t>
        </is>
      </c>
      <c r="M1" s="8" t="inlineStr">
        <is>
          <t>Payment Type</t>
        </is>
      </c>
      <c r="N1" s="8" t="inlineStr">
        <is>
          <t>Session</t>
        </is>
      </c>
      <c r="O1" s="8" t="inlineStr">
        <is>
          <t>Create Date</t>
        </is>
      </c>
      <c r="P1" s="9" t="inlineStr">
        <is>
          <t>Rebates</t>
        </is>
      </c>
      <c r="Q1" s="9" t="inlineStr">
        <is>
          <t>Discount</t>
        </is>
      </c>
      <c r="R1" s="9" t="inlineStr">
        <is>
          <t>Subtotal</t>
        </is>
      </c>
      <c r="S1" s="9" t="inlineStr">
        <is>
          <t>Net</t>
        </is>
      </c>
      <c r="T1" s="10" t="inlineStr">
        <is>
          <t>Order 1st Row (helper)</t>
        </is>
      </c>
      <c r="U1" s="10" t="inlineStr">
        <is>
          <t>Invoice # (helper)</t>
        </is>
      </c>
      <c r="V1" s="10" t="inlineStr">
        <is>
          <t>Is Local (helper)</t>
        </is>
      </c>
      <c r="W1" s="10" t="inlineStr">
        <is>
          <t>Sort Key (helper)</t>
        </is>
      </c>
    </row>
    <row r="2">
      <c r="F2" s="7">
        <f>IF($A2="","",E2*K2/100)</f>
        <v/>
      </c>
      <c r="J2" s="7" t="n"/>
      <c r="K2" s="7" t="n"/>
      <c r="L2" s="7" t="n"/>
      <c r="O2" s="11" t="n"/>
      <c r="P2">
        <f>IF($A2="","",IF($V2=1,Settings!$C$6,Settings!$C$7)*1)</f>
        <v/>
      </c>
      <c r="Q2" s="7">
        <f>IF($A2="","",P2*K2)</f>
        <v/>
      </c>
      <c r="R2" s="7">
        <f>IF($A2="","",K2-Q2)</f>
        <v/>
      </c>
      <c r="S2" s="7">
        <f>IF($A2="","",R2-F2)</f>
        <v/>
      </c>
      <c r="T2">
        <f>IF($A2="","",IF(COUNTIF($A$2:$A2,$A2)=1,1,0))</f>
        <v/>
      </c>
      <c r="U2">
        <f>IF($T2=1,SUMPRODUCT(--($W$2:$W$501&lt;$W2))+1,"")</f>
        <v/>
      </c>
      <c r="V2">
        <f>IF($A2="","",1)</f>
        <v/>
      </c>
      <c r="W2">
        <f>IF($T2=1,IFERROR(VALUE(MID($A2,2,20)),1000000000)+ROW()/100000,"")</f>
        <v/>
      </c>
    </row>
    <row r="3">
      <c r="F3" s="7">
        <f>IF($A3="","",E3*K3/100)</f>
        <v/>
      </c>
      <c r="J3" s="7" t="n"/>
      <c r="K3" s="7" t="n"/>
      <c r="L3" s="7" t="n"/>
      <c r="O3" s="11" t="n"/>
      <c r="P3">
        <f>IF($A3="","",IF($V3=1,Settings!$C$6,Settings!$C$7)*1)</f>
        <v/>
      </c>
      <c r="Q3" s="7">
        <f>IF($A3="","",P3*K3)</f>
        <v/>
      </c>
      <c r="R3" s="7">
        <f>IF($A3="","",K3-Q3)</f>
        <v/>
      </c>
      <c r="S3" s="7">
        <f>IF($A3="","",R3-F3)</f>
        <v/>
      </c>
      <c r="T3">
        <f>IF($A3="","",IF(COUNTIF($A$2:$A3,$A3)=1,1,0))</f>
        <v/>
      </c>
      <c r="U3">
        <f>IF($T3=1,SUMPRODUCT(--($W$2:$W$501&lt;$W3))+1,"")</f>
        <v/>
      </c>
      <c r="V3">
        <f>IF($A3="","",1)</f>
        <v/>
      </c>
      <c r="W3">
        <f>IF($T3=1,IFERROR(VALUE(MID($A3,2,20)),1000000000)+ROW()/100000,"")</f>
        <v/>
      </c>
    </row>
    <row r="4">
      <c r="F4" s="7">
        <f>IF($A4="","",E4*K4/100)</f>
        <v/>
      </c>
      <c r="J4" s="7" t="n"/>
      <c r="K4" s="7" t="n"/>
      <c r="L4" s="7" t="n"/>
      <c r="O4" s="11" t="n"/>
      <c r="P4">
        <f>IF($A4="","",IF($V4=1,Settings!$C$6,Settings!$C$7)*1)</f>
        <v/>
      </c>
      <c r="Q4" s="7">
        <f>IF($A4="","",P4*K4)</f>
        <v/>
      </c>
      <c r="R4" s="7">
        <f>IF($A4="","",K4-Q4)</f>
        <v/>
      </c>
      <c r="S4" s="7">
        <f>IF($A4="","",R4-F4)</f>
        <v/>
      </c>
      <c r="T4">
        <f>IF($A4="","",IF(COUNTIF($A$2:$A4,$A4)=1,1,0))</f>
        <v/>
      </c>
      <c r="U4">
        <f>IF($T4=1,SUMPRODUCT(--($W$2:$W$501&lt;$W4))+1,"")</f>
        <v/>
      </c>
      <c r="V4">
        <f>IF($A4="","",1)</f>
        <v/>
      </c>
      <c r="W4">
        <f>IF($T4=1,IFERROR(VALUE(MID($A4,2,20)),1000000000)+ROW()/100000,"")</f>
        <v/>
      </c>
    </row>
    <row r="5">
      <c r="F5" s="7">
        <f>IF($A5="","",E5*K5/100)</f>
        <v/>
      </c>
      <c r="J5" s="7" t="n"/>
      <c r="K5" s="7" t="n"/>
      <c r="L5" s="7" t="n"/>
      <c r="O5" s="11" t="n"/>
      <c r="P5">
        <f>IF($A5="","",IF($V5=1,Settings!$C$6,Settings!$C$7)*1)</f>
        <v/>
      </c>
      <c r="Q5" s="7">
        <f>IF($A5="","",P5*K5)</f>
        <v/>
      </c>
      <c r="R5" s="7">
        <f>IF($A5="","",K5-Q5)</f>
        <v/>
      </c>
      <c r="S5" s="7">
        <f>IF($A5="","",R5-F5)</f>
        <v/>
      </c>
      <c r="T5">
        <f>IF($A5="","",IF(COUNTIF($A$2:$A5,$A5)=1,1,0))</f>
        <v/>
      </c>
      <c r="U5">
        <f>IF($T5=1,SUMPRODUCT(--($W$2:$W$501&lt;$W5))+1,"")</f>
        <v/>
      </c>
      <c r="V5">
        <f>IF($A5="","",1)</f>
        <v/>
      </c>
      <c r="W5">
        <f>IF($T5=1,IFERROR(VALUE(MID($A5,2,20)),1000000000)+ROW()/100000,"")</f>
        <v/>
      </c>
    </row>
    <row r="6">
      <c r="F6" s="7">
        <f>IF($A6="","",E6*K6/100)</f>
        <v/>
      </c>
      <c r="J6" s="7" t="n"/>
      <c r="K6" s="7" t="n"/>
      <c r="L6" s="7" t="n"/>
      <c r="O6" s="11" t="n"/>
      <c r="P6">
        <f>IF($A6="","",IF($V6=1,Settings!$C$6,Settings!$C$7)*1)</f>
        <v/>
      </c>
      <c r="Q6" s="7">
        <f>IF($A6="","",P6*K6)</f>
        <v/>
      </c>
      <c r="R6" s="7">
        <f>IF($A6="","",K6-Q6)</f>
        <v/>
      </c>
      <c r="S6" s="7">
        <f>IF($A6="","",R6-F6)</f>
        <v/>
      </c>
      <c r="T6">
        <f>IF($A6="","",IF(COUNTIF($A$2:$A6,$A6)=1,1,0))</f>
        <v/>
      </c>
      <c r="U6">
        <f>IF($T6=1,SUMPRODUCT(--($W$2:$W$501&lt;$W6))+1,"")</f>
        <v/>
      </c>
      <c r="V6">
        <f>IF($A6="","",1)</f>
        <v/>
      </c>
      <c r="W6">
        <f>IF($T6=1,IFERROR(VALUE(MID($A6,2,20)),1000000000)+ROW()/100000,"")</f>
        <v/>
      </c>
    </row>
    <row r="7">
      <c r="F7" s="7">
        <f>IF($A7="","",E7*K7/100)</f>
        <v/>
      </c>
      <c r="J7" s="7" t="n"/>
      <c r="K7" s="7" t="n"/>
      <c r="L7" s="7" t="n"/>
      <c r="O7" s="11" t="n"/>
      <c r="P7">
        <f>IF($A7="","",IF($V7=1,Settings!$C$6,Settings!$C$7)*1)</f>
        <v/>
      </c>
      <c r="Q7" s="7">
        <f>IF($A7="","",P7*K7)</f>
        <v/>
      </c>
      <c r="R7" s="7">
        <f>IF($A7="","",K7-Q7)</f>
        <v/>
      </c>
      <c r="S7" s="7">
        <f>IF($A7="","",R7-F7)</f>
        <v/>
      </c>
      <c r="T7">
        <f>IF($A7="","",IF(COUNTIF($A$2:$A7,$A7)=1,1,0))</f>
        <v/>
      </c>
      <c r="U7">
        <f>IF($T7=1,SUMPRODUCT(--($W$2:$W$501&lt;$W7))+1,"")</f>
        <v/>
      </c>
      <c r="V7">
        <f>IF($A7="","",1)</f>
        <v/>
      </c>
      <c r="W7">
        <f>IF($T7=1,IFERROR(VALUE(MID($A7,2,20)),1000000000)+ROW()/100000,"")</f>
        <v/>
      </c>
    </row>
    <row r="8">
      <c r="F8" s="7">
        <f>IF($A8="","",E8*K8/100)</f>
        <v/>
      </c>
      <c r="J8" s="7" t="n"/>
      <c r="K8" s="7" t="n"/>
      <c r="L8" s="7" t="n"/>
      <c r="O8" s="11" t="n"/>
      <c r="P8">
        <f>IF($A8="","",IF($V8=1,Settings!$C$6,Settings!$C$7)*1)</f>
        <v/>
      </c>
      <c r="Q8" s="7">
        <f>IF($A8="","",P8*K8)</f>
        <v/>
      </c>
      <c r="R8" s="7">
        <f>IF($A8="","",K8-Q8)</f>
        <v/>
      </c>
      <c r="S8" s="7">
        <f>IF($A8="","",R8-F8)</f>
        <v/>
      </c>
      <c r="T8">
        <f>IF($A8="","",IF(COUNTIF($A$2:$A8,$A8)=1,1,0))</f>
        <v/>
      </c>
      <c r="U8">
        <f>IF($T8=1,SUMPRODUCT(--($W$2:$W$501&lt;$W8))+1,"")</f>
        <v/>
      </c>
      <c r="V8">
        <f>IF($A8="","",1)</f>
        <v/>
      </c>
      <c r="W8">
        <f>IF($T8=1,IFERROR(VALUE(MID($A8,2,20)),1000000000)+ROW()/100000,"")</f>
        <v/>
      </c>
    </row>
    <row r="9">
      <c r="F9" s="7">
        <f>IF($A9="","",E9*K9/100)</f>
        <v/>
      </c>
      <c r="J9" s="7" t="n"/>
      <c r="K9" s="7" t="n"/>
      <c r="L9" s="7" t="n"/>
      <c r="O9" s="11" t="n"/>
      <c r="P9">
        <f>IF($A9="","",IF($V9=1,Settings!$C$6,Settings!$C$7)*1)</f>
        <v/>
      </c>
      <c r="Q9" s="7">
        <f>IF($A9="","",P9*K9)</f>
        <v/>
      </c>
      <c r="R9" s="7">
        <f>IF($A9="","",K9-Q9)</f>
        <v/>
      </c>
      <c r="S9" s="7">
        <f>IF($A9="","",R9-F9)</f>
        <v/>
      </c>
      <c r="T9">
        <f>IF($A9="","",IF(COUNTIF($A$2:$A9,$A9)=1,1,0))</f>
        <v/>
      </c>
      <c r="U9">
        <f>IF($T9=1,SUMPRODUCT(--($W$2:$W$501&lt;$W9))+1,"")</f>
        <v/>
      </c>
      <c r="V9">
        <f>IF($A9="","",1)</f>
        <v/>
      </c>
      <c r="W9">
        <f>IF($T9=1,IFERROR(VALUE(MID($A9,2,20)),1000000000)+ROW()/100000,"")</f>
        <v/>
      </c>
    </row>
    <row r="10">
      <c r="F10" s="7">
        <f>IF($A10="","",E10*K10/100)</f>
        <v/>
      </c>
      <c r="J10" s="7" t="n"/>
      <c r="K10" s="7" t="n"/>
      <c r="L10" s="7" t="n"/>
      <c r="O10" s="11" t="n"/>
      <c r="P10">
        <f>IF($A10="","",IF($V10=1,Settings!$C$6,Settings!$C$7)*1)</f>
        <v/>
      </c>
      <c r="Q10" s="7">
        <f>IF($A10="","",P10*K10)</f>
        <v/>
      </c>
      <c r="R10" s="7">
        <f>IF($A10="","",K10-Q10)</f>
        <v/>
      </c>
      <c r="S10" s="7">
        <f>IF($A10="","",R10-F10)</f>
        <v/>
      </c>
      <c r="T10">
        <f>IF($A10="","",IF(COUNTIF($A$2:$A10,$A10)=1,1,0))</f>
        <v/>
      </c>
      <c r="U10">
        <f>IF($T10=1,SUMPRODUCT(--($W$2:$W$501&lt;$W10))+1,"")</f>
        <v/>
      </c>
      <c r="V10">
        <f>IF($A10="","",1)</f>
        <v/>
      </c>
      <c r="W10">
        <f>IF($T10=1,IFERROR(VALUE(MID($A10,2,20)),1000000000)+ROW()/100000,"")</f>
        <v/>
      </c>
    </row>
    <row r="11">
      <c r="F11" s="7">
        <f>IF($A11="","",E11*K11/100)</f>
        <v/>
      </c>
      <c r="J11" s="7" t="n"/>
      <c r="K11" s="7" t="n"/>
      <c r="L11" s="7" t="n"/>
      <c r="O11" s="11" t="n"/>
      <c r="P11">
        <f>IF($A11="","",IF($V11=1,Settings!$C$6,Settings!$C$7)*1)</f>
        <v/>
      </c>
      <c r="Q11" s="7">
        <f>IF($A11="","",P11*K11)</f>
        <v/>
      </c>
      <c r="R11" s="7">
        <f>IF($A11="","",K11-Q11)</f>
        <v/>
      </c>
      <c r="S11" s="7">
        <f>IF($A11="","",R11-F11)</f>
        <v/>
      </c>
      <c r="T11">
        <f>IF($A11="","",IF(COUNTIF($A$2:$A11,$A11)=1,1,0))</f>
        <v/>
      </c>
      <c r="U11">
        <f>IF($T11=1,SUMPRODUCT(--($W$2:$W$501&lt;$W11))+1,"")</f>
        <v/>
      </c>
      <c r="V11">
        <f>IF($A11="","",1)</f>
        <v/>
      </c>
      <c r="W11">
        <f>IF($T11=1,IFERROR(VALUE(MID($A11,2,20)),1000000000)+ROW()/100000,"")</f>
        <v/>
      </c>
    </row>
    <row r="12">
      <c r="F12" s="7">
        <f>IF($A12="","",E12*K12/100)</f>
        <v/>
      </c>
      <c r="J12" s="7" t="n"/>
      <c r="K12" s="7" t="n"/>
      <c r="L12" s="7" t="n"/>
      <c r="O12" s="11" t="n"/>
      <c r="P12">
        <f>IF($A12="","",IF($V12=1,Settings!$C$6,Settings!$C$7)*1)</f>
        <v/>
      </c>
      <c r="Q12" s="7">
        <f>IF($A12="","",P12*K12)</f>
        <v/>
      </c>
      <c r="R12" s="7">
        <f>IF($A12="","",K12-Q12)</f>
        <v/>
      </c>
      <c r="S12" s="7">
        <f>IF($A12="","",R12-F12)</f>
        <v/>
      </c>
      <c r="T12">
        <f>IF($A12="","",IF(COUNTIF($A$2:$A12,$A12)=1,1,0))</f>
        <v/>
      </c>
      <c r="U12">
        <f>IF($T12=1,SUMPRODUCT(--($W$2:$W$501&lt;$W12))+1,"")</f>
        <v/>
      </c>
      <c r="V12">
        <f>IF($A12="","",1)</f>
        <v/>
      </c>
      <c r="W12">
        <f>IF($T12=1,IFERROR(VALUE(MID($A12,2,20)),1000000000)+ROW()/100000,"")</f>
        <v/>
      </c>
    </row>
    <row r="13">
      <c r="F13" s="7">
        <f>IF($A13="","",E13*K13/100)</f>
        <v/>
      </c>
      <c r="J13" s="7" t="n"/>
      <c r="K13" s="7" t="n"/>
      <c r="L13" s="7" t="n"/>
      <c r="O13" s="11" t="n"/>
      <c r="P13">
        <f>IF($A13="","",IF($V13=1,Settings!$C$6,Settings!$C$7)*1)</f>
        <v/>
      </c>
      <c r="Q13" s="7">
        <f>IF($A13="","",P13*K13)</f>
        <v/>
      </c>
      <c r="R13" s="7">
        <f>IF($A13="","",K13-Q13)</f>
        <v/>
      </c>
      <c r="S13" s="7">
        <f>IF($A13="","",R13-F13)</f>
        <v/>
      </c>
      <c r="T13">
        <f>IF($A13="","",IF(COUNTIF($A$2:$A13,$A13)=1,1,0))</f>
        <v/>
      </c>
      <c r="U13">
        <f>IF($T13=1,SUMPRODUCT(--($W$2:$W$501&lt;$W13))+1,"")</f>
        <v/>
      </c>
      <c r="V13">
        <f>IF($A13="","",1)</f>
        <v/>
      </c>
      <c r="W13">
        <f>IF($T13=1,IFERROR(VALUE(MID($A13,2,20)),1000000000)+ROW()/100000,"")</f>
        <v/>
      </c>
    </row>
    <row r="14">
      <c r="F14" s="7">
        <f>IF($A14="","",E14*K14/100)</f>
        <v/>
      </c>
      <c r="J14" s="7" t="n"/>
      <c r="K14" s="7" t="n"/>
      <c r="L14" s="7" t="n"/>
      <c r="O14" s="11" t="n"/>
      <c r="P14">
        <f>IF($A14="","",IF($V14=1,Settings!$C$6,Settings!$C$7)*1)</f>
        <v/>
      </c>
      <c r="Q14" s="7">
        <f>IF($A14="","",P14*K14)</f>
        <v/>
      </c>
      <c r="R14" s="7">
        <f>IF($A14="","",K14-Q14)</f>
        <v/>
      </c>
      <c r="S14" s="7">
        <f>IF($A14="","",R14-F14)</f>
        <v/>
      </c>
      <c r="T14">
        <f>IF($A14="","",IF(COUNTIF($A$2:$A14,$A14)=1,1,0))</f>
        <v/>
      </c>
      <c r="U14">
        <f>IF($T14=1,SUMPRODUCT(--($W$2:$W$501&lt;$W14))+1,"")</f>
        <v/>
      </c>
      <c r="V14">
        <f>IF($A14="","",1)</f>
        <v/>
      </c>
      <c r="W14">
        <f>IF($T14=1,IFERROR(VALUE(MID($A14,2,20)),1000000000)+ROW()/100000,"")</f>
        <v/>
      </c>
    </row>
    <row r="15">
      <c r="F15" s="7">
        <f>IF($A15="","",E15*K15/100)</f>
        <v/>
      </c>
      <c r="J15" s="7" t="n"/>
      <c r="K15" s="7" t="n"/>
      <c r="L15" s="7" t="n"/>
      <c r="O15" s="11" t="n"/>
      <c r="P15">
        <f>IF($A15="","",IF($V15=1,Settings!$C$6,Settings!$C$7)*1)</f>
        <v/>
      </c>
      <c r="Q15" s="7">
        <f>IF($A15="","",P15*K15)</f>
        <v/>
      </c>
      <c r="R15" s="7">
        <f>IF($A15="","",K15-Q15)</f>
        <v/>
      </c>
      <c r="S15" s="7">
        <f>IF($A15="","",R15-F15)</f>
        <v/>
      </c>
      <c r="T15">
        <f>IF($A15="","",IF(COUNTIF($A$2:$A15,$A15)=1,1,0))</f>
        <v/>
      </c>
      <c r="U15">
        <f>IF($T15=1,SUMPRODUCT(--($W$2:$W$501&lt;$W15))+1,"")</f>
        <v/>
      </c>
      <c r="V15">
        <f>IF($A15="","",1)</f>
        <v/>
      </c>
      <c r="W15">
        <f>IF($T15=1,IFERROR(VALUE(MID($A15,2,20)),1000000000)+ROW()/100000,"")</f>
        <v/>
      </c>
    </row>
    <row r="16">
      <c r="F16" s="7">
        <f>IF($A16="","",E16*K16/100)</f>
        <v/>
      </c>
      <c r="J16" s="7" t="n"/>
      <c r="K16" s="7" t="n"/>
      <c r="L16" s="7" t="n"/>
      <c r="O16" s="11" t="n"/>
      <c r="P16">
        <f>IF($A16="","",IF($V16=1,Settings!$C$6,Settings!$C$7)*1)</f>
        <v/>
      </c>
      <c r="Q16" s="7">
        <f>IF($A16="","",P16*K16)</f>
        <v/>
      </c>
      <c r="R16" s="7">
        <f>IF($A16="","",K16-Q16)</f>
        <v/>
      </c>
      <c r="S16" s="7">
        <f>IF($A16="","",R16-F16)</f>
        <v/>
      </c>
      <c r="T16">
        <f>IF($A16="","",IF(COUNTIF($A$2:$A16,$A16)=1,1,0))</f>
        <v/>
      </c>
      <c r="U16">
        <f>IF($T16=1,SUMPRODUCT(--($W$2:$W$501&lt;$W16))+1,"")</f>
        <v/>
      </c>
      <c r="V16">
        <f>IF($A16="","",1)</f>
        <v/>
      </c>
      <c r="W16">
        <f>IF($T16=1,IFERROR(VALUE(MID($A16,2,20)),1000000000)+ROW()/100000,"")</f>
        <v/>
      </c>
    </row>
    <row r="17">
      <c r="F17" s="7">
        <f>IF($A17="","",E17*K17/100)</f>
        <v/>
      </c>
      <c r="J17" s="7" t="n"/>
      <c r="K17" s="7" t="n"/>
      <c r="L17" s="7" t="n"/>
      <c r="O17" s="11" t="n"/>
      <c r="P17">
        <f>IF($A17="","",IF($V17=1,Settings!$C$6,Settings!$C$7)*1)</f>
        <v/>
      </c>
      <c r="Q17" s="7">
        <f>IF($A17="","",P17*K17)</f>
        <v/>
      </c>
      <c r="R17" s="7">
        <f>IF($A17="","",K17-Q17)</f>
        <v/>
      </c>
      <c r="S17" s="7">
        <f>IF($A17="","",R17-F17)</f>
        <v/>
      </c>
      <c r="T17">
        <f>IF($A17="","",IF(COUNTIF($A$2:$A17,$A17)=1,1,0))</f>
        <v/>
      </c>
      <c r="U17">
        <f>IF($T17=1,SUMPRODUCT(--($W$2:$W$501&lt;$W17))+1,"")</f>
        <v/>
      </c>
      <c r="V17">
        <f>IF($A17="","",1)</f>
        <v/>
      </c>
      <c r="W17">
        <f>IF($T17=1,IFERROR(VALUE(MID($A17,2,20)),1000000000)+ROW()/100000,"")</f>
        <v/>
      </c>
    </row>
    <row r="18">
      <c r="F18" s="7">
        <f>IF($A18="","",E18*K18/100)</f>
        <v/>
      </c>
      <c r="J18" s="7" t="n"/>
      <c r="K18" s="7" t="n"/>
      <c r="L18" s="7" t="n"/>
      <c r="O18" s="11" t="n"/>
      <c r="P18">
        <f>IF($A18="","",IF($V18=1,Settings!$C$6,Settings!$C$7)*1)</f>
        <v/>
      </c>
      <c r="Q18" s="7">
        <f>IF($A18="","",P18*K18)</f>
        <v/>
      </c>
      <c r="R18" s="7">
        <f>IF($A18="","",K18-Q18)</f>
        <v/>
      </c>
      <c r="S18" s="7">
        <f>IF($A18="","",R18-F18)</f>
        <v/>
      </c>
      <c r="T18">
        <f>IF($A18="","",IF(COUNTIF($A$2:$A18,$A18)=1,1,0))</f>
        <v/>
      </c>
      <c r="U18">
        <f>IF($T18=1,SUMPRODUCT(--($W$2:$W$501&lt;$W18))+1,"")</f>
        <v/>
      </c>
      <c r="V18">
        <f>IF($A18="","",1)</f>
        <v/>
      </c>
      <c r="W18">
        <f>IF($T18=1,IFERROR(VALUE(MID($A18,2,20)),1000000000)+ROW()/100000,"")</f>
        <v/>
      </c>
    </row>
    <row r="19">
      <c r="F19" s="7">
        <f>IF($A19="","",E19*K19/100)</f>
        <v/>
      </c>
      <c r="J19" s="7" t="n"/>
      <c r="K19" s="7" t="n"/>
      <c r="L19" s="7" t="n"/>
      <c r="O19" s="11" t="n"/>
      <c r="P19">
        <f>IF($A19="","",IF($V19=1,Settings!$C$6,Settings!$C$7)*1)</f>
        <v/>
      </c>
      <c r="Q19" s="7">
        <f>IF($A19="","",P19*K19)</f>
        <v/>
      </c>
      <c r="R19" s="7">
        <f>IF($A19="","",K19-Q19)</f>
        <v/>
      </c>
      <c r="S19" s="7">
        <f>IF($A19="","",R19-F19)</f>
        <v/>
      </c>
      <c r="T19">
        <f>IF($A19="","",IF(COUNTIF($A$2:$A19,$A19)=1,1,0))</f>
        <v/>
      </c>
      <c r="U19">
        <f>IF($T19=1,SUMPRODUCT(--($W$2:$W$501&lt;$W19))+1,"")</f>
        <v/>
      </c>
      <c r="V19">
        <f>IF($A19="","",1)</f>
        <v/>
      </c>
      <c r="W19">
        <f>IF($T19=1,IFERROR(VALUE(MID($A19,2,20)),1000000000)+ROW()/100000,"")</f>
        <v/>
      </c>
    </row>
    <row r="20">
      <c r="F20" s="7">
        <f>IF($A20="","",E20*K20/100)</f>
        <v/>
      </c>
      <c r="J20" s="7" t="n"/>
      <c r="K20" s="7" t="n"/>
      <c r="L20" s="7" t="n"/>
      <c r="O20" s="11" t="n"/>
      <c r="P20">
        <f>IF($A20="","",IF($V20=1,Settings!$C$6,Settings!$C$7)*1)</f>
        <v/>
      </c>
      <c r="Q20" s="7">
        <f>IF($A20="","",P20*K20)</f>
        <v/>
      </c>
      <c r="R20" s="7">
        <f>IF($A20="","",K20-Q20)</f>
        <v/>
      </c>
      <c r="S20" s="7">
        <f>IF($A20="","",R20-F20)</f>
        <v/>
      </c>
      <c r="T20">
        <f>IF($A20="","",IF(COUNTIF($A$2:$A20,$A20)=1,1,0))</f>
        <v/>
      </c>
      <c r="U20">
        <f>IF($T20=1,SUMPRODUCT(--($W$2:$W$501&lt;$W20))+1,"")</f>
        <v/>
      </c>
      <c r="V20">
        <f>IF($A20="","",1)</f>
        <v/>
      </c>
      <c r="W20">
        <f>IF($T20=1,IFERROR(VALUE(MID($A20,2,20)),1000000000)+ROW()/100000,"")</f>
        <v/>
      </c>
    </row>
    <row r="21">
      <c r="F21" s="7">
        <f>IF($A21="","",E21*K21/100)</f>
        <v/>
      </c>
      <c r="J21" s="7" t="n"/>
      <c r="K21" s="7" t="n"/>
      <c r="L21" s="7" t="n"/>
      <c r="O21" s="11" t="n"/>
      <c r="P21">
        <f>IF($A21="","",IF($V21=1,Settings!$C$6,Settings!$C$7)*1)</f>
        <v/>
      </c>
      <c r="Q21" s="7">
        <f>IF($A21="","",P21*K21)</f>
        <v/>
      </c>
      <c r="R21" s="7">
        <f>IF($A21="","",K21-Q21)</f>
        <v/>
      </c>
      <c r="S21" s="7">
        <f>IF($A21="","",R21-F21)</f>
        <v/>
      </c>
      <c r="T21">
        <f>IF($A21="","",IF(COUNTIF($A$2:$A21,$A21)=1,1,0))</f>
        <v/>
      </c>
      <c r="U21">
        <f>IF($T21=1,SUMPRODUCT(--($W$2:$W$501&lt;$W21))+1,"")</f>
        <v/>
      </c>
      <c r="V21">
        <f>IF($A21="","",1)</f>
        <v/>
      </c>
      <c r="W21">
        <f>IF($T21=1,IFERROR(VALUE(MID($A21,2,20)),1000000000)+ROW()/100000,"")</f>
        <v/>
      </c>
    </row>
    <row r="22">
      <c r="F22" s="7">
        <f>IF($A22="","",E22*K22/100)</f>
        <v/>
      </c>
      <c r="J22" s="7" t="n"/>
      <c r="K22" s="7" t="n"/>
      <c r="L22" s="7" t="n"/>
      <c r="O22" s="11" t="n"/>
      <c r="P22">
        <f>IF($A22="","",IF($V22=1,Settings!$C$6,Settings!$C$7)*1)</f>
        <v/>
      </c>
      <c r="Q22" s="7">
        <f>IF($A22="","",P22*K22)</f>
        <v/>
      </c>
      <c r="R22" s="7">
        <f>IF($A22="","",K22-Q22)</f>
        <v/>
      </c>
      <c r="S22" s="7">
        <f>IF($A22="","",R22-F22)</f>
        <v/>
      </c>
      <c r="T22">
        <f>IF($A22="","",IF(COUNTIF($A$2:$A22,$A22)=1,1,0))</f>
        <v/>
      </c>
      <c r="U22">
        <f>IF($T22=1,SUMPRODUCT(--($W$2:$W$501&lt;$W22))+1,"")</f>
        <v/>
      </c>
      <c r="V22">
        <f>IF($A22="","",1)</f>
        <v/>
      </c>
      <c r="W22">
        <f>IF($T22=1,IFERROR(VALUE(MID($A22,2,20)),1000000000)+ROW()/100000,"")</f>
        <v/>
      </c>
    </row>
    <row r="23">
      <c r="F23" s="7">
        <f>IF($A23="","",E23*K23/100)</f>
        <v/>
      </c>
      <c r="J23" s="7" t="n"/>
      <c r="K23" s="7" t="n"/>
      <c r="L23" s="7" t="n"/>
      <c r="O23" s="11" t="n"/>
      <c r="P23">
        <f>IF($A23="","",IF($V23=1,Settings!$C$6,Settings!$C$7)*1)</f>
        <v/>
      </c>
      <c r="Q23" s="7">
        <f>IF($A23="","",P23*K23)</f>
        <v/>
      </c>
      <c r="R23" s="7">
        <f>IF($A23="","",K23-Q23)</f>
        <v/>
      </c>
      <c r="S23" s="7">
        <f>IF($A23="","",R23-F23)</f>
        <v/>
      </c>
      <c r="T23">
        <f>IF($A23="","",IF(COUNTIF($A$2:$A23,$A23)=1,1,0))</f>
        <v/>
      </c>
      <c r="U23">
        <f>IF($T23=1,SUMPRODUCT(--($W$2:$W$501&lt;$W23))+1,"")</f>
        <v/>
      </c>
      <c r="V23">
        <f>IF($A23="","",1)</f>
        <v/>
      </c>
      <c r="W23">
        <f>IF($T23=1,IFERROR(VALUE(MID($A23,2,20)),1000000000)+ROW()/100000,"")</f>
        <v/>
      </c>
    </row>
    <row r="24">
      <c r="F24" s="7">
        <f>IF($A24="","",E24*K24/100)</f>
        <v/>
      </c>
      <c r="J24" s="7" t="n"/>
      <c r="K24" s="7" t="n"/>
      <c r="L24" s="7" t="n"/>
      <c r="O24" s="11" t="n"/>
      <c r="P24">
        <f>IF($A24="","",IF($V24=1,Settings!$C$6,Settings!$C$7)*1)</f>
        <v/>
      </c>
      <c r="Q24" s="7">
        <f>IF($A24="","",P24*K24)</f>
        <v/>
      </c>
      <c r="R24" s="7">
        <f>IF($A24="","",K24-Q24)</f>
        <v/>
      </c>
      <c r="S24" s="7">
        <f>IF($A24="","",R24-F24)</f>
        <v/>
      </c>
      <c r="T24">
        <f>IF($A24="","",IF(COUNTIF($A$2:$A24,$A24)=1,1,0))</f>
        <v/>
      </c>
      <c r="U24">
        <f>IF($T24=1,SUMPRODUCT(--($W$2:$W$501&lt;$W24))+1,"")</f>
        <v/>
      </c>
      <c r="V24">
        <f>IF($A24="","",1)</f>
        <v/>
      </c>
      <c r="W24">
        <f>IF($T24=1,IFERROR(VALUE(MID($A24,2,20)),1000000000)+ROW()/100000,"")</f>
        <v/>
      </c>
    </row>
    <row r="25">
      <c r="F25" s="7">
        <f>IF($A25="","",E25*K25/100)</f>
        <v/>
      </c>
      <c r="J25" s="7" t="n"/>
      <c r="K25" s="7" t="n"/>
      <c r="L25" s="7" t="n"/>
      <c r="O25" s="11" t="n"/>
      <c r="P25">
        <f>IF($A25="","",IF($V25=1,Settings!$C$6,Settings!$C$7)*1)</f>
        <v/>
      </c>
      <c r="Q25" s="7">
        <f>IF($A25="","",P25*K25)</f>
        <v/>
      </c>
      <c r="R25" s="7">
        <f>IF($A25="","",K25-Q25)</f>
        <v/>
      </c>
      <c r="S25" s="7">
        <f>IF($A25="","",R25-F25)</f>
        <v/>
      </c>
      <c r="T25">
        <f>IF($A25="","",IF(COUNTIF($A$2:$A25,$A25)=1,1,0))</f>
        <v/>
      </c>
      <c r="U25">
        <f>IF($T25=1,SUMPRODUCT(--($W$2:$W$501&lt;$W25))+1,"")</f>
        <v/>
      </c>
      <c r="V25">
        <f>IF($A25="","",1)</f>
        <v/>
      </c>
      <c r="W25">
        <f>IF($T25=1,IFERROR(VALUE(MID($A25,2,20)),1000000000)+ROW()/100000,"")</f>
        <v/>
      </c>
    </row>
    <row r="26">
      <c r="F26" s="7">
        <f>IF($A26="","",E26*K26/100)</f>
        <v/>
      </c>
      <c r="J26" s="7" t="n"/>
      <c r="K26" s="7" t="n"/>
      <c r="L26" s="7" t="n"/>
      <c r="O26" s="11" t="n"/>
      <c r="P26">
        <f>IF($A26="","",IF($V26=1,Settings!$C$6,Settings!$C$7)*1)</f>
        <v/>
      </c>
      <c r="Q26" s="7">
        <f>IF($A26="","",P26*K26)</f>
        <v/>
      </c>
      <c r="R26" s="7">
        <f>IF($A26="","",K26-Q26)</f>
        <v/>
      </c>
      <c r="S26" s="7">
        <f>IF($A26="","",R26-F26)</f>
        <v/>
      </c>
      <c r="T26">
        <f>IF($A26="","",IF(COUNTIF($A$2:$A26,$A26)=1,1,0))</f>
        <v/>
      </c>
      <c r="U26">
        <f>IF($T26=1,SUMPRODUCT(--($W$2:$W$501&lt;$W26))+1,"")</f>
        <v/>
      </c>
      <c r="V26">
        <f>IF($A26="","",1)</f>
        <v/>
      </c>
      <c r="W26">
        <f>IF($T26=1,IFERROR(VALUE(MID($A26,2,20)),1000000000)+ROW()/100000,"")</f>
        <v/>
      </c>
    </row>
    <row r="27">
      <c r="F27" s="7">
        <f>IF($A27="","",E27*K27/100)</f>
        <v/>
      </c>
      <c r="J27" s="7" t="n"/>
      <c r="K27" s="7" t="n"/>
      <c r="L27" s="7" t="n"/>
      <c r="O27" s="11" t="n"/>
      <c r="P27">
        <f>IF($A27="","",IF($V27=1,Settings!$C$6,Settings!$C$7)*1)</f>
        <v/>
      </c>
      <c r="Q27" s="7">
        <f>IF($A27="","",P27*K27)</f>
        <v/>
      </c>
      <c r="R27" s="7">
        <f>IF($A27="","",K27-Q27)</f>
        <v/>
      </c>
      <c r="S27" s="7">
        <f>IF($A27="","",R27-F27)</f>
        <v/>
      </c>
      <c r="T27">
        <f>IF($A27="","",IF(COUNTIF($A$2:$A27,$A27)=1,1,0))</f>
        <v/>
      </c>
      <c r="U27">
        <f>IF($T27=1,SUMPRODUCT(--($W$2:$W$501&lt;$W27))+1,"")</f>
        <v/>
      </c>
      <c r="V27">
        <f>IF($A27="","",1)</f>
        <v/>
      </c>
      <c r="W27">
        <f>IF($T27=1,IFERROR(VALUE(MID($A27,2,20)),1000000000)+ROW()/100000,"")</f>
        <v/>
      </c>
    </row>
    <row r="28">
      <c r="F28" s="7">
        <f>IF($A28="","",E28*K28/100)</f>
        <v/>
      </c>
      <c r="J28" s="7" t="n"/>
      <c r="K28" s="7" t="n"/>
      <c r="L28" s="7" t="n"/>
      <c r="O28" s="11" t="n"/>
      <c r="P28">
        <f>IF($A28="","",IF($V28=1,Settings!$C$6,Settings!$C$7)*1)</f>
        <v/>
      </c>
      <c r="Q28" s="7">
        <f>IF($A28="","",P28*K28)</f>
        <v/>
      </c>
      <c r="R28" s="7">
        <f>IF($A28="","",K28-Q28)</f>
        <v/>
      </c>
      <c r="S28" s="7">
        <f>IF($A28="","",R28-F28)</f>
        <v/>
      </c>
      <c r="T28">
        <f>IF($A28="","",IF(COUNTIF($A$2:$A28,$A28)=1,1,0))</f>
        <v/>
      </c>
      <c r="U28">
        <f>IF($T28=1,SUMPRODUCT(--($W$2:$W$501&lt;$W28))+1,"")</f>
        <v/>
      </c>
      <c r="V28">
        <f>IF($A28="","",1)</f>
        <v/>
      </c>
      <c r="W28">
        <f>IF($T28=1,IFERROR(VALUE(MID($A28,2,20)),1000000000)+ROW()/100000,"")</f>
        <v/>
      </c>
    </row>
    <row r="29">
      <c r="F29" s="7">
        <f>IF($A29="","",E29*K29/100)</f>
        <v/>
      </c>
      <c r="J29" s="7" t="n"/>
      <c r="K29" s="7" t="n"/>
      <c r="L29" s="7" t="n"/>
      <c r="O29" s="11" t="n"/>
      <c r="P29">
        <f>IF($A29="","",IF($V29=1,Settings!$C$6,Settings!$C$7)*1)</f>
        <v/>
      </c>
      <c r="Q29" s="7">
        <f>IF($A29="","",P29*K29)</f>
        <v/>
      </c>
      <c r="R29" s="7">
        <f>IF($A29="","",K29-Q29)</f>
        <v/>
      </c>
      <c r="S29" s="7">
        <f>IF($A29="","",R29-F29)</f>
        <v/>
      </c>
      <c r="T29">
        <f>IF($A29="","",IF(COUNTIF($A$2:$A29,$A29)=1,1,0))</f>
        <v/>
      </c>
      <c r="U29">
        <f>IF($T29=1,SUMPRODUCT(--($W$2:$W$501&lt;$W29))+1,"")</f>
        <v/>
      </c>
      <c r="V29">
        <f>IF($A29="","",1)</f>
        <v/>
      </c>
      <c r="W29">
        <f>IF($T29=1,IFERROR(VALUE(MID($A29,2,20)),1000000000)+ROW()/100000,"")</f>
        <v/>
      </c>
    </row>
    <row r="30">
      <c r="F30" s="7">
        <f>IF($A30="","",E30*K30/100)</f>
        <v/>
      </c>
      <c r="J30" s="7" t="n"/>
      <c r="K30" s="7" t="n"/>
      <c r="L30" s="7" t="n"/>
      <c r="O30" s="11" t="n"/>
      <c r="P30">
        <f>IF($A30="","",IF($V30=1,Settings!$C$6,Settings!$C$7)*1)</f>
        <v/>
      </c>
      <c r="Q30" s="7">
        <f>IF($A30="","",P30*K30)</f>
        <v/>
      </c>
      <c r="R30" s="7">
        <f>IF($A30="","",K30-Q30)</f>
        <v/>
      </c>
      <c r="S30" s="7">
        <f>IF($A30="","",R30-F30)</f>
        <v/>
      </c>
      <c r="T30">
        <f>IF($A30="","",IF(COUNTIF($A$2:$A30,$A30)=1,1,0))</f>
        <v/>
      </c>
      <c r="U30">
        <f>IF($T30=1,SUMPRODUCT(--($W$2:$W$501&lt;$W30))+1,"")</f>
        <v/>
      </c>
      <c r="V30">
        <f>IF($A30="","",1)</f>
        <v/>
      </c>
      <c r="W30">
        <f>IF($T30=1,IFERROR(VALUE(MID($A30,2,20)),1000000000)+ROW()/100000,"")</f>
        <v/>
      </c>
    </row>
    <row r="31">
      <c r="F31" s="7">
        <f>IF($A31="","",E31*K31/100)</f>
        <v/>
      </c>
      <c r="J31" s="7" t="n"/>
      <c r="K31" s="7" t="n"/>
      <c r="L31" s="7" t="n"/>
      <c r="O31" s="11" t="n"/>
      <c r="P31">
        <f>IF($A31="","",IF($V31=1,Settings!$C$6,Settings!$C$7)*1)</f>
        <v/>
      </c>
      <c r="Q31" s="7">
        <f>IF($A31="","",P31*K31)</f>
        <v/>
      </c>
      <c r="R31" s="7">
        <f>IF($A31="","",K31-Q31)</f>
        <v/>
      </c>
      <c r="S31" s="7">
        <f>IF($A31="","",R31-F31)</f>
        <v/>
      </c>
      <c r="T31">
        <f>IF($A31="","",IF(COUNTIF($A$2:$A31,$A31)=1,1,0))</f>
        <v/>
      </c>
      <c r="U31">
        <f>IF($T31=1,SUMPRODUCT(--($W$2:$W$501&lt;$W31))+1,"")</f>
        <v/>
      </c>
      <c r="V31">
        <f>IF($A31="","",1)</f>
        <v/>
      </c>
      <c r="W31">
        <f>IF($T31=1,IFERROR(VALUE(MID($A31,2,20)),1000000000)+ROW()/100000,"")</f>
        <v/>
      </c>
    </row>
    <row r="32">
      <c r="F32" s="7">
        <f>IF($A32="","",E32*K32/100)</f>
        <v/>
      </c>
      <c r="J32" s="7" t="n"/>
      <c r="K32" s="7" t="n"/>
      <c r="L32" s="7" t="n"/>
      <c r="O32" s="11" t="n"/>
      <c r="P32">
        <f>IF($A32="","",IF($V32=1,Settings!$C$6,Settings!$C$7)*1)</f>
        <v/>
      </c>
      <c r="Q32" s="7">
        <f>IF($A32="","",P32*K32)</f>
        <v/>
      </c>
      <c r="R32" s="7">
        <f>IF($A32="","",K32-Q32)</f>
        <v/>
      </c>
      <c r="S32" s="7">
        <f>IF($A32="","",R32-F32)</f>
        <v/>
      </c>
      <c r="T32">
        <f>IF($A32="","",IF(COUNTIF($A$2:$A32,$A32)=1,1,0))</f>
        <v/>
      </c>
      <c r="U32">
        <f>IF($T32=1,SUMPRODUCT(--($W$2:$W$501&lt;$W32))+1,"")</f>
        <v/>
      </c>
      <c r="V32">
        <f>IF($A32="","",1)</f>
        <v/>
      </c>
      <c r="W32">
        <f>IF($T32=1,IFERROR(VALUE(MID($A32,2,20)),1000000000)+ROW()/100000,"")</f>
        <v/>
      </c>
    </row>
    <row r="33">
      <c r="F33" s="7">
        <f>IF($A33="","",E33*K33/100)</f>
        <v/>
      </c>
      <c r="J33" s="7" t="n"/>
      <c r="K33" s="7" t="n"/>
      <c r="L33" s="7" t="n"/>
      <c r="O33" s="11" t="n"/>
      <c r="P33">
        <f>IF($A33="","",IF($V33=1,Settings!$C$6,Settings!$C$7)*1)</f>
        <v/>
      </c>
      <c r="Q33" s="7">
        <f>IF($A33="","",P33*K33)</f>
        <v/>
      </c>
      <c r="R33" s="7">
        <f>IF($A33="","",K33-Q33)</f>
        <v/>
      </c>
      <c r="S33" s="7">
        <f>IF($A33="","",R33-F33)</f>
        <v/>
      </c>
      <c r="T33">
        <f>IF($A33="","",IF(COUNTIF($A$2:$A33,$A33)=1,1,0))</f>
        <v/>
      </c>
      <c r="U33">
        <f>IF($T33=1,SUMPRODUCT(--($W$2:$W$501&lt;$W33))+1,"")</f>
        <v/>
      </c>
      <c r="V33">
        <f>IF($A33="","",1)</f>
        <v/>
      </c>
      <c r="W33">
        <f>IF($T33=1,IFERROR(VALUE(MID($A33,2,20)),1000000000)+ROW()/100000,"")</f>
        <v/>
      </c>
    </row>
    <row r="34">
      <c r="F34" s="7">
        <f>IF($A34="","",E34*K34/100)</f>
        <v/>
      </c>
      <c r="J34" s="7" t="n"/>
      <c r="K34" s="7" t="n"/>
      <c r="L34" s="7" t="n"/>
      <c r="O34" s="11" t="n"/>
      <c r="P34">
        <f>IF($A34="","",IF($V34=1,Settings!$C$6,Settings!$C$7)*1)</f>
        <v/>
      </c>
      <c r="Q34" s="7">
        <f>IF($A34="","",P34*K34)</f>
        <v/>
      </c>
      <c r="R34" s="7">
        <f>IF($A34="","",K34-Q34)</f>
        <v/>
      </c>
      <c r="S34" s="7">
        <f>IF($A34="","",R34-F34)</f>
        <v/>
      </c>
      <c r="T34">
        <f>IF($A34="","",IF(COUNTIF($A$2:$A34,$A34)=1,1,0))</f>
        <v/>
      </c>
      <c r="U34">
        <f>IF($T34=1,SUMPRODUCT(--($W$2:$W$501&lt;$W34))+1,"")</f>
        <v/>
      </c>
      <c r="V34">
        <f>IF($A34="","",1)</f>
        <v/>
      </c>
      <c r="W34">
        <f>IF($T34=1,IFERROR(VALUE(MID($A34,2,20)),1000000000)+ROW()/100000,"")</f>
        <v/>
      </c>
    </row>
    <row r="35">
      <c r="F35" s="7">
        <f>IF($A35="","",E35*K35/100)</f>
        <v/>
      </c>
      <c r="J35" s="7" t="n"/>
      <c r="K35" s="7" t="n"/>
      <c r="L35" s="7" t="n"/>
      <c r="O35" s="11" t="n"/>
      <c r="P35">
        <f>IF($A35="","",IF($V35=1,Settings!$C$6,Settings!$C$7)*1)</f>
        <v/>
      </c>
      <c r="Q35" s="7">
        <f>IF($A35="","",P35*K35)</f>
        <v/>
      </c>
      <c r="R35" s="7">
        <f>IF($A35="","",K35-Q35)</f>
        <v/>
      </c>
      <c r="S35" s="7">
        <f>IF($A35="","",R35-F35)</f>
        <v/>
      </c>
      <c r="T35">
        <f>IF($A35="","",IF(COUNTIF($A$2:$A35,$A35)=1,1,0))</f>
        <v/>
      </c>
      <c r="U35">
        <f>IF($T35=1,SUMPRODUCT(--($W$2:$W$501&lt;$W35))+1,"")</f>
        <v/>
      </c>
      <c r="V35">
        <f>IF($A35="","",1)</f>
        <v/>
      </c>
      <c r="W35">
        <f>IF($T35=1,IFERROR(VALUE(MID($A35,2,20)),1000000000)+ROW()/100000,"")</f>
        <v/>
      </c>
    </row>
    <row r="36">
      <c r="F36" s="7">
        <f>IF($A36="","",E36*K36/100)</f>
        <v/>
      </c>
      <c r="J36" s="7" t="n"/>
      <c r="K36" s="7" t="n"/>
      <c r="L36" s="7" t="n"/>
      <c r="O36" s="11" t="n"/>
      <c r="P36">
        <f>IF($A36="","",IF($V36=1,Settings!$C$6,Settings!$C$7)*1)</f>
        <v/>
      </c>
      <c r="Q36" s="7">
        <f>IF($A36="","",P36*K36)</f>
        <v/>
      </c>
      <c r="R36" s="7">
        <f>IF($A36="","",K36-Q36)</f>
        <v/>
      </c>
      <c r="S36" s="7">
        <f>IF($A36="","",R36-F36)</f>
        <v/>
      </c>
      <c r="T36">
        <f>IF($A36="","",IF(COUNTIF($A$2:$A36,$A36)=1,1,0))</f>
        <v/>
      </c>
      <c r="U36">
        <f>IF($T36=1,SUMPRODUCT(--($W$2:$W$501&lt;$W36))+1,"")</f>
        <v/>
      </c>
      <c r="V36">
        <f>IF($A36="","",1)</f>
        <v/>
      </c>
      <c r="W36">
        <f>IF($T36=1,IFERROR(VALUE(MID($A36,2,20)),1000000000)+ROW()/100000,"")</f>
        <v/>
      </c>
    </row>
    <row r="37">
      <c r="F37" s="7">
        <f>IF($A37="","",E37*K37/100)</f>
        <v/>
      </c>
      <c r="J37" s="7" t="n"/>
      <c r="K37" s="7" t="n"/>
      <c r="L37" s="7" t="n"/>
      <c r="O37" s="11" t="n"/>
      <c r="P37">
        <f>IF($A37="","",IF($V37=1,Settings!$C$6,Settings!$C$7)*1)</f>
        <v/>
      </c>
      <c r="Q37" s="7">
        <f>IF($A37="","",P37*K37)</f>
        <v/>
      </c>
      <c r="R37" s="7">
        <f>IF($A37="","",K37-Q37)</f>
        <v/>
      </c>
      <c r="S37" s="7">
        <f>IF($A37="","",R37-F37)</f>
        <v/>
      </c>
      <c r="T37">
        <f>IF($A37="","",IF(COUNTIF($A$2:$A37,$A37)=1,1,0))</f>
        <v/>
      </c>
      <c r="U37">
        <f>IF($T37=1,SUMPRODUCT(--($W$2:$W$501&lt;$W37))+1,"")</f>
        <v/>
      </c>
      <c r="V37">
        <f>IF($A37="","",1)</f>
        <v/>
      </c>
      <c r="W37">
        <f>IF($T37=1,IFERROR(VALUE(MID($A37,2,20)),1000000000)+ROW()/100000,"")</f>
        <v/>
      </c>
    </row>
    <row r="38">
      <c r="F38" s="7">
        <f>IF($A38="","",E38*K38/100)</f>
        <v/>
      </c>
      <c r="J38" s="7" t="n"/>
      <c r="K38" s="7" t="n"/>
      <c r="L38" s="7" t="n"/>
      <c r="O38" s="11" t="n"/>
      <c r="P38">
        <f>IF($A38="","",IF($V38=1,Settings!$C$6,Settings!$C$7)*1)</f>
        <v/>
      </c>
      <c r="Q38" s="7">
        <f>IF($A38="","",P38*K38)</f>
        <v/>
      </c>
      <c r="R38" s="7">
        <f>IF($A38="","",K38-Q38)</f>
        <v/>
      </c>
      <c r="S38" s="7">
        <f>IF($A38="","",R38-F38)</f>
        <v/>
      </c>
      <c r="T38">
        <f>IF($A38="","",IF(COUNTIF($A$2:$A38,$A38)=1,1,0))</f>
        <v/>
      </c>
      <c r="U38">
        <f>IF($T38=1,SUMPRODUCT(--($W$2:$W$501&lt;$W38))+1,"")</f>
        <v/>
      </c>
      <c r="V38">
        <f>IF($A38="","",1)</f>
        <v/>
      </c>
      <c r="W38">
        <f>IF($T38=1,IFERROR(VALUE(MID($A38,2,20)),1000000000)+ROW()/100000,"")</f>
        <v/>
      </c>
    </row>
    <row r="39">
      <c r="F39" s="7">
        <f>IF($A39="","",E39*K39/100)</f>
        <v/>
      </c>
      <c r="J39" s="7" t="n"/>
      <c r="K39" s="7" t="n"/>
      <c r="L39" s="7" t="n"/>
      <c r="O39" s="11" t="n"/>
      <c r="P39">
        <f>IF($A39="","",IF($V39=1,Settings!$C$6,Settings!$C$7)*1)</f>
        <v/>
      </c>
      <c r="Q39" s="7">
        <f>IF($A39="","",P39*K39)</f>
        <v/>
      </c>
      <c r="R39" s="7">
        <f>IF($A39="","",K39-Q39)</f>
        <v/>
      </c>
      <c r="S39" s="7">
        <f>IF($A39="","",R39-F39)</f>
        <v/>
      </c>
      <c r="T39">
        <f>IF($A39="","",IF(COUNTIF($A$2:$A39,$A39)=1,1,0))</f>
        <v/>
      </c>
      <c r="U39">
        <f>IF($T39=1,SUMPRODUCT(--($W$2:$W$501&lt;$W39))+1,"")</f>
        <v/>
      </c>
      <c r="V39">
        <f>IF($A39="","",1)</f>
        <v/>
      </c>
      <c r="W39">
        <f>IF($T39=1,IFERROR(VALUE(MID($A39,2,20)),1000000000)+ROW()/100000,"")</f>
        <v/>
      </c>
    </row>
    <row r="40">
      <c r="F40" s="7">
        <f>IF($A40="","",E40*K40/100)</f>
        <v/>
      </c>
      <c r="J40" s="7" t="n"/>
      <c r="K40" s="7" t="n"/>
      <c r="L40" s="7" t="n"/>
      <c r="O40" s="11" t="n"/>
      <c r="P40">
        <f>IF($A40="","",IF($V40=1,Settings!$C$6,Settings!$C$7)*1)</f>
        <v/>
      </c>
      <c r="Q40" s="7">
        <f>IF($A40="","",P40*K40)</f>
        <v/>
      </c>
      <c r="R40" s="7">
        <f>IF($A40="","",K40-Q40)</f>
        <v/>
      </c>
      <c r="S40" s="7">
        <f>IF($A40="","",R40-F40)</f>
        <v/>
      </c>
      <c r="T40">
        <f>IF($A40="","",IF(COUNTIF($A$2:$A40,$A40)=1,1,0))</f>
        <v/>
      </c>
      <c r="U40">
        <f>IF($T40=1,SUMPRODUCT(--($W$2:$W$501&lt;$W40))+1,"")</f>
        <v/>
      </c>
      <c r="V40">
        <f>IF($A40="","",1)</f>
        <v/>
      </c>
      <c r="W40">
        <f>IF($T40=1,IFERROR(VALUE(MID($A40,2,20)),1000000000)+ROW()/100000,"")</f>
        <v/>
      </c>
    </row>
    <row r="41">
      <c r="F41" s="7">
        <f>IF($A41="","",E41*K41/100)</f>
        <v/>
      </c>
      <c r="J41" s="7" t="n"/>
      <c r="K41" s="7" t="n"/>
      <c r="L41" s="7" t="n"/>
      <c r="O41" s="11" t="n"/>
      <c r="P41">
        <f>IF($A41="","",IF($V41=1,Settings!$C$6,Settings!$C$7)*1)</f>
        <v/>
      </c>
      <c r="Q41" s="7">
        <f>IF($A41="","",P41*K41)</f>
        <v/>
      </c>
      <c r="R41" s="7">
        <f>IF($A41="","",K41-Q41)</f>
        <v/>
      </c>
      <c r="S41" s="7">
        <f>IF($A41="","",R41-F41)</f>
        <v/>
      </c>
      <c r="T41">
        <f>IF($A41="","",IF(COUNTIF($A$2:$A41,$A41)=1,1,0))</f>
        <v/>
      </c>
      <c r="U41">
        <f>IF($T41=1,SUMPRODUCT(--($W$2:$W$501&lt;$W41))+1,"")</f>
        <v/>
      </c>
      <c r="V41">
        <f>IF($A41="","",1)</f>
        <v/>
      </c>
      <c r="W41">
        <f>IF($T41=1,IFERROR(VALUE(MID($A41,2,20)),1000000000)+ROW()/100000,"")</f>
        <v/>
      </c>
    </row>
    <row r="42">
      <c r="F42" s="7">
        <f>IF($A42="","",E42*K42/100)</f>
        <v/>
      </c>
      <c r="J42" s="7" t="n"/>
      <c r="K42" s="7" t="n"/>
      <c r="L42" s="7" t="n"/>
      <c r="O42" s="11" t="n"/>
      <c r="P42">
        <f>IF($A42="","",IF($V42=1,Settings!$C$6,Settings!$C$7)*1)</f>
        <v/>
      </c>
      <c r="Q42" s="7">
        <f>IF($A42="","",P42*K42)</f>
        <v/>
      </c>
      <c r="R42" s="7">
        <f>IF($A42="","",K42-Q42)</f>
        <v/>
      </c>
      <c r="S42" s="7">
        <f>IF($A42="","",R42-F42)</f>
        <v/>
      </c>
      <c r="T42">
        <f>IF($A42="","",IF(COUNTIF($A$2:$A42,$A42)=1,1,0))</f>
        <v/>
      </c>
      <c r="U42">
        <f>IF($T42=1,SUMPRODUCT(--($W$2:$W$501&lt;$W42))+1,"")</f>
        <v/>
      </c>
      <c r="V42">
        <f>IF($A42="","",1)</f>
        <v/>
      </c>
      <c r="W42">
        <f>IF($T42=1,IFERROR(VALUE(MID($A42,2,20)),1000000000)+ROW()/100000,"")</f>
        <v/>
      </c>
    </row>
    <row r="43">
      <c r="F43" s="7">
        <f>IF($A43="","",E43*K43/100)</f>
        <v/>
      </c>
      <c r="J43" s="7" t="n"/>
      <c r="K43" s="7" t="n"/>
      <c r="L43" s="7" t="n"/>
      <c r="O43" s="11" t="n"/>
      <c r="P43">
        <f>IF($A43="","",IF($V43=1,Settings!$C$6,Settings!$C$7)*1)</f>
        <v/>
      </c>
      <c r="Q43" s="7">
        <f>IF($A43="","",P43*K43)</f>
        <v/>
      </c>
      <c r="R43" s="7">
        <f>IF($A43="","",K43-Q43)</f>
        <v/>
      </c>
      <c r="S43" s="7">
        <f>IF($A43="","",R43-F43)</f>
        <v/>
      </c>
      <c r="T43">
        <f>IF($A43="","",IF(COUNTIF($A$2:$A43,$A43)=1,1,0))</f>
        <v/>
      </c>
      <c r="U43">
        <f>IF($T43=1,SUMPRODUCT(--($W$2:$W$501&lt;$W43))+1,"")</f>
        <v/>
      </c>
      <c r="V43">
        <f>IF($A43="","",1)</f>
        <v/>
      </c>
      <c r="W43">
        <f>IF($T43=1,IFERROR(VALUE(MID($A43,2,20)),1000000000)+ROW()/100000,"")</f>
        <v/>
      </c>
    </row>
    <row r="44">
      <c r="F44" s="7">
        <f>IF($A44="","",E44*K44/100)</f>
        <v/>
      </c>
      <c r="J44" s="7" t="n"/>
      <c r="K44" s="7" t="n"/>
      <c r="L44" s="7" t="n"/>
      <c r="O44" s="11" t="n"/>
      <c r="P44">
        <f>IF($A44="","",IF($V44=1,Settings!$C$6,Settings!$C$7)*1)</f>
        <v/>
      </c>
      <c r="Q44" s="7">
        <f>IF($A44="","",P44*K44)</f>
        <v/>
      </c>
      <c r="R44" s="7">
        <f>IF($A44="","",K44-Q44)</f>
        <v/>
      </c>
      <c r="S44" s="7">
        <f>IF($A44="","",R44-F44)</f>
        <v/>
      </c>
      <c r="T44">
        <f>IF($A44="","",IF(COUNTIF($A$2:$A44,$A44)=1,1,0))</f>
        <v/>
      </c>
      <c r="U44">
        <f>IF($T44=1,SUMPRODUCT(--($W$2:$W$501&lt;$W44))+1,"")</f>
        <v/>
      </c>
      <c r="V44">
        <f>IF($A44="","",1)</f>
        <v/>
      </c>
      <c r="W44">
        <f>IF($T44=1,IFERROR(VALUE(MID($A44,2,20)),1000000000)+ROW()/100000,"")</f>
        <v/>
      </c>
    </row>
    <row r="45">
      <c r="F45" s="7">
        <f>IF($A45="","",E45*K45/100)</f>
        <v/>
      </c>
      <c r="J45" s="7" t="n"/>
      <c r="K45" s="7" t="n"/>
      <c r="L45" s="7" t="n"/>
      <c r="O45" s="11" t="n"/>
      <c r="P45">
        <f>IF($A45="","",IF($V45=1,Settings!$C$6,Settings!$C$7)*1)</f>
        <v/>
      </c>
      <c r="Q45" s="7">
        <f>IF($A45="","",P45*K45)</f>
        <v/>
      </c>
      <c r="R45" s="7">
        <f>IF($A45="","",K45-Q45)</f>
        <v/>
      </c>
      <c r="S45" s="7">
        <f>IF($A45="","",R45-F45)</f>
        <v/>
      </c>
      <c r="T45">
        <f>IF($A45="","",IF(COUNTIF($A$2:$A45,$A45)=1,1,0))</f>
        <v/>
      </c>
      <c r="U45">
        <f>IF($T45=1,SUMPRODUCT(--($W$2:$W$501&lt;$W45))+1,"")</f>
        <v/>
      </c>
      <c r="V45">
        <f>IF($A45="","",1)</f>
        <v/>
      </c>
      <c r="W45">
        <f>IF($T45=1,IFERROR(VALUE(MID($A45,2,20)),1000000000)+ROW()/100000,"")</f>
        <v/>
      </c>
    </row>
    <row r="46">
      <c r="F46" s="7">
        <f>IF($A46="","",E46*K46/100)</f>
        <v/>
      </c>
      <c r="J46" s="7" t="n"/>
      <c r="K46" s="7" t="n"/>
      <c r="L46" s="7" t="n"/>
      <c r="O46" s="11" t="n"/>
      <c r="P46">
        <f>IF($A46="","",IF($V46=1,Settings!$C$6,Settings!$C$7)*1)</f>
        <v/>
      </c>
      <c r="Q46" s="7">
        <f>IF($A46="","",P46*K46)</f>
        <v/>
      </c>
      <c r="R46" s="7">
        <f>IF($A46="","",K46-Q46)</f>
        <v/>
      </c>
      <c r="S46" s="7">
        <f>IF($A46="","",R46-F46)</f>
        <v/>
      </c>
      <c r="T46">
        <f>IF($A46="","",IF(COUNTIF($A$2:$A46,$A46)=1,1,0))</f>
        <v/>
      </c>
      <c r="U46">
        <f>IF($T46=1,SUMPRODUCT(--($W$2:$W$501&lt;$W46))+1,"")</f>
        <v/>
      </c>
      <c r="V46">
        <f>IF($A46="","",1)</f>
        <v/>
      </c>
      <c r="W46">
        <f>IF($T46=1,IFERROR(VALUE(MID($A46,2,20)),1000000000)+ROW()/100000,"")</f>
        <v/>
      </c>
    </row>
    <row r="47">
      <c r="F47" s="7">
        <f>IF($A47="","",E47*K47/100)</f>
        <v/>
      </c>
      <c r="J47" s="7" t="n"/>
      <c r="K47" s="7" t="n"/>
      <c r="L47" s="7" t="n"/>
      <c r="O47" s="11" t="n"/>
      <c r="P47">
        <f>IF($A47="","",IF($V47=1,Settings!$C$6,Settings!$C$7)*1)</f>
        <v/>
      </c>
      <c r="Q47" s="7">
        <f>IF($A47="","",P47*K47)</f>
        <v/>
      </c>
      <c r="R47" s="7">
        <f>IF($A47="","",K47-Q47)</f>
        <v/>
      </c>
      <c r="S47" s="7">
        <f>IF($A47="","",R47-F47)</f>
        <v/>
      </c>
      <c r="T47">
        <f>IF($A47="","",IF(COUNTIF($A$2:$A47,$A47)=1,1,0))</f>
        <v/>
      </c>
      <c r="U47">
        <f>IF($T47=1,SUMPRODUCT(--($W$2:$W$501&lt;$W47))+1,"")</f>
        <v/>
      </c>
      <c r="V47">
        <f>IF($A47="","",1)</f>
        <v/>
      </c>
      <c r="W47">
        <f>IF($T47=1,IFERROR(VALUE(MID($A47,2,20)),1000000000)+ROW()/100000,"")</f>
        <v/>
      </c>
    </row>
    <row r="48">
      <c r="F48" s="7">
        <f>IF($A48="","",E48*K48/100)</f>
        <v/>
      </c>
      <c r="J48" s="7" t="n"/>
      <c r="K48" s="7" t="n"/>
      <c r="L48" s="7" t="n"/>
      <c r="O48" s="11" t="n"/>
      <c r="P48">
        <f>IF($A48="","",IF($V48=1,Settings!$C$6,Settings!$C$7)*1)</f>
        <v/>
      </c>
      <c r="Q48" s="7">
        <f>IF($A48="","",P48*K48)</f>
        <v/>
      </c>
      <c r="R48" s="7">
        <f>IF($A48="","",K48-Q48)</f>
        <v/>
      </c>
      <c r="S48" s="7">
        <f>IF($A48="","",R48-F48)</f>
        <v/>
      </c>
      <c r="T48">
        <f>IF($A48="","",IF(COUNTIF($A$2:$A48,$A48)=1,1,0))</f>
        <v/>
      </c>
      <c r="U48">
        <f>IF($T48=1,SUMPRODUCT(--($W$2:$W$501&lt;$W48))+1,"")</f>
        <v/>
      </c>
      <c r="V48">
        <f>IF($A48="","",1)</f>
        <v/>
      </c>
      <c r="W48">
        <f>IF($T48=1,IFERROR(VALUE(MID($A48,2,20)),1000000000)+ROW()/100000,"")</f>
        <v/>
      </c>
    </row>
    <row r="49">
      <c r="F49" s="7">
        <f>IF($A49="","",E49*K49/100)</f>
        <v/>
      </c>
      <c r="J49" s="7" t="n"/>
      <c r="K49" s="7" t="n"/>
      <c r="L49" s="7" t="n"/>
      <c r="O49" s="11" t="n"/>
      <c r="P49">
        <f>IF($A49="","",IF($V49=1,Settings!$C$6,Settings!$C$7)*1)</f>
        <v/>
      </c>
      <c r="Q49" s="7">
        <f>IF($A49="","",P49*K49)</f>
        <v/>
      </c>
      <c r="R49" s="7">
        <f>IF($A49="","",K49-Q49)</f>
        <v/>
      </c>
      <c r="S49" s="7">
        <f>IF($A49="","",R49-F49)</f>
        <v/>
      </c>
      <c r="T49">
        <f>IF($A49="","",IF(COUNTIF($A$2:$A49,$A49)=1,1,0))</f>
        <v/>
      </c>
      <c r="U49">
        <f>IF($T49=1,SUMPRODUCT(--($W$2:$W$501&lt;$W49))+1,"")</f>
        <v/>
      </c>
      <c r="V49">
        <f>IF($A49="","",1)</f>
        <v/>
      </c>
      <c r="W49">
        <f>IF($T49=1,IFERROR(VALUE(MID($A49,2,20)),1000000000)+ROW()/100000,"")</f>
        <v/>
      </c>
    </row>
    <row r="50">
      <c r="F50" s="7">
        <f>IF($A50="","",E50*K50/100)</f>
        <v/>
      </c>
      <c r="J50" s="7" t="n"/>
      <c r="K50" s="7" t="n"/>
      <c r="L50" s="7" t="n"/>
      <c r="O50" s="11" t="n"/>
      <c r="P50">
        <f>IF($A50="","",IF($V50=1,Settings!$C$6,Settings!$C$7)*1)</f>
        <v/>
      </c>
      <c r="Q50" s="7">
        <f>IF($A50="","",P50*K50)</f>
        <v/>
      </c>
      <c r="R50" s="7">
        <f>IF($A50="","",K50-Q50)</f>
        <v/>
      </c>
      <c r="S50" s="7">
        <f>IF($A50="","",R50-F50)</f>
        <v/>
      </c>
      <c r="T50">
        <f>IF($A50="","",IF(COUNTIF($A$2:$A50,$A50)=1,1,0))</f>
        <v/>
      </c>
      <c r="U50">
        <f>IF($T50=1,SUMPRODUCT(--($W$2:$W$501&lt;$W50))+1,"")</f>
        <v/>
      </c>
      <c r="V50">
        <f>IF($A50="","",1)</f>
        <v/>
      </c>
      <c r="W50">
        <f>IF($T50=1,IFERROR(VALUE(MID($A50,2,20)),1000000000)+ROW()/100000,"")</f>
        <v/>
      </c>
    </row>
    <row r="51">
      <c r="F51" s="7">
        <f>IF($A51="","",E51*K51/100)</f>
        <v/>
      </c>
      <c r="J51" s="7" t="n"/>
      <c r="K51" s="7" t="n"/>
      <c r="L51" s="7" t="n"/>
      <c r="O51" s="11" t="n"/>
      <c r="P51">
        <f>IF($A51="","",IF($V51=1,Settings!$C$6,Settings!$C$7)*1)</f>
        <v/>
      </c>
      <c r="Q51" s="7">
        <f>IF($A51="","",P51*K51)</f>
        <v/>
      </c>
      <c r="R51" s="7">
        <f>IF($A51="","",K51-Q51)</f>
        <v/>
      </c>
      <c r="S51" s="7">
        <f>IF($A51="","",R51-F51)</f>
        <v/>
      </c>
      <c r="T51">
        <f>IF($A51="","",IF(COUNTIF($A$2:$A51,$A51)=1,1,0))</f>
        <v/>
      </c>
      <c r="U51">
        <f>IF($T51=1,SUMPRODUCT(--($W$2:$W$501&lt;$W51))+1,"")</f>
        <v/>
      </c>
      <c r="V51">
        <f>IF($A51="","",1)</f>
        <v/>
      </c>
      <c r="W51">
        <f>IF($T51=1,IFERROR(VALUE(MID($A51,2,20)),1000000000)+ROW()/100000,"")</f>
        <v/>
      </c>
    </row>
    <row r="52">
      <c r="F52" s="7">
        <f>IF($A52="","",E52*K52/100)</f>
        <v/>
      </c>
      <c r="J52" s="7" t="n"/>
      <c r="K52" s="7" t="n"/>
      <c r="L52" s="7" t="n"/>
      <c r="O52" s="11" t="n"/>
      <c r="P52">
        <f>IF($A52="","",IF($V52=1,Settings!$C$6,Settings!$C$7)*1)</f>
        <v/>
      </c>
      <c r="Q52" s="7">
        <f>IF($A52="","",P52*K52)</f>
        <v/>
      </c>
      <c r="R52" s="7">
        <f>IF($A52="","",K52-Q52)</f>
        <v/>
      </c>
      <c r="S52" s="7">
        <f>IF($A52="","",R52-F52)</f>
        <v/>
      </c>
      <c r="T52">
        <f>IF($A52="","",IF(COUNTIF($A$2:$A52,$A52)=1,1,0))</f>
        <v/>
      </c>
      <c r="U52">
        <f>IF($T52=1,SUMPRODUCT(--($W$2:$W$501&lt;$W52))+1,"")</f>
        <v/>
      </c>
      <c r="V52">
        <f>IF($A52="","",1)</f>
        <v/>
      </c>
      <c r="W52">
        <f>IF($T52=1,IFERROR(VALUE(MID($A52,2,20)),1000000000)+ROW()/100000,"")</f>
        <v/>
      </c>
    </row>
    <row r="53">
      <c r="F53" s="7">
        <f>IF($A53="","",E53*K53/100)</f>
        <v/>
      </c>
      <c r="J53" s="7" t="n"/>
      <c r="K53" s="7" t="n"/>
      <c r="L53" s="7" t="n"/>
      <c r="O53" s="11" t="n"/>
      <c r="P53">
        <f>IF($A53="","",IF($V53=1,Settings!$C$6,Settings!$C$7)*1)</f>
        <v/>
      </c>
      <c r="Q53" s="7">
        <f>IF($A53="","",P53*K53)</f>
        <v/>
      </c>
      <c r="R53" s="7">
        <f>IF($A53="","",K53-Q53)</f>
        <v/>
      </c>
      <c r="S53" s="7">
        <f>IF($A53="","",R53-F53)</f>
        <v/>
      </c>
      <c r="T53">
        <f>IF($A53="","",IF(COUNTIF($A$2:$A53,$A53)=1,1,0))</f>
        <v/>
      </c>
      <c r="U53">
        <f>IF($T53=1,SUMPRODUCT(--($W$2:$W$501&lt;$W53))+1,"")</f>
        <v/>
      </c>
      <c r="V53">
        <f>IF($A53="","",1)</f>
        <v/>
      </c>
      <c r="W53">
        <f>IF($T53=1,IFERROR(VALUE(MID($A53,2,20)),1000000000)+ROW()/100000,"")</f>
        <v/>
      </c>
    </row>
    <row r="54">
      <c r="F54" s="7">
        <f>IF($A54="","",E54*K54/100)</f>
        <v/>
      </c>
      <c r="J54" s="7" t="n"/>
      <c r="K54" s="7" t="n"/>
      <c r="L54" s="7" t="n"/>
      <c r="O54" s="11" t="n"/>
      <c r="P54">
        <f>IF($A54="","",IF($V54=1,Settings!$C$6,Settings!$C$7)*1)</f>
        <v/>
      </c>
      <c r="Q54" s="7">
        <f>IF($A54="","",P54*K54)</f>
        <v/>
      </c>
      <c r="R54" s="7">
        <f>IF($A54="","",K54-Q54)</f>
        <v/>
      </c>
      <c r="S54" s="7">
        <f>IF($A54="","",R54-F54)</f>
        <v/>
      </c>
      <c r="T54">
        <f>IF($A54="","",IF(COUNTIF($A$2:$A54,$A54)=1,1,0))</f>
        <v/>
      </c>
      <c r="U54">
        <f>IF($T54=1,SUMPRODUCT(--($W$2:$W$501&lt;$W54))+1,"")</f>
        <v/>
      </c>
      <c r="V54">
        <f>IF($A54="","",1)</f>
        <v/>
      </c>
      <c r="W54">
        <f>IF($T54=1,IFERROR(VALUE(MID($A54,2,20)),1000000000)+ROW()/100000,"")</f>
        <v/>
      </c>
    </row>
    <row r="55">
      <c r="F55" s="7">
        <f>IF($A55="","",E55*K55/100)</f>
        <v/>
      </c>
      <c r="J55" s="7" t="n"/>
      <c r="K55" s="7" t="n"/>
      <c r="L55" s="7" t="n"/>
      <c r="O55" s="11" t="n"/>
      <c r="P55">
        <f>IF($A55="","",IF($V55=1,Settings!$C$6,Settings!$C$7)*1)</f>
        <v/>
      </c>
      <c r="Q55" s="7">
        <f>IF($A55="","",P55*K55)</f>
        <v/>
      </c>
      <c r="R55" s="7">
        <f>IF($A55="","",K55-Q55)</f>
        <v/>
      </c>
      <c r="S55" s="7">
        <f>IF($A55="","",R55-F55)</f>
        <v/>
      </c>
      <c r="T55">
        <f>IF($A55="","",IF(COUNTIF($A$2:$A55,$A55)=1,1,0))</f>
        <v/>
      </c>
      <c r="U55">
        <f>IF($T55=1,SUMPRODUCT(--($W$2:$W$501&lt;$W55))+1,"")</f>
        <v/>
      </c>
      <c r="V55">
        <f>IF($A55="","",1)</f>
        <v/>
      </c>
      <c r="W55">
        <f>IF($T55=1,IFERROR(VALUE(MID($A55,2,20)),1000000000)+ROW()/100000,"")</f>
        <v/>
      </c>
    </row>
    <row r="56">
      <c r="F56" s="7">
        <f>IF($A56="","",E56*K56/100)</f>
        <v/>
      </c>
      <c r="J56" s="7" t="n"/>
      <c r="K56" s="7" t="n"/>
      <c r="L56" s="7" t="n"/>
      <c r="O56" s="11" t="n"/>
      <c r="P56">
        <f>IF($A56="","",IF($V56=1,Settings!$C$6,Settings!$C$7)*1)</f>
        <v/>
      </c>
      <c r="Q56" s="7">
        <f>IF($A56="","",P56*K56)</f>
        <v/>
      </c>
      <c r="R56" s="7">
        <f>IF($A56="","",K56-Q56)</f>
        <v/>
      </c>
      <c r="S56" s="7">
        <f>IF($A56="","",R56-F56)</f>
        <v/>
      </c>
      <c r="T56">
        <f>IF($A56="","",IF(COUNTIF($A$2:$A56,$A56)=1,1,0))</f>
        <v/>
      </c>
      <c r="U56">
        <f>IF($T56=1,SUMPRODUCT(--($W$2:$W$501&lt;$W56))+1,"")</f>
        <v/>
      </c>
      <c r="V56">
        <f>IF($A56="","",1)</f>
        <v/>
      </c>
      <c r="W56">
        <f>IF($T56=1,IFERROR(VALUE(MID($A56,2,20)),1000000000)+ROW()/100000,"")</f>
        <v/>
      </c>
    </row>
    <row r="57">
      <c r="F57" s="7">
        <f>IF($A57="","",E57*K57/100)</f>
        <v/>
      </c>
      <c r="J57" s="7" t="n"/>
      <c r="K57" s="7" t="n"/>
      <c r="L57" s="7" t="n"/>
      <c r="O57" s="11" t="n"/>
      <c r="P57">
        <f>IF($A57="","",IF($V57=1,Settings!$C$6,Settings!$C$7)*1)</f>
        <v/>
      </c>
      <c r="Q57" s="7">
        <f>IF($A57="","",P57*K57)</f>
        <v/>
      </c>
      <c r="R57" s="7">
        <f>IF($A57="","",K57-Q57)</f>
        <v/>
      </c>
      <c r="S57" s="7">
        <f>IF($A57="","",R57-F57)</f>
        <v/>
      </c>
      <c r="T57">
        <f>IF($A57="","",IF(COUNTIF($A$2:$A57,$A57)=1,1,0))</f>
        <v/>
      </c>
      <c r="U57">
        <f>IF($T57=1,SUMPRODUCT(--($W$2:$W$501&lt;$W57))+1,"")</f>
        <v/>
      </c>
      <c r="V57">
        <f>IF($A57="","",1)</f>
        <v/>
      </c>
      <c r="W57">
        <f>IF($T57=1,IFERROR(VALUE(MID($A57,2,20)),1000000000)+ROW()/100000,"")</f>
        <v/>
      </c>
    </row>
    <row r="58">
      <c r="F58" s="7">
        <f>IF($A58="","",E58*K58/100)</f>
        <v/>
      </c>
      <c r="J58" s="7" t="n"/>
      <c r="K58" s="7" t="n"/>
      <c r="L58" s="7" t="n"/>
      <c r="O58" s="11" t="n"/>
      <c r="P58">
        <f>IF($A58="","",IF($V58=1,Settings!$C$6,Settings!$C$7)*1)</f>
        <v/>
      </c>
      <c r="Q58" s="7">
        <f>IF($A58="","",P58*K58)</f>
        <v/>
      </c>
      <c r="R58" s="7">
        <f>IF($A58="","",K58-Q58)</f>
        <v/>
      </c>
      <c r="S58" s="7">
        <f>IF($A58="","",R58-F58)</f>
        <v/>
      </c>
      <c r="T58">
        <f>IF($A58="","",IF(COUNTIF($A$2:$A58,$A58)=1,1,0))</f>
        <v/>
      </c>
      <c r="U58">
        <f>IF($T58=1,SUMPRODUCT(--($W$2:$W$501&lt;$W58))+1,"")</f>
        <v/>
      </c>
      <c r="V58">
        <f>IF($A58="","",1)</f>
        <v/>
      </c>
      <c r="W58">
        <f>IF($T58=1,IFERROR(VALUE(MID($A58,2,20)),1000000000)+ROW()/100000,"")</f>
        <v/>
      </c>
    </row>
    <row r="59">
      <c r="F59" s="7">
        <f>IF($A59="","",E59*K59/100)</f>
        <v/>
      </c>
      <c r="J59" s="7" t="n"/>
      <c r="K59" s="7" t="n"/>
      <c r="L59" s="7" t="n"/>
      <c r="O59" s="11" t="n"/>
      <c r="P59">
        <f>IF($A59="","",IF($V59=1,Settings!$C$6,Settings!$C$7)*1)</f>
        <v/>
      </c>
      <c r="Q59" s="7">
        <f>IF($A59="","",P59*K59)</f>
        <v/>
      </c>
      <c r="R59" s="7">
        <f>IF($A59="","",K59-Q59)</f>
        <v/>
      </c>
      <c r="S59" s="7">
        <f>IF($A59="","",R59-F59)</f>
        <v/>
      </c>
      <c r="T59">
        <f>IF($A59="","",IF(COUNTIF($A$2:$A59,$A59)=1,1,0))</f>
        <v/>
      </c>
      <c r="U59">
        <f>IF($T59=1,SUMPRODUCT(--($W$2:$W$501&lt;$W59))+1,"")</f>
        <v/>
      </c>
      <c r="V59">
        <f>IF($A59="","",1)</f>
        <v/>
      </c>
      <c r="W59">
        <f>IF($T59=1,IFERROR(VALUE(MID($A59,2,20)),1000000000)+ROW()/100000,"")</f>
        <v/>
      </c>
    </row>
    <row r="60">
      <c r="F60" s="7">
        <f>IF($A60="","",E60*K60/100)</f>
        <v/>
      </c>
      <c r="J60" s="7" t="n"/>
      <c r="K60" s="7" t="n"/>
      <c r="L60" s="7" t="n"/>
      <c r="O60" s="11" t="n"/>
      <c r="P60">
        <f>IF($A60="","",IF($V60=1,Settings!$C$6,Settings!$C$7)*1)</f>
        <v/>
      </c>
      <c r="Q60" s="7">
        <f>IF($A60="","",P60*K60)</f>
        <v/>
      </c>
      <c r="R60" s="7">
        <f>IF($A60="","",K60-Q60)</f>
        <v/>
      </c>
      <c r="S60" s="7">
        <f>IF($A60="","",R60-F60)</f>
        <v/>
      </c>
      <c r="T60">
        <f>IF($A60="","",IF(COUNTIF($A$2:$A60,$A60)=1,1,0))</f>
        <v/>
      </c>
      <c r="U60">
        <f>IF($T60=1,SUMPRODUCT(--($W$2:$W$501&lt;$W60))+1,"")</f>
        <v/>
      </c>
      <c r="V60">
        <f>IF($A60="","",1)</f>
        <v/>
      </c>
      <c r="W60">
        <f>IF($T60=1,IFERROR(VALUE(MID($A60,2,20)),1000000000)+ROW()/100000,"")</f>
        <v/>
      </c>
    </row>
    <row r="61">
      <c r="F61" s="7">
        <f>IF($A61="","",E61*K61/100)</f>
        <v/>
      </c>
      <c r="J61" s="7" t="n"/>
      <c r="K61" s="7" t="n"/>
      <c r="L61" s="7" t="n"/>
      <c r="O61" s="11" t="n"/>
      <c r="P61">
        <f>IF($A61="","",IF($V61=1,Settings!$C$6,Settings!$C$7)*1)</f>
        <v/>
      </c>
      <c r="Q61" s="7">
        <f>IF($A61="","",P61*K61)</f>
        <v/>
      </c>
      <c r="R61" s="7">
        <f>IF($A61="","",K61-Q61)</f>
        <v/>
      </c>
      <c r="S61" s="7">
        <f>IF($A61="","",R61-F61)</f>
        <v/>
      </c>
      <c r="T61">
        <f>IF($A61="","",IF(COUNTIF($A$2:$A61,$A61)=1,1,0))</f>
        <v/>
      </c>
      <c r="U61">
        <f>IF($T61=1,SUMPRODUCT(--($W$2:$W$501&lt;$W61))+1,"")</f>
        <v/>
      </c>
      <c r="V61">
        <f>IF($A61="","",1)</f>
        <v/>
      </c>
      <c r="W61">
        <f>IF($T61=1,IFERROR(VALUE(MID($A61,2,20)),1000000000)+ROW()/100000,"")</f>
        <v/>
      </c>
    </row>
    <row r="62">
      <c r="F62" s="7">
        <f>IF($A62="","",E62*K62/100)</f>
        <v/>
      </c>
      <c r="J62" s="7" t="n"/>
      <c r="K62" s="7" t="n"/>
      <c r="L62" s="7" t="n"/>
      <c r="O62" s="11" t="n"/>
      <c r="P62">
        <f>IF($A62="","",IF($V62=1,Settings!$C$6,Settings!$C$7)*1)</f>
        <v/>
      </c>
      <c r="Q62" s="7">
        <f>IF($A62="","",P62*K62)</f>
        <v/>
      </c>
      <c r="R62" s="7">
        <f>IF($A62="","",K62-Q62)</f>
        <v/>
      </c>
      <c r="S62" s="7">
        <f>IF($A62="","",R62-F62)</f>
        <v/>
      </c>
      <c r="T62">
        <f>IF($A62="","",IF(COUNTIF($A$2:$A62,$A62)=1,1,0))</f>
        <v/>
      </c>
      <c r="U62">
        <f>IF($T62=1,SUMPRODUCT(--($W$2:$W$501&lt;$W62))+1,"")</f>
        <v/>
      </c>
      <c r="V62">
        <f>IF($A62="","",1)</f>
        <v/>
      </c>
      <c r="W62">
        <f>IF($T62=1,IFERROR(VALUE(MID($A62,2,20)),1000000000)+ROW()/100000,"")</f>
        <v/>
      </c>
    </row>
    <row r="63">
      <c r="F63" s="7">
        <f>IF($A63="","",E63*K63/100)</f>
        <v/>
      </c>
      <c r="J63" s="7" t="n"/>
      <c r="K63" s="7" t="n"/>
      <c r="L63" s="7" t="n"/>
      <c r="O63" s="11" t="n"/>
      <c r="P63">
        <f>IF($A63="","",IF($V63=1,Settings!$C$6,Settings!$C$7)*1)</f>
        <v/>
      </c>
      <c r="Q63" s="7">
        <f>IF($A63="","",P63*K63)</f>
        <v/>
      </c>
      <c r="R63" s="7">
        <f>IF($A63="","",K63-Q63)</f>
        <v/>
      </c>
      <c r="S63" s="7">
        <f>IF($A63="","",R63-F63)</f>
        <v/>
      </c>
      <c r="T63">
        <f>IF($A63="","",IF(COUNTIF($A$2:$A63,$A63)=1,1,0))</f>
        <v/>
      </c>
      <c r="U63">
        <f>IF($T63=1,SUMPRODUCT(--($W$2:$W$501&lt;$W63))+1,"")</f>
        <v/>
      </c>
      <c r="V63">
        <f>IF($A63="","",1)</f>
        <v/>
      </c>
      <c r="W63">
        <f>IF($T63=1,IFERROR(VALUE(MID($A63,2,20)),1000000000)+ROW()/100000,"")</f>
        <v/>
      </c>
    </row>
    <row r="64">
      <c r="F64" s="7">
        <f>IF($A64="","",E64*K64/100)</f>
        <v/>
      </c>
      <c r="J64" s="7" t="n"/>
      <c r="K64" s="7" t="n"/>
      <c r="L64" s="7" t="n"/>
      <c r="O64" s="11" t="n"/>
      <c r="P64">
        <f>IF($A64="","",IF($V64=1,Settings!$C$6,Settings!$C$7)*1)</f>
        <v/>
      </c>
      <c r="Q64" s="7">
        <f>IF($A64="","",P64*K64)</f>
        <v/>
      </c>
      <c r="R64" s="7">
        <f>IF($A64="","",K64-Q64)</f>
        <v/>
      </c>
      <c r="S64" s="7">
        <f>IF($A64="","",R64-F64)</f>
        <v/>
      </c>
      <c r="T64">
        <f>IF($A64="","",IF(COUNTIF($A$2:$A64,$A64)=1,1,0))</f>
        <v/>
      </c>
      <c r="U64">
        <f>IF($T64=1,SUMPRODUCT(--($W$2:$W$501&lt;$W64))+1,"")</f>
        <v/>
      </c>
      <c r="V64">
        <f>IF($A64="","",1)</f>
        <v/>
      </c>
      <c r="W64">
        <f>IF($T64=1,IFERROR(VALUE(MID($A64,2,20)),1000000000)+ROW()/100000,"")</f>
        <v/>
      </c>
    </row>
    <row r="65">
      <c r="F65" s="7">
        <f>IF($A65="","",E65*K65/100)</f>
        <v/>
      </c>
      <c r="J65" s="7" t="n"/>
      <c r="K65" s="7" t="n"/>
      <c r="L65" s="7" t="n"/>
      <c r="O65" s="11" t="n"/>
      <c r="P65">
        <f>IF($A65="","",IF($V65=1,Settings!$C$6,Settings!$C$7)*1)</f>
        <v/>
      </c>
      <c r="Q65" s="7">
        <f>IF($A65="","",P65*K65)</f>
        <v/>
      </c>
      <c r="R65" s="7">
        <f>IF($A65="","",K65-Q65)</f>
        <v/>
      </c>
      <c r="S65" s="7">
        <f>IF($A65="","",R65-F65)</f>
        <v/>
      </c>
      <c r="T65">
        <f>IF($A65="","",IF(COUNTIF($A$2:$A65,$A65)=1,1,0))</f>
        <v/>
      </c>
      <c r="U65">
        <f>IF($T65=1,SUMPRODUCT(--($W$2:$W$501&lt;$W65))+1,"")</f>
        <v/>
      </c>
      <c r="V65">
        <f>IF($A65="","",1)</f>
        <v/>
      </c>
      <c r="W65">
        <f>IF($T65=1,IFERROR(VALUE(MID($A65,2,20)),1000000000)+ROW()/100000,"")</f>
        <v/>
      </c>
    </row>
    <row r="66">
      <c r="F66" s="7">
        <f>IF($A66="","",E66*K66/100)</f>
        <v/>
      </c>
      <c r="J66" s="7" t="n"/>
      <c r="K66" s="7" t="n"/>
      <c r="L66" s="7" t="n"/>
      <c r="O66" s="11" t="n"/>
      <c r="P66">
        <f>IF($A66="","",IF($V66=1,Settings!$C$6,Settings!$C$7)*1)</f>
        <v/>
      </c>
      <c r="Q66" s="7">
        <f>IF($A66="","",P66*K66)</f>
        <v/>
      </c>
      <c r="R66" s="7">
        <f>IF($A66="","",K66-Q66)</f>
        <v/>
      </c>
      <c r="S66" s="7">
        <f>IF($A66="","",R66-F66)</f>
        <v/>
      </c>
      <c r="T66">
        <f>IF($A66="","",IF(COUNTIF($A$2:$A66,$A66)=1,1,0))</f>
        <v/>
      </c>
      <c r="U66">
        <f>IF($T66=1,SUMPRODUCT(--($W$2:$W$501&lt;$W66))+1,"")</f>
        <v/>
      </c>
      <c r="V66">
        <f>IF($A66="","",1)</f>
        <v/>
      </c>
      <c r="W66">
        <f>IF($T66=1,IFERROR(VALUE(MID($A66,2,20)),1000000000)+ROW()/100000,"")</f>
        <v/>
      </c>
    </row>
    <row r="67">
      <c r="F67" s="7">
        <f>IF($A67="","",E67*K67/100)</f>
        <v/>
      </c>
      <c r="J67" s="7" t="n"/>
      <c r="K67" s="7" t="n"/>
      <c r="L67" s="7" t="n"/>
      <c r="O67" s="11" t="n"/>
      <c r="P67">
        <f>IF($A67="","",IF($V67=1,Settings!$C$6,Settings!$C$7)*1)</f>
        <v/>
      </c>
      <c r="Q67" s="7">
        <f>IF($A67="","",P67*K67)</f>
        <v/>
      </c>
      <c r="R67" s="7">
        <f>IF($A67="","",K67-Q67)</f>
        <v/>
      </c>
      <c r="S67" s="7">
        <f>IF($A67="","",R67-F67)</f>
        <v/>
      </c>
      <c r="T67">
        <f>IF($A67="","",IF(COUNTIF($A$2:$A67,$A67)=1,1,0))</f>
        <v/>
      </c>
      <c r="U67">
        <f>IF($T67=1,SUMPRODUCT(--($W$2:$W$501&lt;$W67))+1,"")</f>
        <v/>
      </c>
      <c r="V67">
        <f>IF($A67="","",1)</f>
        <v/>
      </c>
      <c r="W67">
        <f>IF($T67=1,IFERROR(VALUE(MID($A67,2,20)),1000000000)+ROW()/100000,"")</f>
        <v/>
      </c>
    </row>
    <row r="68">
      <c r="F68" s="7">
        <f>IF($A68="","",E68*K68/100)</f>
        <v/>
      </c>
      <c r="J68" s="7" t="n"/>
      <c r="K68" s="7" t="n"/>
      <c r="L68" s="7" t="n"/>
      <c r="O68" s="11" t="n"/>
      <c r="P68">
        <f>IF($A68="","",IF($V68=1,Settings!$C$6,Settings!$C$7)*1)</f>
        <v/>
      </c>
      <c r="Q68" s="7">
        <f>IF($A68="","",P68*K68)</f>
        <v/>
      </c>
      <c r="R68" s="7">
        <f>IF($A68="","",K68-Q68)</f>
        <v/>
      </c>
      <c r="S68" s="7">
        <f>IF($A68="","",R68-F68)</f>
        <v/>
      </c>
      <c r="T68">
        <f>IF($A68="","",IF(COUNTIF($A$2:$A68,$A68)=1,1,0))</f>
        <v/>
      </c>
      <c r="U68">
        <f>IF($T68=1,SUMPRODUCT(--($W$2:$W$501&lt;$W68))+1,"")</f>
        <v/>
      </c>
      <c r="V68">
        <f>IF($A68="","",1)</f>
        <v/>
      </c>
      <c r="W68">
        <f>IF($T68=1,IFERROR(VALUE(MID($A68,2,20)),1000000000)+ROW()/100000,"")</f>
        <v/>
      </c>
    </row>
    <row r="69">
      <c r="F69" s="7">
        <f>IF($A69="","",E69*K69/100)</f>
        <v/>
      </c>
      <c r="J69" s="7" t="n"/>
      <c r="K69" s="7" t="n"/>
      <c r="L69" s="7" t="n"/>
      <c r="O69" s="11" t="n"/>
      <c r="P69">
        <f>IF($A69="","",IF($V69=1,Settings!$C$6,Settings!$C$7)*1)</f>
        <v/>
      </c>
      <c r="Q69" s="7">
        <f>IF($A69="","",P69*K69)</f>
        <v/>
      </c>
      <c r="R69" s="7">
        <f>IF($A69="","",K69-Q69)</f>
        <v/>
      </c>
      <c r="S69" s="7">
        <f>IF($A69="","",R69-F69)</f>
        <v/>
      </c>
      <c r="T69">
        <f>IF($A69="","",IF(COUNTIF($A$2:$A69,$A69)=1,1,0))</f>
        <v/>
      </c>
      <c r="U69">
        <f>IF($T69=1,SUMPRODUCT(--($W$2:$W$501&lt;$W69))+1,"")</f>
        <v/>
      </c>
      <c r="V69">
        <f>IF($A69="","",1)</f>
        <v/>
      </c>
      <c r="W69">
        <f>IF($T69=1,IFERROR(VALUE(MID($A69,2,20)),1000000000)+ROW()/100000,"")</f>
        <v/>
      </c>
    </row>
    <row r="70">
      <c r="F70" s="7">
        <f>IF($A70="","",E70*K70/100)</f>
        <v/>
      </c>
      <c r="J70" s="7" t="n"/>
      <c r="K70" s="7" t="n"/>
      <c r="L70" s="7" t="n"/>
      <c r="O70" s="11" t="n"/>
      <c r="P70">
        <f>IF($A70="","",IF($V70=1,Settings!$C$6,Settings!$C$7)*1)</f>
        <v/>
      </c>
      <c r="Q70" s="7">
        <f>IF($A70="","",P70*K70)</f>
        <v/>
      </c>
      <c r="R70" s="7">
        <f>IF($A70="","",K70-Q70)</f>
        <v/>
      </c>
      <c r="S70" s="7">
        <f>IF($A70="","",R70-F70)</f>
        <v/>
      </c>
      <c r="T70">
        <f>IF($A70="","",IF(COUNTIF($A$2:$A70,$A70)=1,1,0))</f>
        <v/>
      </c>
      <c r="U70">
        <f>IF($T70=1,SUMPRODUCT(--($W$2:$W$501&lt;$W70))+1,"")</f>
        <v/>
      </c>
      <c r="V70">
        <f>IF($A70="","",1)</f>
        <v/>
      </c>
      <c r="W70">
        <f>IF($T70=1,IFERROR(VALUE(MID($A70,2,20)),1000000000)+ROW()/100000,"")</f>
        <v/>
      </c>
    </row>
    <row r="71">
      <c r="F71" s="7">
        <f>IF($A71="","",E71*K71/100)</f>
        <v/>
      </c>
      <c r="J71" s="7" t="n"/>
      <c r="K71" s="7" t="n"/>
      <c r="L71" s="7" t="n"/>
      <c r="O71" s="11" t="n"/>
      <c r="P71">
        <f>IF($A71="","",IF($V71=1,Settings!$C$6,Settings!$C$7)*1)</f>
        <v/>
      </c>
      <c r="Q71" s="7">
        <f>IF($A71="","",P71*K71)</f>
        <v/>
      </c>
      <c r="R71" s="7">
        <f>IF($A71="","",K71-Q71)</f>
        <v/>
      </c>
      <c r="S71" s="7">
        <f>IF($A71="","",R71-F71)</f>
        <v/>
      </c>
      <c r="T71">
        <f>IF($A71="","",IF(COUNTIF($A$2:$A71,$A71)=1,1,0))</f>
        <v/>
      </c>
      <c r="U71">
        <f>IF($T71=1,SUMPRODUCT(--($W$2:$W$501&lt;$W71))+1,"")</f>
        <v/>
      </c>
      <c r="V71">
        <f>IF($A71="","",1)</f>
        <v/>
      </c>
      <c r="W71">
        <f>IF($T71=1,IFERROR(VALUE(MID($A71,2,20)),1000000000)+ROW()/100000,"")</f>
        <v/>
      </c>
    </row>
    <row r="72">
      <c r="F72" s="7">
        <f>IF($A72="","",E72*K72/100)</f>
        <v/>
      </c>
      <c r="J72" s="7" t="n"/>
      <c r="K72" s="7" t="n"/>
      <c r="L72" s="7" t="n"/>
      <c r="O72" s="11" t="n"/>
      <c r="P72">
        <f>IF($A72="","",IF($V72=1,Settings!$C$6,Settings!$C$7)*1)</f>
        <v/>
      </c>
      <c r="Q72" s="7">
        <f>IF($A72="","",P72*K72)</f>
        <v/>
      </c>
      <c r="R72" s="7">
        <f>IF($A72="","",K72-Q72)</f>
        <v/>
      </c>
      <c r="S72" s="7">
        <f>IF($A72="","",R72-F72)</f>
        <v/>
      </c>
      <c r="T72">
        <f>IF($A72="","",IF(COUNTIF($A$2:$A72,$A72)=1,1,0))</f>
        <v/>
      </c>
      <c r="U72">
        <f>IF($T72=1,SUMPRODUCT(--($W$2:$W$501&lt;$W72))+1,"")</f>
        <v/>
      </c>
      <c r="V72">
        <f>IF($A72="","",1)</f>
        <v/>
      </c>
      <c r="W72">
        <f>IF($T72=1,IFERROR(VALUE(MID($A72,2,20)),1000000000)+ROW()/100000,"")</f>
        <v/>
      </c>
    </row>
    <row r="73">
      <c r="F73" s="7">
        <f>IF($A73="","",E73*K73/100)</f>
        <v/>
      </c>
      <c r="J73" s="7" t="n"/>
      <c r="K73" s="7" t="n"/>
      <c r="L73" s="7" t="n"/>
      <c r="O73" s="11" t="n"/>
      <c r="P73">
        <f>IF($A73="","",IF($V73=1,Settings!$C$6,Settings!$C$7)*1)</f>
        <v/>
      </c>
      <c r="Q73" s="7">
        <f>IF($A73="","",P73*K73)</f>
        <v/>
      </c>
      <c r="R73" s="7">
        <f>IF($A73="","",K73-Q73)</f>
        <v/>
      </c>
      <c r="S73" s="7">
        <f>IF($A73="","",R73-F73)</f>
        <v/>
      </c>
      <c r="T73">
        <f>IF($A73="","",IF(COUNTIF($A$2:$A73,$A73)=1,1,0))</f>
        <v/>
      </c>
      <c r="U73">
        <f>IF($T73=1,SUMPRODUCT(--($W$2:$W$501&lt;$W73))+1,"")</f>
        <v/>
      </c>
      <c r="V73">
        <f>IF($A73="","",1)</f>
        <v/>
      </c>
      <c r="W73">
        <f>IF($T73=1,IFERROR(VALUE(MID($A73,2,20)),1000000000)+ROW()/100000,"")</f>
        <v/>
      </c>
    </row>
    <row r="74">
      <c r="F74" s="7">
        <f>IF($A74="","",E74*K74/100)</f>
        <v/>
      </c>
      <c r="J74" s="7" t="n"/>
      <c r="K74" s="7" t="n"/>
      <c r="L74" s="7" t="n"/>
      <c r="O74" s="11" t="n"/>
      <c r="P74">
        <f>IF($A74="","",IF($V74=1,Settings!$C$6,Settings!$C$7)*1)</f>
        <v/>
      </c>
      <c r="Q74" s="7">
        <f>IF($A74="","",P74*K74)</f>
        <v/>
      </c>
      <c r="R74" s="7">
        <f>IF($A74="","",K74-Q74)</f>
        <v/>
      </c>
      <c r="S74" s="7">
        <f>IF($A74="","",R74-F74)</f>
        <v/>
      </c>
      <c r="T74">
        <f>IF($A74="","",IF(COUNTIF($A$2:$A74,$A74)=1,1,0))</f>
        <v/>
      </c>
      <c r="U74">
        <f>IF($T74=1,SUMPRODUCT(--($W$2:$W$501&lt;$W74))+1,"")</f>
        <v/>
      </c>
      <c r="V74">
        <f>IF($A74="","",1)</f>
        <v/>
      </c>
      <c r="W74">
        <f>IF($T74=1,IFERROR(VALUE(MID($A74,2,20)),1000000000)+ROW()/100000,"")</f>
        <v/>
      </c>
    </row>
    <row r="75">
      <c r="F75" s="7">
        <f>IF($A75="","",E75*K75/100)</f>
        <v/>
      </c>
      <c r="J75" s="7" t="n"/>
      <c r="K75" s="7" t="n"/>
      <c r="L75" s="7" t="n"/>
      <c r="O75" s="11" t="n"/>
      <c r="P75">
        <f>IF($A75="","",IF($V75=1,Settings!$C$6,Settings!$C$7)*1)</f>
        <v/>
      </c>
      <c r="Q75" s="7">
        <f>IF($A75="","",P75*K75)</f>
        <v/>
      </c>
      <c r="R75" s="7">
        <f>IF($A75="","",K75-Q75)</f>
        <v/>
      </c>
      <c r="S75" s="7">
        <f>IF($A75="","",R75-F75)</f>
        <v/>
      </c>
      <c r="T75">
        <f>IF($A75="","",IF(COUNTIF($A$2:$A75,$A75)=1,1,0))</f>
        <v/>
      </c>
      <c r="U75">
        <f>IF($T75=1,SUMPRODUCT(--($W$2:$W$501&lt;$W75))+1,"")</f>
        <v/>
      </c>
      <c r="V75">
        <f>IF($A75="","",1)</f>
        <v/>
      </c>
      <c r="W75">
        <f>IF($T75=1,IFERROR(VALUE(MID($A75,2,20)),1000000000)+ROW()/100000,"")</f>
        <v/>
      </c>
    </row>
    <row r="76">
      <c r="F76" s="7">
        <f>IF($A76="","",E76*K76/100)</f>
        <v/>
      </c>
      <c r="J76" s="7" t="n"/>
      <c r="K76" s="7" t="n"/>
      <c r="L76" s="7" t="n"/>
      <c r="O76" s="11" t="n"/>
      <c r="P76">
        <f>IF($A76="","",IF($V76=1,Settings!$C$6,Settings!$C$7)*1)</f>
        <v/>
      </c>
      <c r="Q76" s="7">
        <f>IF($A76="","",P76*K76)</f>
        <v/>
      </c>
      <c r="R76" s="7">
        <f>IF($A76="","",K76-Q76)</f>
        <v/>
      </c>
      <c r="S76" s="7">
        <f>IF($A76="","",R76-F76)</f>
        <v/>
      </c>
      <c r="T76">
        <f>IF($A76="","",IF(COUNTIF($A$2:$A76,$A76)=1,1,0))</f>
        <v/>
      </c>
      <c r="U76">
        <f>IF($T76=1,SUMPRODUCT(--($W$2:$W$501&lt;$W76))+1,"")</f>
        <v/>
      </c>
      <c r="V76">
        <f>IF($A76="","",1)</f>
        <v/>
      </c>
      <c r="W76">
        <f>IF($T76=1,IFERROR(VALUE(MID($A76,2,20)),1000000000)+ROW()/100000,"")</f>
        <v/>
      </c>
    </row>
    <row r="77">
      <c r="F77" s="7">
        <f>IF($A77="","",E77*K77/100)</f>
        <v/>
      </c>
      <c r="J77" s="7" t="n"/>
      <c r="K77" s="7" t="n"/>
      <c r="L77" s="7" t="n"/>
      <c r="O77" s="11" t="n"/>
      <c r="P77">
        <f>IF($A77="","",IF($V77=1,Settings!$C$6,Settings!$C$7)*1)</f>
        <v/>
      </c>
      <c r="Q77" s="7">
        <f>IF($A77="","",P77*K77)</f>
        <v/>
      </c>
      <c r="R77" s="7">
        <f>IF($A77="","",K77-Q77)</f>
        <v/>
      </c>
      <c r="S77" s="7">
        <f>IF($A77="","",R77-F77)</f>
        <v/>
      </c>
      <c r="T77">
        <f>IF($A77="","",IF(COUNTIF($A$2:$A77,$A77)=1,1,0))</f>
        <v/>
      </c>
      <c r="U77">
        <f>IF($T77=1,SUMPRODUCT(--($W$2:$W$501&lt;$W77))+1,"")</f>
        <v/>
      </c>
      <c r="V77">
        <f>IF($A77="","",1)</f>
        <v/>
      </c>
      <c r="W77">
        <f>IF($T77=1,IFERROR(VALUE(MID($A77,2,20)),1000000000)+ROW()/100000,"")</f>
        <v/>
      </c>
    </row>
    <row r="78">
      <c r="F78" s="7">
        <f>IF($A78="","",E78*K78/100)</f>
        <v/>
      </c>
      <c r="J78" s="7" t="n"/>
      <c r="K78" s="7" t="n"/>
      <c r="L78" s="7" t="n"/>
      <c r="O78" s="11" t="n"/>
      <c r="P78">
        <f>IF($A78="","",IF($V78=1,Settings!$C$6,Settings!$C$7)*1)</f>
        <v/>
      </c>
      <c r="Q78" s="7">
        <f>IF($A78="","",P78*K78)</f>
        <v/>
      </c>
      <c r="R78" s="7">
        <f>IF($A78="","",K78-Q78)</f>
        <v/>
      </c>
      <c r="S78" s="7">
        <f>IF($A78="","",R78-F78)</f>
        <v/>
      </c>
      <c r="T78">
        <f>IF($A78="","",IF(COUNTIF($A$2:$A78,$A78)=1,1,0))</f>
        <v/>
      </c>
      <c r="U78">
        <f>IF($T78=1,SUMPRODUCT(--($W$2:$W$501&lt;$W78))+1,"")</f>
        <v/>
      </c>
      <c r="V78">
        <f>IF($A78="","",1)</f>
        <v/>
      </c>
      <c r="W78">
        <f>IF($T78=1,IFERROR(VALUE(MID($A78,2,20)),1000000000)+ROW()/100000,"")</f>
        <v/>
      </c>
    </row>
    <row r="79">
      <c r="F79" s="7">
        <f>IF($A79="","",E79*K79/100)</f>
        <v/>
      </c>
      <c r="J79" s="7" t="n"/>
      <c r="K79" s="7" t="n"/>
      <c r="L79" s="7" t="n"/>
      <c r="O79" s="11" t="n"/>
      <c r="P79">
        <f>IF($A79="","",IF($V79=1,Settings!$C$6,Settings!$C$7)*1)</f>
        <v/>
      </c>
      <c r="Q79" s="7">
        <f>IF($A79="","",P79*K79)</f>
        <v/>
      </c>
      <c r="R79" s="7">
        <f>IF($A79="","",K79-Q79)</f>
        <v/>
      </c>
      <c r="S79" s="7">
        <f>IF($A79="","",R79-F79)</f>
        <v/>
      </c>
      <c r="T79">
        <f>IF($A79="","",IF(COUNTIF($A$2:$A79,$A79)=1,1,0))</f>
        <v/>
      </c>
      <c r="U79">
        <f>IF($T79=1,SUMPRODUCT(--($W$2:$W$501&lt;$W79))+1,"")</f>
        <v/>
      </c>
      <c r="V79">
        <f>IF($A79="","",1)</f>
        <v/>
      </c>
      <c r="W79">
        <f>IF($T79=1,IFERROR(VALUE(MID($A79,2,20)),1000000000)+ROW()/100000,"")</f>
        <v/>
      </c>
    </row>
    <row r="80">
      <c r="F80" s="7">
        <f>IF($A80="","",E80*K80/100)</f>
        <v/>
      </c>
      <c r="J80" s="7" t="n"/>
      <c r="K80" s="7" t="n"/>
      <c r="L80" s="7" t="n"/>
      <c r="O80" s="11" t="n"/>
      <c r="P80">
        <f>IF($A80="","",IF($V80=1,Settings!$C$6,Settings!$C$7)*1)</f>
        <v/>
      </c>
      <c r="Q80" s="7">
        <f>IF($A80="","",P80*K80)</f>
        <v/>
      </c>
      <c r="R80" s="7">
        <f>IF($A80="","",K80-Q80)</f>
        <v/>
      </c>
      <c r="S80" s="7">
        <f>IF($A80="","",R80-F80)</f>
        <v/>
      </c>
      <c r="T80">
        <f>IF($A80="","",IF(COUNTIF($A$2:$A80,$A80)=1,1,0))</f>
        <v/>
      </c>
      <c r="U80">
        <f>IF($T80=1,SUMPRODUCT(--($W$2:$W$501&lt;$W80))+1,"")</f>
        <v/>
      </c>
      <c r="V80">
        <f>IF($A80="","",1)</f>
        <v/>
      </c>
      <c r="W80">
        <f>IF($T80=1,IFERROR(VALUE(MID($A80,2,20)),1000000000)+ROW()/100000,"")</f>
        <v/>
      </c>
    </row>
    <row r="81">
      <c r="F81" s="7">
        <f>IF($A81="","",E81*K81/100)</f>
        <v/>
      </c>
      <c r="J81" s="7" t="n"/>
      <c r="K81" s="7" t="n"/>
      <c r="L81" s="7" t="n"/>
      <c r="O81" s="11" t="n"/>
      <c r="P81">
        <f>IF($A81="","",IF($V81=1,Settings!$C$6,Settings!$C$7)*1)</f>
        <v/>
      </c>
      <c r="Q81" s="7">
        <f>IF($A81="","",P81*K81)</f>
        <v/>
      </c>
      <c r="R81" s="7">
        <f>IF($A81="","",K81-Q81)</f>
        <v/>
      </c>
      <c r="S81" s="7">
        <f>IF($A81="","",R81-F81)</f>
        <v/>
      </c>
      <c r="T81">
        <f>IF($A81="","",IF(COUNTIF($A$2:$A81,$A81)=1,1,0))</f>
        <v/>
      </c>
      <c r="U81">
        <f>IF($T81=1,SUMPRODUCT(--($W$2:$W$501&lt;$W81))+1,"")</f>
        <v/>
      </c>
      <c r="V81">
        <f>IF($A81="","",1)</f>
        <v/>
      </c>
      <c r="W81">
        <f>IF($T81=1,IFERROR(VALUE(MID($A81,2,20)),1000000000)+ROW()/100000,"")</f>
        <v/>
      </c>
    </row>
    <row r="82">
      <c r="F82" s="7">
        <f>IF($A82="","",E82*K82/100)</f>
        <v/>
      </c>
      <c r="J82" s="7" t="n"/>
      <c r="K82" s="7" t="n"/>
      <c r="L82" s="7" t="n"/>
      <c r="O82" s="11" t="n"/>
      <c r="P82">
        <f>IF($A82="","",IF($V82=1,Settings!$C$6,Settings!$C$7)*1)</f>
        <v/>
      </c>
      <c r="Q82" s="7">
        <f>IF($A82="","",P82*K82)</f>
        <v/>
      </c>
      <c r="R82" s="7">
        <f>IF($A82="","",K82-Q82)</f>
        <v/>
      </c>
      <c r="S82" s="7">
        <f>IF($A82="","",R82-F82)</f>
        <v/>
      </c>
      <c r="T82">
        <f>IF($A82="","",IF(COUNTIF($A$2:$A82,$A82)=1,1,0))</f>
        <v/>
      </c>
      <c r="U82">
        <f>IF($T82=1,SUMPRODUCT(--($W$2:$W$501&lt;$W82))+1,"")</f>
        <v/>
      </c>
      <c r="V82">
        <f>IF($A82="","",1)</f>
        <v/>
      </c>
      <c r="W82">
        <f>IF($T82=1,IFERROR(VALUE(MID($A82,2,20)),1000000000)+ROW()/100000,"")</f>
        <v/>
      </c>
    </row>
    <row r="83">
      <c r="F83" s="7">
        <f>IF($A83="","",E83*K83/100)</f>
        <v/>
      </c>
      <c r="J83" s="7" t="n"/>
      <c r="K83" s="7" t="n"/>
      <c r="L83" s="7" t="n"/>
      <c r="O83" s="11" t="n"/>
      <c r="P83">
        <f>IF($A83="","",IF($V83=1,Settings!$C$6,Settings!$C$7)*1)</f>
        <v/>
      </c>
      <c r="Q83" s="7">
        <f>IF($A83="","",P83*K83)</f>
        <v/>
      </c>
      <c r="R83" s="7">
        <f>IF($A83="","",K83-Q83)</f>
        <v/>
      </c>
      <c r="S83" s="7">
        <f>IF($A83="","",R83-F83)</f>
        <v/>
      </c>
      <c r="T83">
        <f>IF($A83="","",IF(COUNTIF($A$2:$A83,$A83)=1,1,0))</f>
        <v/>
      </c>
      <c r="U83">
        <f>IF($T83=1,SUMPRODUCT(--($W$2:$W$501&lt;$W83))+1,"")</f>
        <v/>
      </c>
      <c r="V83">
        <f>IF($A83="","",1)</f>
        <v/>
      </c>
      <c r="W83">
        <f>IF($T83=1,IFERROR(VALUE(MID($A83,2,20)),1000000000)+ROW()/100000,"")</f>
        <v/>
      </c>
    </row>
    <row r="84">
      <c r="F84" s="7">
        <f>IF($A84="","",E84*K84/100)</f>
        <v/>
      </c>
      <c r="J84" s="7" t="n"/>
      <c r="K84" s="7" t="n"/>
      <c r="L84" s="7" t="n"/>
      <c r="O84" s="11" t="n"/>
      <c r="P84">
        <f>IF($A84="","",IF($V84=1,Settings!$C$6,Settings!$C$7)*1)</f>
        <v/>
      </c>
      <c r="Q84" s="7">
        <f>IF($A84="","",P84*K84)</f>
        <v/>
      </c>
      <c r="R84" s="7">
        <f>IF($A84="","",K84-Q84)</f>
        <v/>
      </c>
      <c r="S84" s="7">
        <f>IF($A84="","",R84-F84)</f>
        <v/>
      </c>
      <c r="T84">
        <f>IF($A84="","",IF(COUNTIF($A$2:$A84,$A84)=1,1,0))</f>
        <v/>
      </c>
      <c r="U84">
        <f>IF($T84=1,SUMPRODUCT(--($W$2:$W$501&lt;$W84))+1,"")</f>
        <v/>
      </c>
      <c r="V84">
        <f>IF($A84="","",1)</f>
        <v/>
      </c>
      <c r="W84">
        <f>IF($T84=1,IFERROR(VALUE(MID($A84,2,20)),1000000000)+ROW()/100000,"")</f>
        <v/>
      </c>
    </row>
    <row r="85">
      <c r="F85" s="7">
        <f>IF($A85="","",E85*K85/100)</f>
        <v/>
      </c>
      <c r="J85" s="7" t="n"/>
      <c r="K85" s="7" t="n"/>
      <c r="L85" s="7" t="n"/>
      <c r="O85" s="11" t="n"/>
      <c r="P85">
        <f>IF($A85="","",IF($V85=1,Settings!$C$6,Settings!$C$7)*1)</f>
        <v/>
      </c>
      <c r="Q85" s="7">
        <f>IF($A85="","",P85*K85)</f>
        <v/>
      </c>
      <c r="R85" s="7">
        <f>IF($A85="","",K85-Q85)</f>
        <v/>
      </c>
      <c r="S85" s="7">
        <f>IF($A85="","",R85-F85)</f>
        <v/>
      </c>
      <c r="T85">
        <f>IF($A85="","",IF(COUNTIF($A$2:$A85,$A85)=1,1,0))</f>
        <v/>
      </c>
      <c r="U85">
        <f>IF($T85=1,SUMPRODUCT(--($W$2:$W$501&lt;$W85))+1,"")</f>
        <v/>
      </c>
      <c r="V85">
        <f>IF($A85="","",1)</f>
        <v/>
      </c>
      <c r="W85">
        <f>IF($T85=1,IFERROR(VALUE(MID($A85,2,20)),1000000000)+ROW()/100000,"")</f>
        <v/>
      </c>
    </row>
    <row r="86">
      <c r="F86" s="7">
        <f>IF($A86="","",E86*K86/100)</f>
        <v/>
      </c>
      <c r="J86" s="7" t="n"/>
      <c r="K86" s="7" t="n"/>
      <c r="L86" s="7" t="n"/>
      <c r="O86" s="11" t="n"/>
      <c r="P86">
        <f>IF($A86="","",IF($V86=1,Settings!$C$6,Settings!$C$7)*1)</f>
        <v/>
      </c>
      <c r="Q86" s="7">
        <f>IF($A86="","",P86*K86)</f>
        <v/>
      </c>
      <c r="R86" s="7">
        <f>IF($A86="","",K86-Q86)</f>
        <v/>
      </c>
      <c r="S86" s="7">
        <f>IF($A86="","",R86-F86)</f>
        <v/>
      </c>
      <c r="T86">
        <f>IF($A86="","",IF(COUNTIF($A$2:$A86,$A86)=1,1,0))</f>
        <v/>
      </c>
      <c r="U86">
        <f>IF($T86=1,SUMPRODUCT(--($W$2:$W$501&lt;$W86))+1,"")</f>
        <v/>
      </c>
      <c r="V86">
        <f>IF($A86="","",1)</f>
        <v/>
      </c>
      <c r="W86">
        <f>IF($T86=1,IFERROR(VALUE(MID($A86,2,20)),1000000000)+ROW()/100000,"")</f>
        <v/>
      </c>
    </row>
    <row r="87">
      <c r="F87" s="7">
        <f>IF($A87="","",E87*K87/100)</f>
        <v/>
      </c>
      <c r="J87" s="7" t="n"/>
      <c r="K87" s="7" t="n"/>
      <c r="L87" s="7" t="n"/>
      <c r="O87" s="11" t="n"/>
      <c r="P87">
        <f>IF($A87="","",IF($V87=1,Settings!$C$6,Settings!$C$7)*1)</f>
        <v/>
      </c>
      <c r="Q87" s="7">
        <f>IF($A87="","",P87*K87)</f>
        <v/>
      </c>
      <c r="R87" s="7">
        <f>IF($A87="","",K87-Q87)</f>
        <v/>
      </c>
      <c r="S87" s="7">
        <f>IF($A87="","",R87-F87)</f>
        <v/>
      </c>
      <c r="T87">
        <f>IF($A87="","",IF(COUNTIF($A$2:$A87,$A87)=1,1,0))</f>
        <v/>
      </c>
      <c r="U87">
        <f>IF($T87=1,SUMPRODUCT(--($W$2:$W$501&lt;$W87))+1,"")</f>
        <v/>
      </c>
      <c r="V87">
        <f>IF($A87="","",1)</f>
        <v/>
      </c>
      <c r="W87">
        <f>IF($T87=1,IFERROR(VALUE(MID($A87,2,20)),1000000000)+ROW()/100000,"")</f>
        <v/>
      </c>
    </row>
    <row r="88">
      <c r="F88" s="7">
        <f>IF($A88="","",E88*K88/100)</f>
        <v/>
      </c>
      <c r="J88" s="7" t="n"/>
      <c r="K88" s="7" t="n"/>
      <c r="L88" s="7" t="n"/>
      <c r="O88" s="11" t="n"/>
      <c r="P88">
        <f>IF($A88="","",IF($V88=1,Settings!$C$6,Settings!$C$7)*1)</f>
        <v/>
      </c>
      <c r="Q88" s="7">
        <f>IF($A88="","",P88*K88)</f>
        <v/>
      </c>
      <c r="R88" s="7">
        <f>IF($A88="","",K88-Q88)</f>
        <v/>
      </c>
      <c r="S88" s="7">
        <f>IF($A88="","",R88-F88)</f>
        <v/>
      </c>
      <c r="T88">
        <f>IF($A88="","",IF(COUNTIF($A$2:$A88,$A88)=1,1,0))</f>
        <v/>
      </c>
      <c r="U88">
        <f>IF($T88=1,SUMPRODUCT(--($W$2:$W$501&lt;$W88))+1,"")</f>
        <v/>
      </c>
      <c r="V88">
        <f>IF($A88="","",1)</f>
        <v/>
      </c>
      <c r="W88">
        <f>IF($T88=1,IFERROR(VALUE(MID($A88,2,20)),1000000000)+ROW()/100000,"")</f>
        <v/>
      </c>
    </row>
    <row r="89">
      <c r="F89" s="7">
        <f>IF($A89="","",E89*K89/100)</f>
        <v/>
      </c>
      <c r="J89" s="7" t="n"/>
      <c r="K89" s="7" t="n"/>
      <c r="L89" s="7" t="n"/>
      <c r="O89" s="11" t="n"/>
      <c r="P89">
        <f>IF($A89="","",IF($V89=1,Settings!$C$6,Settings!$C$7)*1)</f>
        <v/>
      </c>
      <c r="Q89" s="7">
        <f>IF($A89="","",P89*K89)</f>
        <v/>
      </c>
      <c r="R89" s="7">
        <f>IF($A89="","",K89-Q89)</f>
        <v/>
      </c>
      <c r="S89" s="7">
        <f>IF($A89="","",R89-F89)</f>
        <v/>
      </c>
      <c r="T89">
        <f>IF($A89="","",IF(COUNTIF($A$2:$A89,$A89)=1,1,0))</f>
        <v/>
      </c>
      <c r="U89">
        <f>IF($T89=1,SUMPRODUCT(--($W$2:$W$501&lt;$W89))+1,"")</f>
        <v/>
      </c>
      <c r="V89">
        <f>IF($A89="","",1)</f>
        <v/>
      </c>
      <c r="W89">
        <f>IF($T89=1,IFERROR(VALUE(MID($A89,2,20)),1000000000)+ROW()/100000,"")</f>
        <v/>
      </c>
    </row>
    <row r="90">
      <c r="F90" s="7">
        <f>IF($A90="","",E90*K90/100)</f>
        <v/>
      </c>
      <c r="J90" s="7" t="n"/>
      <c r="K90" s="7" t="n"/>
      <c r="L90" s="7" t="n"/>
      <c r="O90" s="11" t="n"/>
      <c r="P90">
        <f>IF($A90="","",IF($V90=1,Settings!$C$6,Settings!$C$7)*1)</f>
        <v/>
      </c>
      <c r="Q90" s="7">
        <f>IF($A90="","",P90*K90)</f>
        <v/>
      </c>
      <c r="R90" s="7">
        <f>IF($A90="","",K90-Q90)</f>
        <v/>
      </c>
      <c r="S90" s="7">
        <f>IF($A90="","",R90-F90)</f>
        <v/>
      </c>
      <c r="T90">
        <f>IF($A90="","",IF(COUNTIF($A$2:$A90,$A90)=1,1,0))</f>
        <v/>
      </c>
      <c r="U90">
        <f>IF($T90=1,SUMPRODUCT(--($W$2:$W$501&lt;$W90))+1,"")</f>
        <v/>
      </c>
      <c r="V90">
        <f>IF($A90="","",1)</f>
        <v/>
      </c>
      <c r="W90">
        <f>IF($T90=1,IFERROR(VALUE(MID($A90,2,20)),1000000000)+ROW()/100000,"")</f>
        <v/>
      </c>
    </row>
    <row r="91">
      <c r="F91" s="7">
        <f>IF($A91="","",E91*K91/100)</f>
        <v/>
      </c>
      <c r="J91" s="7" t="n"/>
      <c r="K91" s="7" t="n"/>
      <c r="L91" s="7" t="n"/>
      <c r="O91" s="11" t="n"/>
      <c r="P91">
        <f>IF($A91="","",IF($V91=1,Settings!$C$6,Settings!$C$7)*1)</f>
        <v/>
      </c>
      <c r="Q91" s="7">
        <f>IF($A91="","",P91*K91)</f>
        <v/>
      </c>
      <c r="R91" s="7">
        <f>IF($A91="","",K91-Q91)</f>
        <v/>
      </c>
      <c r="S91" s="7">
        <f>IF($A91="","",R91-F91)</f>
        <v/>
      </c>
      <c r="T91">
        <f>IF($A91="","",IF(COUNTIF($A$2:$A91,$A91)=1,1,0))</f>
        <v/>
      </c>
      <c r="U91">
        <f>IF($T91=1,SUMPRODUCT(--($W$2:$W$501&lt;$W91))+1,"")</f>
        <v/>
      </c>
      <c r="V91">
        <f>IF($A91="","",1)</f>
        <v/>
      </c>
      <c r="W91">
        <f>IF($T91=1,IFERROR(VALUE(MID($A91,2,20)),1000000000)+ROW()/100000,"")</f>
        <v/>
      </c>
    </row>
    <row r="92">
      <c r="F92" s="7">
        <f>IF($A92="","",E92*K92/100)</f>
        <v/>
      </c>
      <c r="J92" s="7" t="n"/>
      <c r="K92" s="7" t="n"/>
      <c r="L92" s="7" t="n"/>
      <c r="O92" s="11" t="n"/>
      <c r="P92">
        <f>IF($A92="","",IF($V92=1,Settings!$C$6,Settings!$C$7)*1)</f>
        <v/>
      </c>
      <c r="Q92" s="7">
        <f>IF($A92="","",P92*K92)</f>
        <v/>
      </c>
      <c r="R92" s="7">
        <f>IF($A92="","",K92-Q92)</f>
        <v/>
      </c>
      <c r="S92" s="7">
        <f>IF($A92="","",R92-F92)</f>
        <v/>
      </c>
      <c r="T92">
        <f>IF($A92="","",IF(COUNTIF($A$2:$A92,$A92)=1,1,0))</f>
        <v/>
      </c>
      <c r="U92">
        <f>IF($T92=1,SUMPRODUCT(--($W$2:$W$501&lt;$W92))+1,"")</f>
        <v/>
      </c>
      <c r="V92">
        <f>IF($A92="","",1)</f>
        <v/>
      </c>
      <c r="W92">
        <f>IF($T92=1,IFERROR(VALUE(MID($A92,2,20)),1000000000)+ROW()/100000,"")</f>
        <v/>
      </c>
    </row>
    <row r="93">
      <c r="F93" s="7">
        <f>IF($A93="","",E93*K93/100)</f>
        <v/>
      </c>
      <c r="J93" s="7" t="n"/>
      <c r="K93" s="7" t="n"/>
      <c r="L93" s="7" t="n"/>
      <c r="O93" s="11" t="n"/>
      <c r="P93">
        <f>IF($A93="","",IF($V93=1,Settings!$C$6,Settings!$C$7)*1)</f>
        <v/>
      </c>
      <c r="Q93" s="7">
        <f>IF($A93="","",P93*K93)</f>
        <v/>
      </c>
      <c r="R93" s="7">
        <f>IF($A93="","",K93-Q93)</f>
        <v/>
      </c>
      <c r="S93" s="7">
        <f>IF($A93="","",R93-F93)</f>
        <v/>
      </c>
      <c r="T93">
        <f>IF($A93="","",IF(COUNTIF($A$2:$A93,$A93)=1,1,0))</f>
        <v/>
      </c>
      <c r="U93">
        <f>IF($T93=1,SUMPRODUCT(--($W$2:$W$501&lt;$W93))+1,"")</f>
        <v/>
      </c>
      <c r="V93">
        <f>IF($A93="","",1)</f>
        <v/>
      </c>
      <c r="W93">
        <f>IF($T93=1,IFERROR(VALUE(MID($A93,2,20)),1000000000)+ROW()/100000,"")</f>
        <v/>
      </c>
    </row>
    <row r="94">
      <c r="F94" s="7">
        <f>IF($A94="","",E94*K94/100)</f>
        <v/>
      </c>
      <c r="J94" s="7" t="n"/>
      <c r="K94" s="7" t="n"/>
      <c r="L94" s="7" t="n"/>
      <c r="O94" s="11" t="n"/>
      <c r="P94">
        <f>IF($A94="","",IF($V94=1,Settings!$C$6,Settings!$C$7)*1)</f>
        <v/>
      </c>
      <c r="Q94" s="7">
        <f>IF($A94="","",P94*K94)</f>
        <v/>
      </c>
      <c r="R94" s="7">
        <f>IF($A94="","",K94-Q94)</f>
        <v/>
      </c>
      <c r="S94" s="7">
        <f>IF($A94="","",R94-F94)</f>
        <v/>
      </c>
      <c r="T94">
        <f>IF($A94="","",IF(COUNTIF($A$2:$A94,$A94)=1,1,0))</f>
        <v/>
      </c>
      <c r="U94">
        <f>IF($T94=1,SUMPRODUCT(--($W$2:$W$501&lt;$W94))+1,"")</f>
        <v/>
      </c>
      <c r="V94">
        <f>IF($A94="","",1)</f>
        <v/>
      </c>
      <c r="W94">
        <f>IF($T94=1,IFERROR(VALUE(MID($A94,2,20)),1000000000)+ROW()/100000,"")</f>
        <v/>
      </c>
    </row>
    <row r="95">
      <c r="F95" s="7">
        <f>IF($A95="","",E95*K95/100)</f>
        <v/>
      </c>
      <c r="J95" s="7" t="n"/>
      <c r="K95" s="7" t="n"/>
      <c r="L95" s="7" t="n"/>
      <c r="O95" s="11" t="n"/>
      <c r="P95">
        <f>IF($A95="","",IF($V95=1,Settings!$C$6,Settings!$C$7)*1)</f>
        <v/>
      </c>
      <c r="Q95" s="7">
        <f>IF($A95="","",P95*K95)</f>
        <v/>
      </c>
      <c r="R95" s="7">
        <f>IF($A95="","",K95-Q95)</f>
        <v/>
      </c>
      <c r="S95" s="7">
        <f>IF($A95="","",R95-F95)</f>
        <v/>
      </c>
      <c r="T95">
        <f>IF($A95="","",IF(COUNTIF($A$2:$A95,$A95)=1,1,0))</f>
        <v/>
      </c>
      <c r="U95">
        <f>IF($T95=1,SUMPRODUCT(--($W$2:$W$501&lt;$W95))+1,"")</f>
        <v/>
      </c>
      <c r="V95">
        <f>IF($A95="","",1)</f>
        <v/>
      </c>
      <c r="W95">
        <f>IF($T95=1,IFERROR(VALUE(MID($A95,2,20)),1000000000)+ROW()/100000,"")</f>
        <v/>
      </c>
    </row>
    <row r="96">
      <c r="F96" s="7">
        <f>IF($A96="","",E96*K96/100)</f>
        <v/>
      </c>
      <c r="J96" s="7" t="n"/>
      <c r="K96" s="7" t="n"/>
      <c r="L96" s="7" t="n"/>
      <c r="O96" s="11" t="n"/>
      <c r="P96">
        <f>IF($A96="","",IF($V96=1,Settings!$C$6,Settings!$C$7)*1)</f>
        <v/>
      </c>
      <c r="Q96" s="7">
        <f>IF($A96="","",P96*K96)</f>
        <v/>
      </c>
      <c r="R96" s="7">
        <f>IF($A96="","",K96-Q96)</f>
        <v/>
      </c>
      <c r="S96" s="7">
        <f>IF($A96="","",R96-F96)</f>
        <v/>
      </c>
      <c r="T96">
        <f>IF($A96="","",IF(COUNTIF($A$2:$A96,$A96)=1,1,0))</f>
        <v/>
      </c>
      <c r="U96">
        <f>IF($T96=1,SUMPRODUCT(--($W$2:$W$501&lt;$W96))+1,"")</f>
        <v/>
      </c>
      <c r="V96">
        <f>IF($A96="","",1)</f>
        <v/>
      </c>
      <c r="W96">
        <f>IF($T96=1,IFERROR(VALUE(MID($A96,2,20)),1000000000)+ROW()/100000,"")</f>
        <v/>
      </c>
    </row>
    <row r="97">
      <c r="F97" s="7">
        <f>IF($A97="","",E97*K97/100)</f>
        <v/>
      </c>
      <c r="J97" s="7" t="n"/>
      <c r="K97" s="7" t="n"/>
      <c r="L97" s="7" t="n"/>
      <c r="O97" s="11" t="n"/>
      <c r="P97">
        <f>IF($A97="","",IF($V97=1,Settings!$C$6,Settings!$C$7)*1)</f>
        <v/>
      </c>
      <c r="Q97" s="7">
        <f>IF($A97="","",P97*K97)</f>
        <v/>
      </c>
      <c r="R97" s="7">
        <f>IF($A97="","",K97-Q97)</f>
        <v/>
      </c>
      <c r="S97" s="7">
        <f>IF($A97="","",R97-F97)</f>
        <v/>
      </c>
      <c r="T97">
        <f>IF($A97="","",IF(COUNTIF($A$2:$A97,$A97)=1,1,0))</f>
        <v/>
      </c>
      <c r="U97">
        <f>IF($T97=1,SUMPRODUCT(--($W$2:$W$501&lt;$W97))+1,"")</f>
        <v/>
      </c>
      <c r="V97">
        <f>IF($A97="","",1)</f>
        <v/>
      </c>
      <c r="W97">
        <f>IF($T97=1,IFERROR(VALUE(MID($A97,2,20)),1000000000)+ROW()/100000,"")</f>
        <v/>
      </c>
    </row>
    <row r="98">
      <c r="F98" s="7">
        <f>IF($A98="","",E98*K98/100)</f>
        <v/>
      </c>
      <c r="J98" s="7" t="n"/>
      <c r="K98" s="7" t="n"/>
      <c r="L98" s="7" t="n"/>
      <c r="O98" s="11" t="n"/>
      <c r="P98">
        <f>IF($A98="","",IF($V98=1,Settings!$C$6,Settings!$C$7)*1)</f>
        <v/>
      </c>
      <c r="Q98" s="7">
        <f>IF($A98="","",P98*K98)</f>
        <v/>
      </c>
      <c r="R98" s="7">
        <f>IF($A98="","",K98-Q98)</f>
        <v/>
      </c>
      <c r="S98" s="7">
        <f>IF($A98="","",R98-F98)</f>
        <v/>
      </c>
      <c r="T98">
        <f>IF($A98="","",IF(COUNTIF($A$2:$A98,$A98)=1,1,0))</f>
        <v/>
      </c>
      <c r="U98">
        <f>IF($T98=1,SUMPRODUCT(--($W$2:$W$501&lt;$W98))+1,"")</f>
        <v/>
      </c>
      <c r="V98">
        <f>IF($A98="","",1)</f>
        <v/>
      </c>
      <c r="W98">
        <f>IF($T98=1,IFERROR(VALUE(MID($A98,2,20)),1000000000)+ROW()/100000,"")</f>
        <v/>
      </c>
    </row>
    <row r="99">
      <c r="F99" s="7">
        <f>IF($A99="","",E99*K99/100)</f>
        <v/>
      </c>
      <c r="J99" s="7" t="n"/>
      <c r="K99" s="7" t="n"/>
      <c r="L99" s="7" t="n"/>
      <c r="O99" s="11" t="n"/>
      <c r="P99">
        <f>IF($A99="","",IF($V99=1,Settings!$C$6,Settings!$C$7)*1)</f>
        <v/>
      </c>
      <c r="Q99" s="7">
        <f>IF($A99="","",P99*K99)</f>
        <v/>
      </c>
      <c r="R99" s="7">
        <f>IF($A99="","",K99-Q99)</f>
        <v/>
      </c>
      <c r="S99" s="7">
        <f>IF($A99="","",R99-F99)</f>
        <v/>
      </c>
      <c r="T99">
        <f>IF($A99="","",IF(COUNTIF($A$2:$A99,$A99)=1,1,0))</f>
        <v/>
      </c>
      <c r="U99">
        <f>IF($T99=1,SUMPRODUCT(--($W$2:$W$501&lt;$W99))+1,"")</f>
        <v/>
      </c>
      <c r="V99">
        <f>IF($A99="","",1)</f>
        <v/>
      </c>
      <c r="W99">
        <f>IF($T99=1,IFERROR(VALUE(MID($A99,2,20)),1000000000)+ROW()/100000,"")</f>
        <v/>
      </c>
    </row>
    <row r="100">
      <c r="F100" s="7">
        <f>IF($A100="","",E100*K100/100)</f>
        <v/>
      </c>
      <c r="J100" s="7" t="n"/>
      <c r="K100" s="7" t="n"/>
      <c r="L100" s="7" t="n"/>
      <c r="O100" s="11" t="n"/>
      <c r="P100">
        <f>IF($A100="","",IF($V100=1,Settings!$C$6,Settings!$C$7)*1)</f>
        <v/>
      </c>
      <c r="Q100" s="7">
        <f>IF($A100="","",P100*K100)</f>
        <v/>
      </c>
      <c r="R100" s="7">
        <f>IF($A100="","",K100-Q100)</f>
        <v/>
      </c>
      <c r="S100" s="7">
        <f>IF($A100="","",R100-F100)</f>
        <v/>
      </c>
      <c r="T100">
        <f>IF($A100="","",IF(COUNTIF($A$2:$A100,$A100)=1,1,0))</f>
        <v/>
      </c>
      <c r="U100">
        <f>IF($T100=1,SUMPRODUCT(--($W$2:$W$501&lt;$W100))+1,"")</f>
        <v/>
      </c>
      <c r="V100">
        <f>IF($A100="","",1)</f>
        <v/>
      </c>
      <c r="W100">
        <f>IF($T100=1,IFERROR(VALUE(MID($A100,2,20)),1000000000)+ROW()/100000,"")</f>
        <v/>
      </c>
    </row>
    <row r="101">
      <c r="F101" s="7">
        <f>IF($A101="","",E101*K101/100)</f>
        <v/>
      </c>
      <c r="J101" s="7" t="n"/>
      <c r="K101" s="7" t="n"/>
      <c r="L101" s="7" t="n"/>
      <c r="O101" s="11" t="n"/>
      <c r="P101">
        <f>IF($A101="","",IF($V101=1,Settings!$C$6,Settings!$C$7)*1)</f>
        <v/>
      </c>
      <c r="Q101" s="7">
        <f>IF($A101="","",P101*K101)</f>
        <v/>
      </c>
      <c r="R101" s="7">
        <f>IF($A101="","",K101-Q101)</f>
        <v/>
      </c>
      <c r="S101" s="7">
        <f>IF($A101="","",R101-F101)</f>
        <v/>
      </c>
      <c r="T101">
        <f>IF($A101="","",IF(COUNTIF($A$2:$A101,$A101)=1,1,0))</f>
        <v/>
      </c>
      <c r="U101">
        <f>IF($T101=1,SUMPRODUCT(--($W$2:$W$501&lt;$W101))+1,"")</f>
        <v/>
      </c>
      <c r="V101">
        <f>IF($A101="","",1)</f>
        <v/>
      </c>
      <c r="W101">
        <f>IF($T101=1,IFERROR(VALUE(MID($A101,2,20)),1000000000)+ROW()/100000,"")</f>
        <v/>
      </c>
    </row>
    <row r="102">
      <c r="F102" s="7">
        <f>IF($A102="","",E102*K102/100)</f>
        <v/>
      </c>
      <c r="J102" s="7" t="n"/>
      <c r="K102" s="7" t="n"/>
      <c r="L102" s="7" t="n"/>
      <c r="O102" s="11" t="n"/>
      <c r="P102">
        <f>IF($A102="","",IF($V102=1,Settings!$C$6,Settings!$C$7)*1)</f>
        <v/>
      </c>
      <c r="Q102" s="7">
        <f>IF($A102="","",P102*K102)</f>
        <v/>
      </c>
      <c r="R102" s="7">
        <f>IF($A102="","",K102-Q102)</f>
        <v/>
      </c>
      <c r="S102" s="7">
        <f>IF($A102="","",R102-F102)</f>
        <v/>
      </c>
      <c r="T102">
        <f>IF($A102="","",IF(COUNTIF($A$2:$A102,$A102)=1,1,0))</f>
        <v/>
      </c>
      <c r="U102">
        <f>IF($T102=1,SUMPRODUCT(--($W$2:$W$501&lt;$W102))+1,"")</f>
        <v/>
      </c>
      <c r="V102">
        <f>IF($A102="","",1)</f>
        <v/>
      </c>
      <c r="W102">
        <f>IF($T102=1,IFERROR(VALUE(MID($A102,2,20)),1000000000)+ROW()/100000,"")</f>
        <v/>
      </c>
    </row>
    <row r="103">
      <c r="F103" s="7">
        <f>IF($A103="","",E103*K103/100)</f>
        <v/>
      </c>
      <c r="J103" s="7" t="n"/>
      <c r="K103" s="7" t="n"/>
      <c r="L103" s="7" t="n"/>
      <c r="O103" s="11" t="n"/>
      <c r="P103">
        <f>IF($A103="","",IF($V103=1,Settings!$C$6,Settings!$C$7)*1)</f>
        <v/>
      </c>
      <c r="Q103" s="7">
        <f>IF($A103="","",P103*K103)</f>
        <v/>
      </c>
      <c r="R103" s="7">
        <f>IF($A103="","",K103-Q103)</f>
        <v/>
      </c>
      <c r="S103" s="7">
        <f>IF($A103="","",R103-F103)</f>
        <v/>
      </c>
      <c r="T103">
        <f>IF($A103="","",IF(COUNTIF($A$2:$A103,$A103)=1,1,0))</f>
        <v/>
      </c>
      <c r="U103">
        <f>IF($T103=1,SUMPRODUCT(--($W$2:$W$501&lt;$W103))+1,"")</f>
        <v/>
      </c>
      <c r="V103">
        <f>IF($A103="","",1)</f>
        <v/>
      </c>
      <c r="W103">
        <f>IF($T103=1,IFERROR(VALUE(MID($A103,2,20)),1000000000)+ROW()/100000,"")</f>
        <v/>
      </c>
    </row>
    <row r="104">
      <c r="F104" s="7">
        <f>IF($A104="","",E104*K104/100)</f>
        <v/>
      </c>
      <c r="J104" s="7" t="n"/>
      <c r="K104" s="7" t="n"/>
      <c r="L104" s="7" t="n"/>
      <c r="O104" s="11" t="n"/>
      <c r="P104">
        <f>IF($A104="","",IF($V104=1,Settings!$C$6,Settings!$C$7)*1)</f>
        <v/>
      </c>
      <c r="Q104" s="7">
        <f>IF($A104="","",P104*K104)</f>
        <v/>
      </c>
      <c r="R104" s="7">
        <f>IF($A104="","",K104-Q104)</f>
        <v/>
      </c>
      <c r="S104" s="7">
        <f>IF($A104="","",R104-F104)</f>
        <v/>
      </c>
      <c r="T104">
        <f>IF($A104="","",IF(COUNTIF($A$2:$A104,$A104)=1,1,0))</f>
        <v/>
      </c>
      <c r="U104">
        <f>IF($T104=1,SUMPRODUCT(--($W$2:$W$501&lt;$W104))+1,"")</f>
        <v/>
      </c>
      <c r="V104">
        <f>IF($A104="","",1)</f>
        <v/>
      </c>
      <c r="W104">
        <f>IF($T104=1,IFERROR(VALUE(MID($A104,2,20)),1000000000)+ROW()/100000,"")</f>
        <v/>
      </c>
    </row>
    <row r="105">
      <c r="F105" s="7">
        <f>IF($A105="","",E105*K105/100)</f>
        <v/>
      </c>
      <c r="J105" s="7" t="n"/>
      <c r="K105" s="7" t="n"/>
      <c r="L105" s="7" t="n"/>
      <c r="O105" s="11" t="n"/>
      <c r="P105">
        <f>IF($A105="","",IF($V105=1,Settings!$C$6,Settings!$C$7)*1)</f>
        <v/>
      </c>
      <c r="Q105" s="7">
        <f>IF($A105="","",P105*K105)</f>
        <v/>
      </c>
      <c r="R105" s="7">
        <f>IF($A105="","",K105-Q105)</f>
        <v/>
      </c>
      <c r="S105" s="7">
        <f>IF($A105="","",R105-F105)</f>
        <v/>
      </c>
      <c r="T105">
        <f>IF($A105="","",IF(COUNTIF($A$2:$A105,$A105)=1,1,0))</f>
        <v/>
      </c>
      <c r="U105">
        <f>IF($T105=1,SUMPRODUCT(--($W$2:$W$501&lt;$W105))+1,"")</f>
        <v/>
      </c>
      <c r="V105">
        <f>IF($A105="","",1)</f>
        <v/>
      </c>
      <c r="W105">
        <f>IF($T105=1,IFERROR(VALUE(MID($A105,2,20)),1000000000)+ROW()/100000,"")</f>
        <v/>
      </c>
    </row>
    <row r="106">
      <c r="F106" s="7">
        <f>IF($A106="","",E106*K106/100)</f>
        <v/>
      </c>
      <c r="J106" s="7" t="n"/>
      <c r="K106" s="7" t="n"/>
      <c r="L106" s="7" t="n"/>
      <c r="O106" s="11" t="n"/>
      <c r="P106">
        <f>IF($A106="","",IF($V106=1,Settings!$C$6,Settings!$C$7)*1)</f>
        <v/>
      </c>
      <c r="Q106" s="7">
        <f>IF($A106="","",P106*K106)</f>
        <v/>
      </c>
      <c r="R106" s="7">
        <f>IF($A106="","",K106-Q106)</f>
        <v/>
      </c>
      <c r="S106" s="7">
        <f>IF($A106="","",R106-F106)</f>
        <v/>
      </c>
      <c r="T106">
        <f>IF($A106="","",IF(COUNTIF($A$2:$A106,$A106)=1,1,0))</f>
        <v/>
      </c>
      <c r="U106">
        <f>IF($T106=1,SUMPRODUCT(--($W$2:$W$501&lt;$W106))+1,"")</f>
        <v/>
      </c>
      <c r="V106">
        <f>IF($A106="","",1)</f>
        <v/>
      </c>
      <c r="W106">
        <f>IF($T106=1,IFERROR(VALUE(MID($A106,2,20)),1000000000)+ROW()/100000,"")</f>
        <v/>
      </c>
    </row>
    <row r="107">
      <c r="F107" s="7">
        <f>IF($A107="","",E107*K107/100)</f>
        <v/>
      </c>
      <c r="J107" s="7" t="n"/>
      <c r="K107" s="7" t="n"/>
      <c r="L107" s="7" t="n"/>
      <c r="O107" s="11" t="n"/>
      <c r="P107">
        <f>IF($A107="","",IF($V107=1,Settings!$C$6,Settings!$C$7)*1)</f>
        <v/>
      </c>
      <c r="Q107" s="7">
        <f>IF($A107="","",P107*K107)</f>
        <v/>
      </c>
      <c r="R107" s="7">
        <f>IF($A107="","",K107-Q107)</f>
        <v/>
      </c>
      <c r="S107" s="7">
        <f>IF($A107="","",R107-F107)</f>
        <v/>
      </c>
      <c r="T107">
        <f>IF($A107="","",IF(COUNTIF($A$2:$A107,$A107)=1,1,0))</f>
        <v/>
      </c>
      <c r="U107">
        <f>IF($T107=1,SUMPRODUCT(--($W$2:$W$501&lt;$W107))+1,"")</f>
        <v/>
      </c>
      <c r="V107">
        <f>IF($A107="","",1)</f>
        <v/>
      </c>
      <c r="W107">
        <f>IF($T107=1,IFERROR(VALUE(MID($A107,2,20)),1000000000)+ROW()/100000,"")</f>
        <v/>
      </c>
    </row>
    <row r="108">
      <c r="F108" s="7">
        <f>IF($A108="","",E108*K108/100)</f>
        <v/>
      </c>
      <c r="J108" s="7" t="n"/>
      <c r="K108" s="7" t="n"/>
      <c r="L108" s="7" t="n"/>
      <c r="O108" s="11" t="n"/>
      <c r="P108">
        <f>IF($A108="","",IF($V108=1,Settings!$C$6,Settings!$C$7)*1)</f>
        <v/>
      </c>
      <c r="Q108" s="7">
        <f>IF($A108="","",P108*K108)</f>
        <v/>
      </c>
      <c r="R108" s="7">
        <f>IF($A108="","",K108-Q108)</f>
        <v/>
      </c>
      <c r="S108" s="7">
        <f>IF($A108="","",R108-F108)</f>
        <v/>
      </c>
      <c r="T108">
        <f>IF($A108="","",IF(COUNTIF($A$2:$A108,$A108)=1,1,0))</f>
        <v/>
      </c>
      <c r="U108">
        <f>IF($T108=1,SUMPRODUCT(--($W$2:$W$501&lt;$W108))+1,"")</f>
        <v/>
      </c>
      <c r="V108">
        <f>IF($A108="","",1)</f>
        <v/>
      </c>
      <c r="W108">
        <f>IF($T108=1,IFERROR(VALUE(MID($A108,2,20)),1000000000)+ROW()/100000,"")</f>
        <v/>
      </c>
    </row>
    <row r="109">
      <c r="F109" s="7">
        <f>IF($A109="","",E109*K109/100)</f>
        <v/>
      </c>
      <c r="J109" s="7" t="n"/>
      <c r="K109" s="7" t="n"/>
      <c r="L109" s="7" t="n"/>
      <c r="O109" s="11" t="n"/>
      <c r="P109">
        <f>IF($A109="","",IF($V109=1,Settings!$C$6,Settings!$C$7)*1)</f>
        <v/>
      </c>
      <c r="Q109" s="7">
        <f>IF($A109="","",P109*K109)</f>
        <v/>
      </c>
      <c r="R109" s="7">
        <f>IF($A109="","",K109-Q109)</f>
        <v/>
      </c>
      <c r="S109" s="7">
        <f>IF($A109="","",R109-F109)</f>
        <v/>
      </c>
      <c r="T109">
        <f>IF($A109="","",IF(COUNTIF($A$2:$A109,$A109)=1,1,0))</f>
        <v/>
      </c>
      <c r="U109">
        <f>IF($T109=1,SUMPRODUCT(--($W$2:$W$501&lt;$W109))+1,"")</f>
        <v/>
      </c>
      <c r="V109">
        <f>IF($A109="","",1)</f>
        <v/>
      </c>
      <c r="W109">
        <f>IF($T109=1,IFERROR(VALUE(MID($A109,2,20)),1000000000)+ROW()/100000,"")</f>
        <v/>
      </c>
    </row>
    <row r="110">
      <c r="F110" s="7">
        <f>IF($A110="","",E110*K110/100)</f>
        <v/>
      </c>
      <c r="J110" s="7" t="n"/>
      <c r="K110" s="7" t="n"/>
      <c r="L110" s="7" t="n"/>
      <c r="O110" s="11" t="n"/>
      <c r="P110">
        <f>IF($A110="","",IF($V110=1,Settings!$C$6,Settings!$C$7)*1)</f>
        <v/>
      </c>
      <c r="Q110" s="7">
        <f>IF($A110="","",P110*K110)</f>
        <v/>
      </c>
      <c r="R110" s="7">
        <f>IF($A110="","",K110-Q110)</f>
        <v/>
      </c>
      <c r="S110" s="7">
        <f>IF($A110="","",R110-F110)</f>
        <v/>
      </c>
      <c r="T110">
        <f>IF($A110="","",IF(COUNTIF($A$2:$A110,$A110)=1,1,0))</f>
        <v/>
      </c>
      <c r="U110">
        <f>IF($T110=1,SUMPRODUCT(--($W$2:$W$501&lt;$W110))+1,"")</f>
        <v/>
      </c>
      <c r="V110">
        <f>IF($A110="","",1)</f>
        <v/>
      </c>
      <c r="W110">
        <f>IF($T110=1,IFERROR(VALUE(MID($A110,2,20)),1000000000)+ROW()/100000,"")</f>
        <v/>
      </c>
    </row>
    <row r="111">
      <c r="F111" s="7">
        <f>IF($A111="","",E111*K111/100)</f>
        <v/>
      </c>
      <c r="J111" s="7" t="n"/>
      <c r="K111" s="7" t="n"/>
      <c r="L111" s="7" t="n"/>
      <c r="O111" s="11" t="n"/>
      <c r="P111">
        <f>IF($A111="","",IF($V111=1,Settings!$C$6,Settings!$C$7)*1)</f>
        <v/>
      </c>
      <c r="Q111" s="7">
        <f>IF($A111="","",P111*K111)</f>
        <v/>
      </c>
      <c r="R111" s="7">
        <f>IF($A111="","",K111-Q111)</f>
        <v/>
      </c>
      <c r="S111" s="7">
        <f>IF($A111="","",R111-F111)</f>
        <v/>
      </c>
      <c r="T111">
        <f>IF($A111="","",IF(COUNTIF($A$2:$A111,$A111)=1,1,0))</f>
        <v/>
      </c>
      <c r="U111">
        <f>IF($T111=1,SUMPRODUCT(--($W$2:$W$501&lt;$W111))+1,"")</f>
        <v/>
      </c>
      <c r="V111">
        <f>IF($A111="","",1)</f>
        <v/>
      </c>
      <c r="W111">
        <f>IF($T111=1,IFERROR(VALUE(MID($A111,2,20)),1000000000)+ROW()/100000,"")</f>
        <v/>
      </c>
    </row>
    <row r="112">
      <c r="F112" s="7">
        <f>IF($A112="","",E112*K112/100)</f>
        <v/>
      </c>
      <c r="J112" s="7" t="n"/>
      <c r="K112" s="7" t="n"/>
      <c r="L112" s="7" t="n"/>
      <c r="O112" s="11" t="n"/>
      <c r="P112">
        <f>IF($A112="","",IF($V112=1,Settings!$C$6,Settings!$C$7)*1)</f>
        <v/>
      </c>
      <c r="Q112" s="7">
        <f>IF($A112="","",P112*K112)</f>
        <v/>
      </c>
      <c r="R112" s="7">
        <f>IF($A112="","",K112-Q112)</f>
        <v/>
      </c>
      <c r="S112" s="7">
        <f>IF($A112="","",R112-F112)</f>
        <v/>
      </c>
      <c r="T112">
        <f>IF($A112="","",IF(COUNTIF($A$2:$A112,$A112)=1,1,0))</f>
        <v/>
      </c>
      <c r="U112">
        <f>IF($T112=1,SUMPRODUCT(--($W$2:$W$501&lt;$W112))+1,"")</f>
        <v/>
      </c>
      <c r="V112">
        <f>IF($A112="","",1)</f>
        <v/>
      </c>
      <c r="W112">
        <f>IF($T112=1,IFERROR(VALUE(MID($A112,2,20)),1000000000)+ROW()/100000,"")</f>
        <v/>
      </c>
    </row>
    <row r="113">
      <c r="F113" s="7">
        <f>IF($A113="","",E113*K113/100)</f>
        <v/>
      </c>
      <c r="J113" s="7" t="n"/>
      <c r="K113" s="7" t="n"/>
      <c r="L113" s="7" t="n"/>
      <c r="O113" s="11" t="n"/>
      <c r="P113">
        <f>IF($A113="","",IF($V113=1,Settings!$C$6,Settings!$C$7)*1)</f>
        <v/>
      </c>
      <c r="Q113" s="7">
        <f>IF($A113="","",P113*K113)</f>
        <v/>
      </c>
      <c r="R113" s="7">
        <f>IF($A113="","",K113-Q113)</f>
        <v/>
      </c>
      <c r="S113" s="7">
        <f>IF($A113="","",R113-F113)</f>
        <v/>
      </c>
      <c r="T113">
        <f>IF($A113="","",IF(COUNTIF($A$2:$A113,$A113)=1,1,0))</f>
        <v/>
      </c>
      <c r="U113">
        <f>IF($T113=1,SUMPRODUCT(--($W$2:$W$501&lt;$W113))+1,"")</f>
        <v/>
      </c>
      <c r="V113">
        <f>IF($A113="","",1)</f>
        <v/>
      </c>
      <c r="W113">
        <f>IF($T113=1,IFERROR(VALUE(MID($A113,2,20)),1000000000)+ROW()/100000,"")</f>
        <v/>
      </c>
    </row>
    <row r="114">
      <c r="F114" s="7">
        <f>IF($A114="","",E114*K114/100)</f>
        <v/>
      </c>
      <c r="J114" s="7" t="n"/>
      <c r="K114" s="7" t="n"/>
      <c r="L114" s="7" t="n"/>
      <c r="O114" s="11" t="n"/>
      <c r="P114">
        <f>IF($A114="","",IF($V114=1,Settings!$C$6,Settings!$C$7)*1)</f>
        <v/>
      </c>
      <c r="Q114" s="7">
        <f>IF($A114="","",P114*K114)</f>
        <v/>
      </c>
      <c r="R114" s="7">
        <f>IF($A114="","",K114-Q114)</f>
        <v/>
      </c>
      <c r="S114" s="7">
        <f>IF($A114="","",R114-F114)</f>
        <v/>
      </c>
      <c r="T114">
        <f>IF($A114="","",IF(COUNTIF($A$2:$A114,$A114)=1,1,0))</f>
        <v/>
      </c>
      <c r="U114">
        <f>IF($T114=1,SUMPRODUCT(--($W$2:$W$501&lt;$W114))+1,"")</f>
        <v/>
      </c>
      <c r="V114">
        <f>IF($A114="","",1)</f>
        <v/>
      </c>
      <c r="W114">
        <f>IF($T114=1,IFERROR(VALUE(MID($A114,2,20)),1000000000)+ROW()/100000,"")</f>
        <v/>
      </c>
    </row>
    <row r="115">
      <c r="F115" s="7">
        <f>IF($A115="","",E115*K115/100)</f>
        <v/>
      </c>
      <c r="J115" s="7" t="n"/>
      <c r="K115" s="7" t="n"/>
      <c r="L115" s="7" t="n"/>
      <c r="O115" s="11" t="n"/>
      <c r="P115">
        <f>IF($A115="","",IF($V115=1,Settings!$C$6,Settings!$C$7)*1)</f>
        <v/>
      </c>
      <c r="Q115" s="7">
        <f>IF($A115="","",P115*K115)</f>
        <v/>
      </c>
      <c r="R115" s="7">
        <f>IF($A115="","",K115-Q115)</f>
        <v/>
      </c>
      <c r="S115" s="7">
        <f>IF($A115="","",R115-F115)</f>
        <v/>
      </c>
      <c r="T115">
        <f>IF($A115="","",IF(COUNTIF($A$2:$A115,$A115)=1,1,0))</f>
        <v/>
      </c>
      <c r="U115">
        <f>IF($T115=1,SUMPRODUCT(--($W$2:$W$501&lt;$W115))+1,"")</f>
        <v/>
      </c>
      <c r="V115">
        <f>IF($A115="","",1)</f>
        <v/>
      </c>
      <c r="W115">
        <f>IF($T115=1,IFERROR(VALUE(MID($A115,2,20)),1000000000)+ROW()/100000,"")</f>
        <v/>
      </c>
    </row>
    <row r="116">
      <c r="F116" s="7">
        <f>IF($A116="","",E116*K116/100)</f>
        <v/>
      </c>
      <c r="J116" s="7" t="n"/>
      <c r="K116" s="7" t="n"/>
      <c r="L116" s="7" t="n"/>
      <c r="O116" s="11" t="n"/>
      <c r="P116">
        <f>IF($A116="","",IF($V116=1,Settings!$C$6,Settings!$C$7)*1)</f>
        <v/>
      </c>
      <c r="Q116" s="7">
        <f>IF($A116="","",P116*K116)</f>
        <v/>
      </c>
      <c r="R116" s="7">
        <f>IF($A116="","",K116-Q116)</f>
        <v/>
      </c>
      <c r="S116" s="7">
        <f>IF($A116="","",R116-F116)</f>
        <v/>
      </c>
      <c r="T116">
        <f>IF($A116="","",IF(COUNTIF($A$2:$A116,$A116)=1,1,0))</f>
        <v/>
      </c>
      <c r="U116">
        <f>IF($T116=1,SUMPRODUCT(--($W$2:$W$501&lt;$W116))+1,"")</f>
        <v/>
      </c>
      <c r="V116">
        <f>IF($A116="","",1)</f>
        <v/>
      </c>
      <c r="W116">
        <f>IF($T116=1,IFERROR(VALUE(MID($A116,2,20)),1000000000)+ROW()/100000,"")</f>
        <v/>
      </c>
    </row>
    <row r="117">
      <c r="F117" s="7">
        <f>IF($A117="","",E117*K117/100)</f>
        <v/>
      </c>
      <c r="J117" s="7" t="n"/>
      <c r="K117" s="7" t="n"/>
      <c r="L117" s="7" t="n"/>
      <c r="O117" s="11" t="n"/>
      <c r="P117">
        <f>IF($A117="","",IF($V117=1,Settings!$C$6,Settings!$C$7)*1)</f>
        <v/>
      </c>
      <c r="Q117" s="7">
        <f>IF($A117="","",P117*K117)</f>
        <v/>
      </c>
      <c r="R117" s="7">
        <f>IF($A117="","",K117-Q117)</f>
        <v/>
      </c>
      <c r="S117" s="7">
        <f>IF($A117="","",R117-F117)</f>
        <v/>
      </c>
      <c r="T117">
        <f>IF($A117="","",IF(COUNTIF($A$2:$A117,$A117)=1,1,0))</f>
        <v/>
      </c>
      <c r="U117">
        <f>IF($T117=1,SUMPRODUCT(--($W$2:$W$501&lt;$W117))+1,"")</f>
        <v/>
      </c>
      <c r="V117">
        <f>IF($A117="","",1)</f>
        <v/>
      </c>
      <c r="W117">
        <f>IF($T117=1,IFERROR(VALUE(MID($A117,2,20)),1000000000)+ROW()/100000,"")</f>
        <v/>
      </c>
    </row>
    <row r="118">
      <c r="F118" s="7">
        <f>IF($A118="","",E118*K118/100)</f>
        <v/>
      </c>
      <c r="J118" s="7" t="n"/>
      <c r="K118" s="7" t="n"/>
      <c r="L118" s="7" t="n"/>
      <c r="O118" s="11" t="n"/>
      <c r="P118">
        <f>IF($A118="","",IF($V118=1,Settings!$C$6,Settings!$C$7)*1)</f>
        <v/>
      </c>
      <c r="Q118" s="7">
        <f>IF($A118="","",P118*K118)</f>
        <v/>
      </c>
      <c r="R118" s="7">
        <f>IF($A118="","",K118-Q118)</f>
        <v/>
      </c>
      <c r="S118" s="7">
        <f>IF($A118="","",R118-F118)</f>
        <v/>
      </c>
      <c r="T118">
        <f>IF($A118="","",IF(COUNTIF($A$2:$A118,$A118)=1,1,0))</f>
        <v/>
      </c>
      <c r="U118">
        <f>IF($T118=1,SUMPRODUCT(--($W$2:$W$501&lt;$W118))+1,"")</f>
        <v/>
      </c>
      <c r="V118">
        <f>IF($A118="","",1)</f>
        <v/>
      </c>
      <c r="W118">
        <f>IF($T118=1,IFERROR(VALUE(MID($A118,2,20)),1000000000)+ROW()/100000,"")</f>
        <v/>
      </c>
    </row>
    <row r="119">
      <c r="F119" s="7">
        <f>IF($A119="","",E119*K119/100)</f>
        <v/>
      </c>
      <c r="J119" s="7" t="n"/>
      <c r="K119" s="7" t="n"/>
      <c r="L119" s="7" t="n"/>
      <c r="O119" s="11" t="n"/>
      <c r="P119">
        <f>IF($A119="","",IF($V119=1,Settings!$C$6,Settings!$C$7)*1)</f>
        <v/>
      </c>
      <c r="Q119" s="7">
        <f>IF($A119="","",P119*K119)</f>
        <v/>
      </c>
      <c r="R119" s="7">
        <f>IF($A119="","",K119-Q119)</f>
        <v/>
      </c>
      <c r="S119" s="7">
        <f>IF($A119="","",R119-F119)</f>
        <v/>
      </c>
      <c r="T119">
        <f>IF($A119="","",IF(COUNTIF($A$2:$A119,$A119)=1,1,0))</f>
        <v/>
      </c>
      <c r="U119">
        <f>IF($T119=1,SUMPRODUCT(--($W$2:$W$501&lt;$W119))+1,"")</f>
        <v/>
      </c>
      <c r="V119">
        <f>IF($A119="","",1)</f>
        <v/>
      </c>
      <c r="W119">
        <f>IF($T119=1,IFERROR(VALUE(MID($A119,2,20)),1000000000)+ROW()/100000,"")</f>
        <v/>
      </c>
    </row>
    <row r="120">
      <c r="F120" s="7">
        <f>IF($A120="","",E120*K120/100)</f>
        <v/>
      </c>
      <c r="J120" s="7" t="n"/>
      <c r="K120" s="7" t="n"/>
      <c r="L120" s="7" t="n"/>
      <c r="O120" s="11" t="n"/>
      <c r="P120">
        <f>IF($A120="","",IF($V120=1,Settings!$C$6,Settings!$C$7)*1)</f>
        <v/>
      </c>
      <c r="Q120" s="7">
        <f>IF($A120="","",P120*K120)</f>
        <v/>
      </c>
      <c r="R120" s="7">
        <f>IF($A120="","",K120-Q120)</f>
        <v/>
      </c>
      <c r="S120" s="7">
        <f>IF($A120="","",R120-F120)</f>
        <v/>
      </c>
      <c r="T120">
        <f>IF($A120="","",IF(COUNTIF($A$2:$A120,$A120)=1,1,0))</f>
        <v/>
      </c>
      <c r="U120">
        <f>IF($T120=1,SUMPRODUCT(--($W$2:$W$501&lt;$W120))+1,"")</f>
        <v/>
      </c>
      <c r="V120">
        <f>IF($A120="","",1)</f>
        <v/>
      </c>
      <c r="W120">
        <f>IF($T120=1,IFERROR(VALUE(MID($A120,2,20)),1000000000)+ROW()/100000,"")</f>
        <v/>
      </c>
    </row>
    <row r="121">
      <c r="F121" s="7">
        <f>IF($A121="","",E121*K121/100)</f>
        <v/>
      </c>
      <c r="J121" s="7" t="n"/>
      <c r="K121" s="7" t="n"/>
      <c r="L121" s="7" t="n"/>
      <c r="O121" s="11" t="n"/>
      <c r="P121">
        <f>IF($A121="","",IF($V121=1,Settings!$C$6,Settings!$C$7)*1)</f>
        <v/>
      </c>
      <c r="Q121" s="7">
        <f>IF($A121="","",P121*K121)</f>
        <v/>
      </c>
      <c r="R121" s="7">
        <f>IF($A121="","",K121-Q121)</f>
        <v/>
      </c>
      <c r="S121" s="7">
        <f>IF($A121="","",R121-F121)</f>
        <v/>
      </c>
      <c r="T121">
        <f>IF($A121="","",IF(COUNTIF($A$2:$A121,$A121)=1,1,0))</f>
        <v/>
      </c>
      <c r="U121">
        <f>IF($T121=1,SUMPRODUCT(--($W$2:$W$501&lt;$W121))+1,"")</f>
        <v/>
      </c>
      <c r="V121">
        <f>IF($A121="","",1)</f>
        <v/>
      </c>
      <c r="W121">
        <f>IF($T121=1,IFERROR(VALUE(MID($A121,2,20)),1000000000)+ROW()/100000,"")</f>
        <v/>
      </c>
    </row>
    <row r="122">
      <c r="F122" s="7">
        <f>IF($A122="","",E122*K122/100)</f>
        <v/>
      </c>
      <c r="J122" s="7" t="n"/>
      <c r="K122" s="7" t="n"/>
      <c r="L122" s="7" t="n"/>
      <c r="O122" s="11" t="n"/>
      <c r="P122">
        <f>IF($A122="","",IF($V122=1,Settings!$C$6,Settings!$C$7)*1)</f>
        <v/>
      </c>
      <c r="Q122" s="7">
        <f>IF($A122="","",P122*K122)</f>
        <v/>
      </c>
      <c r="R122" s="7">
        <f>IF($A122="","",K122-Q122)</f>
        <v/>
      </c>
      <c r="S122" s="7">
        <f>IF($A122="","",R122-F122)</f>
        <v/>
      </c>
      <c r="T122">
        <f>IF($A122="","",IF(COUNTIF($A$2:$A122,$A122)=1,1,0))</f>
        <v/>
      </c>
      <c r="U122">
        <f>IF($T122=1,SUMPRODUCT(--($W$2:$W$501&lt;$W122))+1,"")</f>
        <v/>
      </c>
      <c r="V122">
        <f>IF($A122="","",1)</f>
        <v/>
      </c>
      <c r="W122">
        <f>IF($T122=1,IFERROR(VALUE(MID($A122,2,20)),1000000000)+ROW()/100000,"")</f>
        <v/>
      </c>
    </row>
    <row r="123">
      <c r="F123" s="7">
        <f>IF($A123="","",E123*K123/100)</f>
        <v/>
      </c>
      <c r="J123" s="7" t="n"/>
      <c r="K123" s="7" t="n"/>
      <c r="L123" s="7" t="n"/>
      <c r="O123" s="11" t="n"/>
      <c r="P123">
        <f>IF($A123="","",IF($V123=1,Settings!$C$6,Settings!$C$7)*1)</f>
        <v/>
      </c>
      <c r="Q123" s="7">
        <f>IF($A123="","",P123*K123)</f>
        <v/>
      </c>
      <c r="R123" s="7">
        <f>IF($A123="","",K123-Q123)</f>
        <v/>
      </c>
      <c r="S123" s="7">
        <f>IF($A123="","",R123-F123)</f>
        <v/>
      </c>
      <c r="T123">
        <f>IF($A123="","",IF(COUNTIF($A$2:$A123,$A123)=1,1,0))</f>
        <v/>
      </c>
      <c r="U123">
        <f>IF($T123=1,SUMPRODUCT(--($W$2:$W$501&lt;$W123))+1,"")</f>
        <v/>
      </c>
      <c r="V123">
        <f>IF($A123="","",1)</f>
        <v/>
      </c>
      <c r="W123">
        <f>IF($T123=1,IFERROR(VALUE(MID($A123,2,20)),1000000000)+ROW()/100000,"")</f>
        <v/>
      </c>
    </row>
    <row r="124">
      <c r="F124" s="7">
        <f>IF($A124="","",E124*K124/100)</f>
        <v/>
      </c>
      <c r="J124" s="7" t="n"/>
      <c r="K124" s="7" t="n"/>
      <c r="L124" s="7" t="n"/>
      <c r="O124" s="11" t="n"/>
      <c r="P124">
        <f>IF($A124="","",IF($V124=1,Settings!$C$6,Settings!$C$7)*1)</f>
        <v/>
      </c>
      <c r="Q124" s="7">
        <f>IF($A124="","",P124*K124)</f>
        <v/>
      </c>
      <c r="R124" s="7">
        <f>IF($A124="","",K124-Q124)</f>
        <v/>
      </c>
      <c r="S124" s="7">
        <f>IF($A124="","",R124-F124)</f>
        <v/>
      </c>
      <c r="T124">
        <f>IF($A124="","",IF(COUNTIF($A$2:$A124,$A124)=1,1,0))</f>
        <v/>
      </c>
      <c r="U124">
        <f>IF($T124=1,SUMPRODUCT(--($W$2:$W$501&lt;$W124))+1,"")</f>
        <v/>
      </c>
      <c r="V124">
        <f>IF($A124="","",1)</f>
        <v/>
      </c>
      <c r="W124">
        <f>IF($T124=1,IFERROR(VALUE(MID($A124,2,20)),1000000000)+ROW()/100000,"")</f>
        <v/>
      </c>
    </row>
    <row r="125">
      <c r="F125" s="7">
        <f>IF($A125="","",E125*K125/100)</f>
        <v/>
      </c>
      <c r="J125" s="7" t="n"/>
      <c r="K125" s="7" t="n"/>
      <c r="L125" s="7" t="n"/>
      <c r="O125" s="11" t="n"/>
      <c r="P125">
        <f>IF($A125="","",IF($V125=1,Settings!$C$6,Settings!$C$7)*1)</f>
        <v/>
      </c>
      <c r="Q125" s="7">
        <f>IF($A125="","",P125*K125)</f>
        <v/>
      </c>
      <c r="R125" s="7">
        <f>IF($A125="","",K125-Q125)</f>
        <v/>
      </c>
      <c r="S125" s="7">
        <f>IF($A125="","",R125-F125)</f>
        <v/>
      </c>
      <c r="T125">
        <f>IF($A125="","",IF(COUNTIF($A$2:$A125,$A125)=1,1,0))</f>
        <v/>
      </c>
      <c r="U125">
        <f>IF($T125=1,SUMPRODUCT(--($W$2:$W$501&lt;$W125))+1,"")</f>
        <v/>
      </c>
      <c r="V125">
        <f>IF($A125="","",1)</f>
        <v/>
      </c>
      <c r="W125">
        <f>IF($T125=1,IFERROR(VALUE(MID($A125,2,20)),1000000000)+ROW()/100000,"")</f>
        <v/>
      </c>
    </row>
    <row r="126">
      <c r="F126" s="7">
        <f>IF($A126="","",E126*K126/100)</f>
        <v/>
      </c>
      <c r="J126" s="7" t="n"/>
      <c r="K126" s="7" t="n"/>
      <c r="L126" s="7" t="n"/>
      <c r="O126" s="11" t="n"/>
      <c r="P126">
        <f>IF($A126="","",IF($V126=1,Settings!$C$6,Settings!$C$7)*1)</f>
        <v/>
      </c>
      <c r="Q126" s="7">
        <f>IF($A126="","",P126*K126)</f>
        <v/>
      </c>
      <c r="R126" s="7">
        <f>IF($A126="","",K126-Q126)</f>
        <v/>
      </c>
      <c r="S126" s="7">
        <f>IF($A126="","",R126-F126)</f>
        <v/>
      </c>
      <c r="T126">
        <f>IF($A126="","",IF(COUNTIF($A$2:$A126,$A126)=1,1,0))</f>
        <v/>
      </c>
      <c r="U126">
        <f>IF($T126=1,SUMPRODUCT(--($W$2:$W$501&lt;$W126))+1,"")</f>
        <v/>
      </c>
      <c r="V126">
        <f>IF($A126="","",1)</f>
        <v/>
      </c>
      <c r="W126">
        <f>IF($T126=1,IFERROR(VALUE(MID($A126,2,20)),1000000000)+ROW()/100000,"")</f>
        <v/>
      </c>
    </row>
    <row r="127">
      <c r="F127" s="7">
        <f>IF($A127="","",E127*K127/100)</f>
        <v/>
      </c>
      <c r="J127" s="7" t="n"/>
      <c r="K127" s="7" t="n"/>
      <c r="L127" s="7" t="n"/>
      <c r="O127" s="11" t="n"/>
      <c r="P127">
        <f>IF($A127="","",IF($V127=1,Settings!$C$6,Settings!$C$7)*1)</f>
        <v/>
      </c>
      <c r="Q127" s="7">
        <f>IF($A127="","",P127*K127)</f>
        <v/>
      </c>
      <c r="R127" s="7">
        <f>IF($A127="","",K127-Q127)</f>
        <v/>
      </c>
      <c r="S127" s="7">
        <f>IF($A127="","",R127-F127)</f>
        <v/>
      </c>
      <c r="T127">
        <f>IF($A127="","",IF(COUNTIF($A$2:$A127,$A127)=1,1,0))</f>
        <v/>
      </c>
      <c r="U127">
        <f>IF($T127=1,SUMPRODUCT(--($W$2:$W$501&lt;$W127))+1,"")</f>
        <v/>
      </c>
      <c r="V127">
        <f>IF($A127="","",1)</f>
        <v/>
      </c>
      <c r="W127">
        <f>IF($T127=1,IFERROR(VALUE(MID($A127,2,20)),1000000000)+ROW()/100000,"")</f>
        <v/>
      </c>
    </row>
    <row r="128">
      <c r="F128" s="7">
        <f>IF($A128="","",E128*K128/100)</f>
        <v/>
      </c>
      <c r="J128" s="7" t="n"/>
      <c r="K128" s="7" t="n"/>
      <c r="L128" s="7" t="n"/>
      <c r="O128" s="11" t="n"/>
      <c r="P128">
        <f>IF($A128="","",IF($V128=1,Settings!$C$6,Settings!$C$7)*1)</f>
        <v/>
      </c>
      <c r="Q128" s="7">
        <f>IF($A128="","",P128*K128)</f>
        <v/>
      </c>
      <c r="R128" s="7">
        <f>IF($A128="","",K128-Q128)</f>
        <v/>
      </c>
      <c r="S128" s="7">
        <f>IF($A128="","",R128-F128)</f>
        <v/>
      </c>
      <c r="T128">
        <f>IF($A128="","",IF(COUNTIF($A$2:$A128,$A128)=1,1,0))</f>
        <v/>
      </c>
      <c r="U128">
        <f>IF($T128=1,SUMPRODUCT(--($W$2:$W$501&lt;$W128))+1,"")</f>
        <v/>
      </c>
      <c r="V128">
        <f>IF($A128="","",1)</f>
        <v/>
      </c>
      <c r="W128">
        <f>IF($T128=1,IFERROR(VALUE(MID($A128,2,20)),1000000000)+ROW()/100000,"")</f>
        <v/>
      </c>
    </row>
    <row r="129">
      <c r="F129" s="7">
        <f>IF($A129="","",E129*K129/100)</f>
        <v/>
      </c>
      <c r="J129" s="7" t="n"/>
      <c r="K129" s="7" t="n"/>
      <c r="L129" s="7" t="n"/>
      <c r="O129" s="11" t="n"/>
      <c r="P129">
        <f>IF($A129="","",IF($V129=1,Settings!$C$6,Settings!$C$7)*1)</f>
        <v/>
      </c>
      <c r="Q129" s="7">
        <f>IF($A129="","",P129*K129)</f>
        <v/>
      </c>
      <c r="R129" s="7">
        <f>IF($A129="","",K129-Q129)</f>
        <v/>
      </c>
      <c r="S129" s="7">
        <f>IF($A129="","",R129-F129)</f>
        <v/>
      </c>
      <c r="T129">
        <f>IF($A129="","",IF(COUNTIF($A$2:$A129,$A129)=1,1,0))</f>
        <v/>
      </c>
      <c r="U129">
        <f>IF($T129=1,SUMPRODUCT(--($W$2:$W$501&lt;$W129))+1,"")</f>
        <v/>
      </c>
      <c r="V129">
        <f>IF($A129="","",1)</f>
        <v/>
      </c>
      <c r="W129">
        <f>IF($T129=1,IFERROR(VALUE(MID($A129,2,20)),1000000000)+ROW()/100000,"")</f>
        <v/>
      </c>
    </row>
    <row r="130">
      <c r="F130" s="7">
        <f>IF($A130="","",E130*K130/100)</f>
        <v/>
      </c>
      <c r="J130" s="7" t="n"/>
      <c r="K130" s="7" t="n"/>
      <c r="L130" s="7" t="n"/>
      <c r="O130" s="11" t="n"/>
      <c r="P130">
        <f>IF($A130="","",IF($V130=1,Settings!$C$6,Settings!$C$7)*1)</f>
        <v/>
      </c>
      <c r="Q130" s="7">
        <f>IF($A130="","",P130*K130)</f>
        <v/>
      </c>
      <c r="R130" s="7">
        <f>IF($A130="","",K130-Q130)</f>
        <v/>
      </c>
      <c r="S130" s="7">
        <f>IF($A130="","",R130-F130)</f>
        <v/>
      </c>
      <c r="T130">
        <f>IF($A130="","",IF(COUNTIF($A$2:$A130,$A130)=1,1,0))</f>
        <v/>
      </c>
      <c r="U130">
        <f>IF($T130=1,SUMPRODUCT(--($W$2:$W$501&lt;$W130))+1,"")</f>
        <v/>
      </c>
      <c r="V130">
        <f>IF($A130="","",1)</f>
        <v/>
      </c>
      <c r="W130">
        <f>IF($T130=1,IFERROR(VALUE(MID($A130,2,20)),1000000000)+ROW()/100000,"")</f>
        <v/>
      </c>
    </row>
    <row r="131">
      <c r="F131" s="7">
        <f>IF($A131="","",E131*K131/100)</f>
        <v/>
      </c>
      <c r="J131" s="7" t="n"/>
      <c r="K131" s="7" t="n"/>
      <c r="L131" s="7" t="n"/>
      <c r="O131" s="11" t="n"/>
      <c r="P131">
        <f>IF($A131="","",IF($V131=1,Settings!$C$6,Settings!$C$7)*1)</f>
        <v/>
      </c>
      <c r="Q131" s="7">
        <f>IF($A131="","",P131*K131)</f>
        <v/>
      </c>
      <c r="R131" s="7">
        <f>IF($A131="","",K131-Q131)</f>
        <v/>
      </c>
      <c r="S131" s="7">
        <f>IF($A131="","",R131-F131)</f>
        <v/>
      </c>
      <c r="T131">
        <f>IF($A131="","",IF(COUNTIF($A$2:$A131,$A131)=1,1,0))</f>
        <v/>
      </c>
      <c r="U131">
        <f>IF($T131=1,SUMPRODUCT(--($W$2:$W$501&lt;$W131))+1,"")</f>
        <v/>
      </c>
      <c r="V131">
        <f>IF($A131="","",1)</f>
        <v/>
      </c>
      <c r="W131">
        <f>IF($T131=1,IFERROR(VALUE(MID($A131,2,20)),1000000000)+ROW()/100000,"")</f>
        <v/>
      </c>
    </row>
    <row r="132">
      <c r="F132" s="7">
        <f>IF($A132="","",E132*K132/100)</f>
        <v/>
      </c>
      <c r="J132" s="7" t="n"/>
      <c r="K132" s="7" t="n"/>
      <c r="L132" s="7" t="n"/>
      <c r="O132" s="11" t="n"/>
      <c r="P132">
        <f>IF($A132="","",IF($V132=1,Settings!$C$6,Settings!$C$7)*1)</f>
        <v/>
      </c>
      <c r="Q132" s="7">
        <f>IF($A132="","",P132*K132)</f>
        <v/>
      </c>
      <c r="R132" s="7">
        <f>IF($A132="","",K132-Q132)</f>
        <v/>
      </c>
      <c r="S132" s="7">
        <f>IF($A132="","",R132-F132)</f>
        <v/>
      </c>
      <c r="T132">
        <f>IF($A132="","",IF(COUNTIF($A$2:$A132,$A132)=1,1,0))</f>
        <v/>
      </c>
      <c r="U132">
        <f>IF($T132=1,SUMPRODUCT(--($W$2:$W$501&lt;$W132))+1,"")</f>
        <v/>
      </c>
      <c r="V132">
        <f>IF($A132="","",1)</f>
        <v/>
      </c>
      <c r="W132">
        <f>IF($T132=1,IFERROR(VALUE(MID($A132,2,20)),1000000000)+ROW()/100000,"")</f>
        <v/>
      </c>
    </row>
    <row r="133">
      <c r="F133" s="7">
        <f>IF($A133="","",E133*K133/100)</f>
        <v/>
      </c>
      <c r="J133" s="7" t="n"/>
      <c r="K133" s="7" t="n"/>
      <c r="L133" s="7" t="n"/>
      <c r="O133" s="11" t="n"/>
      <c r="P133">
        <f>IF($A133="","",IF($V133=1,Settings!$C$6,Settings!$C$7)*1)</f>
        <v/>
      </c>
      <c r="Q133" s="7">
        <f>IF($A133="","",P133*K133)</f>
        <v/>
      </c>
      <c r="R133" s="7">
        <f>IF($A133="","",K133-Q133)</f>
        <v/>
      </c>
      <c r="S133" s="7">
        <f>IF($A133="","",R133-F133)</f>
        <v/>
      </c>
      <c r="T133">
        <f>IF($A133="","",IF(COUNTIF($A$2:$A133,$A133)=1,1,0))</f>
        <v/>
      </c>
      <c r="U133">
        <f>IF($T133=1,SUMPRODUCT(--($W$2:$W$501&lt;$W133))+1,"")</f>
        <v/>
      </c>
      <c r="V133">
        <f>IF($A133="","",1)</f>
        <v/>
      </c>
      <c r="W133">
        <f>IF($T133=1,IFERROR(VALUE(MID($A133,2,20)),1000000000)+ROW()/100000,"")</f>
        <v/>
      </c>
    </row>
    <row r="134">
      <c r="F134" s="7">
        <f>IF($A134="","",E134*K134/100)</f>
        <v/>
      </c>
      <c r="J134" s="7" t="n"/>
      <c r="K134" s="7" t="n"/>
      <c r="L134" s="7" t="n"/>
      <c r="O134" s="11" t="n"/>
      <c r="P134">
        <f>IF($A134="","",IF($V134=1,Settings!$C$6,Settings!$C$7)*1)</f>
        <v/>
      </c>
      <c r="Q134" s="7">
        <f>IF($A134="","",P134*K134)</f>
        <v/>
      </c>
      <c r="R134" s="7">
        <f>IF($A134="","",K134-Q134)</f>
        <v/>
      </c>
      <c r="S134" s="7">
        <f>IF($A134="","",R134-F134)</f>
        <v/>
      </c>
      <c r="T134">
        <f>IF($A134="","",IF(COUNTIF($A$2:$A134,$A134)=1,1,0))</f>
        <v/>
      </c>
      <c r="U134">
        <f>IF($T134=1,SUMPRODUCT(--($W$2:$W$501&lt;$W134))+1,"")</f>
        <v/>
      </c>
      <c r="V134">
        <f>IF($A134="","",1)</f>
        <v/>
      </c>
      <c r="W134">
        <f>IF($T134=1,IFERROR(VALUE(MID($A134,2,20)),1000000000)+ROW()/100000,"")</f>
        <v/>
      </c>
    </row>
    <row r="135">
      <c r="F135" s="7">
        <f>IF($A135="","",E135*K135/100)</f>
        <v/>
      </c>
      <c r="J135" s="7" t="n"/>
      <c r="K135" s="7" t="n"/>
      <c r="L135" s="7" t="n"/>
      <c r="O135" s="11" t="n"/>
      <c r="P135">
        <f>IF($A135="","",IF($V135=1,Settings!$C$6,Settings!$C$7)*1)</f>
        <v/>
      </c>
      <c r="Q135" s="7">
        <f>IF($A135="","",P135*K135)</f>
        <v/>
      </c>
      <c r="R135" s="7">
        <f>IF($A135="","",K135-Q135)</f>
        <v/>
      </c>
      <c r="S135" s="7">
        <f>IF($A135="","",R135-F135)</f>
        <v/>
      </c>
      <c r="T135">
        <f>IF($A135="","",IF(COUNTIF($A$2:$A135,$A135)=1,1,0))</f>
        <v/>
      </c>
      <c r="U135">
        <f>IF($T135=1,SUMPRODUCT(--($W$2:$W$501&lt;$W135))+1,"")</f>
        <v/>
      </c>
      <c r="V135">
        <f>IF($A135="","",1)</f>
        <v/>
      </c>
      <c r="W135">
        <f>IF($T135=1,IFERROR(VALUE(MID($A135,2,20)),1000000000)+ROW()/100000,"")</f>
        <v/>
      </c>
    </row>
    <row r="136">
      <c r="F136" s="7">
        <f>IF($A136="","",E136*K136/100)</f>
        <v/>
      </c>
      <c r="J136" s="7" t="n"/>
      <c r="K136" s="7" t="n"/>
      <c r="L136" s="7" t="n"/>
      <c r="O136" s="11" t="n"/>
      <c r="P136">
        <f>IF($A136="","",IF($V136=1,Settings!$C$6,Settings!$C$7)*1)</f>
        <v/>
      </c>
      <c r="Q136" s="7">
        <f>IF($A136="","",P136*K136)</f>
        <v/>
      </c>
      <c r="R136" s="7">
        <f>IF($A136="","",K136-Q136)</f>
        <v/>
      </c>
      <c r="S136" s="7">
        <f>IF($A136="","",R136-F136)</f>
        <v/>
      </c>
      <c r="T136">
        <f>IF($A136="","",IF(COUNTIF($A$2:$A136,$A136)=1,1,0))</f>
        <v/>
      </c>
      <c r="U136">
        <f>IF($T136=1,SUMPRODUCT(--($W$2:$W$501&lt;$W136))+1,"")</f>
        <v/>
      </c>
      <c r="V136">
        <f>IF($A136="","",1)</f>
        <v/>
      </c>
      <c r="W136">
        <f>IF($T136=1,IFERROR(VALUE(MID($A136,2,20)),1000000000)+ROW()/100000,"")</f>
        <v/>
      </c>
    </row>
    <row r="137">
      <c r="F137" s="7">
        <f>IF($A137="","",E137*K137/100)</f>
        <v/>
      </c>
      <c r="J137" s="7" t="n"/>
      <c r="K137" s="7" t="n"/>
      <c r="L137" s="7" t="n"/>
      <c r="O137" s="11" t="n"/>
      <c r="P137">
        <f>IF($A137="","",IF($V137=1,Settings!$C$6,Settings!$C$7)*1)</f>
        <v/>
      </c>
      <c r="Q137" s="7">
        <f>IF($A137="","",P137*K137)</f>
        <v/>
      </c>
      <c r="R137" s="7">
        <f>IF($A137="","",K137-Q137)</f>
        <v/>
      </c>
      <c r="S137" s="7">
        <f>IF($A137="","",R137-F137)</f>
        <v/>
      </c>
      <c r="T137">
        <f>IF($A137="","",IF(COUNTIF($A$2:$A137,$A137)=1,1,0))</f>
        <v/>
      </c>
      <c r="U137">
        <f>IF($T137=1,SUMPRODUCT(--($W$2:$W$501&lt;$W137))+1,"")</f>
        <v/>
      </c>
      <c r="V137">
        <f>IF($A137="","",1)</f>
        <v/>
      </c>
      <c r="W137">
        <f>IF($T137=1,IFERROR(VALUE(MID($A137,2,20)),1000000000)+ROW()/100000,"")</f>
        <v/>
      </c>
    </row>
    <row r="138">
      <c r="F138" s="7">
        <f>IF($A138="","",E138*K138/100)</f>
        <v/>
      </c>
      <c r="J138" s="7" t="n"/>
      <c r="K138" s="7" t="n"/>
      <c r="L138" s="7" t="n"/>
      <c r="O138" s="11" t="n"/>
      <c r="P138">
        <f>IF($A138="","",IF($V138=1,Settings!$C$6,Settings!$C$7)*1)</f>
        <v/>
      </c>
      <c r="Q138" s="7">
        <f>IF($A138="","",P138*K138)</f>
        <v/>
      </c>
      <c r="R138" s="7">
        <f>IF($A138="","",K138-Q138)</f>
        <v/>
      </c>
      <c r="S138" s="7">
        <f>IF($A138="","",R138-F138)</f>
        <v/>
      </c>
      <c r="T138">
        <f>IF($A138="","",IF(COUNTIF($A$2:$A138,$A138)=1,1,0))</f>
        <v/>
      </c>
      <c r="U138">
        <f>IF($T138=1,SUMPRODUCT(--($W$2:$W$501&lt;$W138))+1,"")</f>
        <v/>
      </c>
      <c r="V138">
        <f>IF($A138="","",1)</f>
        <v/>
      </c>
      <c r="W138">
        <f>IF($T138=1,IFERROR(VALUE(MID($A138,2,20)),1000000000)+ROW()/100000,"")</f>
        <v/>
      </c>
    </row>
    <row r="139">
      <c r="F139" s="7">
        <f>IF($A139="","",E139*K139/100)</f>
        <v/>
      </c>
      <c r="J139" s="7" t="n"/>
      <c r="K139" s="7" t="n"/>
      <c r="L139" s="7" t="n"/>
      <c r="O139" s="11" t="n"/>
      <c r="P139">
        <f>IF($A139="","",IF($V139=1,Settings!$C$6,Settings!$C$7)*1)</f>
        <v/>
      </c>
      <c r="Q139" s="7">
        <f>IF($A139="","",P139*K139)</f>
        <v/>
      </c>
      <c r="R139" s="7">
        <f>IF($A139="","",K139-Q139)</f>
        <v/>
      </c>
      <c r="S139" s="7">
        <f>IF($A139="","",R139-F139)</f>
        <v/>
      </c>
      <c r="T139">
        <f>IF($A139="","",IF(COUNTIF($A$2:$A139,$A139)=1,1,0))</f>
        <v/>
      </c>
      <c r="U139">
        <f>IF($T139=1,SUMPRODUCT(--($W$2:$W$501&lt;$W139))+1,"")</f>
        <v/>
      </c>
      <c r="V139">
        <f>IF($A139="","",1)</f>
        <v/>
      </c>
      <c r="W139">
        <f>IF($T139=1,IFERROR(VALUE(MID($A139,2,20)),1000000000)+ROW()/100000,"")</f>
        <v/>
      </c>
    </row>
    <row r="140">
      <c r="F140" s="7">
        <f>IF($A140="","",E140*K140/100)</f>
        <v/>
      </c>
      <c r="J140" s="7" t="n"/>
      <c r="K140" s="7" t="n"/>
      <c r="L140" s="7" t="n"/>
      <c r="O140" s="11" t="n"/>
      <c r="P140">
        <f>IF($A140="","",IF($V140=1,Settings!$C$6,Settings!$C$7)*1)</f>
        <v/>
      </c>
      <c r="Q140" s="7">
        <f>IF($A140="","",P140*K140)</f>
        <v/>
      </c>
      <c r="R140" s="7">
        <f>IF($A140="","",K140-Q140)</f>
        <v/>
      </c>
      <c r="S140" s="7">
        <f>IF($A140="","",R140-F140)</f>
        <v/>
      </c>
      <c r="T140">
        <f>IF($A140="","",IF(COUNTIF($A$2:$A140,$A140)=1,1,0))</f>
        <v/>
      </c>
      <c r="U140">
        <f>IF($T140=1,SUMPRODUCT(--($W$2:$W$501&lt;$W140))+1,"")</f>
        <v/>
      </c>
      <c r="V140">
        <f>IF($A140="","",1)</f>
        <v/>
      </c>
      <c r="W140">
        <f>IF($T140=1,IFERROR(VALUE(MID($A140,2,20)),1000000000)+ROW()/100000,"")</f>
        <v/>
      </c>
    </row>
    <row r="141">
      <c r="F141" s="7">
        <f>IF($A141="","",E141*K141/100)</f>
        <v/>
      </c>
      <c r="J141" s="7" t="n"/>
      <c r="K141" s="7" t="n"/>
      <c r="L141" s="7" t="n"/>
      <c r="O141" s="11" t="n"/>
      <c r="P141">
        <f>IF($A141="","",IF($V141=1,Settings!$C$6,Settings!$C$7)*1)</f>
        <v/>
      </c>
      <c r="Q141" s="7">
        <f>IF($A141="","",P141*K141)</f>
        <v/>
      </c>
      <c r="R141" s="7">
        <f>IF($A141="","",K141-Q141)</f>
        <v/>
      </c>
      <c r="S141" s="7">
        <f>IF($A141="","",R141-F141)</f>
        <v/>
      </c>
      <c r="T141">
        <f>IF($A141="","",IF(COUNTIF($A$2:$A141,$A141)=1,1,0))</f>
        <v/>
      </c>
      <c r="U141">
        <f>IF($T141=1,SUMPRODUCT(--($W$2:$W$501&lt;$W141))+1,"")</f>
        <v/>
      </c>
      <c r="V141">
        <f>IF($A141="","",1)</f>
        <v/>
      </c>
      <c r="W141">
        <f>IF($T141=1,IFERROR(VALUE(MID($A141,2,20)),1000000000)+ROW()/100000,"")</f>
        <v/>
      </c>
    </row>
    <row r="142">
      <c r="F142" s="7">
        <f>IF($A142="","",E142*K142/100)</f>
        <v/>
      </c>
      <c r="J142" s="7" t="n"/>
      <c r="K142" s="7" t="n"/>
      <c r="L142" s="7" t="n"/>
      <c r="O142" s="11" t="n"/>
      <c r="P142">
        <f>IF($A142="","",IF($V142=1,Settings!$C$6,Settings!$C$7)*1)</f>
        <v/>
      </c>
      <c r="Q142" s="7">
        <f>IF($A142="","",P142*K142)</f>
        <v/>
      </c>
      <c r="R142" s="7">
        <f>IF($A142="","",K142-Q142)</f>
        <v/>
      </c>
      <c r="S142" s="7">
        <f>IF($A142="","",R142-F142)</f>
        <v/>
      </c>
      <c r="T142">
        <f>IF($A142="","",IF(COUNTIF($A$2:$A142,$A142)=1,1,0))</f>
        <v/>
      </c>
      <c r="U142">
        <f>IF($T142=1,SUMPRODUCT(--($W$2:$W$501&lt;$W142))+1,"")</f>
        <v/>
      </c>
      <c r="V142">
        <f>IF($A142="","",1)</f>
        <v/>
      </c>
      <c r="W142">
        <f>IF($T142=1,IFERROR(VALUE(MID($A142,2,20)),1000000000)+ROW()/100000,"")</f>
        <v/>
      </c>
    </row>
    <row r="143">
      <c r="F143" s="7">
        <f>IF($A143="","",E143*K143/100)</f>
        <v/>
      </c>
      <c r="J143" s="7" t="n"/>
      <c r="K143" s="7" t="n"/>
      <c r="L143" s="7" t="n"/>
      <c r="O143" s="11" t="n"/>
      <c r="P143">
        <f>IF($A143="","",IF($V143=1,Settings!$C$6,Settings!$C$7)*1)</f>
        <v/>
      </c>
      <c r="Q143" s="7">
        <f>IF($A143="","",P143*K143)</f>
        <v/>
      </c>
      <c r="R143" s="7">
        <f>IF($A143="","",K143-Q143)</f>
        <v/>
      </c>
      <c r="S143" s="7">
        <f>IF($A143="","",R143-F143)</f>
        <v/>
      </c>
      <c r="T143">
        <f>IF($A143="","",IF(COUNTIF($A$2:$A143,$A143)=1,1,0))</f>
        <v/>
      </c>
      <c r="U143">
        <f>IF($T143=1,SUMPRODUCT(--($W$2:$W$501&lt;$W143))+1,"")</f>
        <v/>
      </c>
      <c r="V143">
        <f>IF($A143="","",1)</f>
        <v/>
      </c>
      <c r="W143">
        <f>IF($T143=1,IFERROR(VALUE(MID($A143,2,20)),1000000000)+ROW()/100000,"")</f>
        <v/>
      </c>
    </row>
    <row r="144">
      <c r="F144" s="7">
        <f>IF($A144="","",E144*K144/100)</f>
        <v/>
      </c>
      <c r="J144" s="7" t="n"/>
      <c r="K144" s="7" t="n"/>
      <c r="L144" s="7" t="n"/>
      <c r="O144" s="11" t="n"/>
      <c r="P144">
        <f>IF($A144="","",IF($V144=1,Settings!$C$6,Settings!$C$7)*1)</f>
        <v/>
      </c>
      <c r="Q144" s="7">
        <f>IF($A144="","",P144*K144)</f>
        <v/>
      </c>
      <c r="R144" s="7">
        <f>IF($A144="","",K144-Q144)</f>
        <v/>
      </c>
      <c r="S144" s="7">
        <f>IF($A144="","",R144-F144)</f>
        <v/>
      </c>
      <c r="T144">
        <f>IF($A144="","",IF(COUNTIF($A$2:$A144,$A144)=1,1,0))</f>
        <v/>
      </c>
      <c r="U144">
        <f>IF($T144=1,SUMPRODUCT(--($W$2:$W$501&lt;$W144))+1,"")</f>
        <v/>
      </c>
      <c r="V144">
        <f>IF($A144="","",1)</f>
        <v/>
      </c>
      <c r="W144">
        <f>IF($T144=1,IFERROR(VALUE(MID($A144,2,20)),1000000000)+ROW()/100000,"")</f>
        <v/>
      </c>
    </row>
    <row r="145">
      <c r="F145" s="7">
        <f>IF($A145="","",E145*K145/100)</f>
        <v/>
      </c>
      <c r="J145" s="7" t="n"/>
      <c r="K145" s="7" t="n"/>
      <c r="L145" s="7" t="n"/>
      <c r="O145" s="11" t="n"/>
      <c r="P145">
        <f>IF($A145="","",IF($V145=1,Settings!$C$6,Settings!$C$7)*1)</f>
        <v/>
      </c>
      <c r="Q145" s="7">
        <f>IF($A145="","",P145*K145)</f>
        <v/>
      </c>
      <c r="R145" s="7">
        <f>IF($A145="","",K145-Q145)</f>
        <v/>
      </c>
      <c r="S145" s="7">
        <f>IF($A145="","",R145-F145)</f>
        <v/>
      </c>
      <c r="T145">
        <f>IF($A145="","",IF(COUNTIF($A$2:$A145,$A145)=1,1,0))</f>
        <v/>
      </c>
      <c r="U145">
        <f>IF($T145=1,SUMPRODUCT(--($W$2:$W$501&lt;$W145))+1,"")</f>
        <v/>
      </c>
      <c r="V145">
        <f>IF($A145="","",1)</f>
        <v/>
      </c>
      <c r="W145">
        <f>IF($T145=1,IFERROR(VALUE(MID($A145,2,20)),1000000000)+ROW()/100000,"")</f>
        <v/>
      </c>
    </row>
    <row r="146">
      <c r="F146" s="7">
        <f>IF($A146="","",E146*K146/100)</f>
        <v/>
      </c>
      <c r="J146" s="7" t="n"/>
      <c r="K146" s="7" t="n"/>
      <c r="L146" s="7" t="n"/>
      <c r="O146" s="11" t="n"/>
      <c r="P146">
        <f>IF($A146="","",IF($V146=1,Settings!$C$6,Settings!$C$7)*1)</f>
        <v/>
      </c>
      <c r="Q146" s="7">
        <f>IF($A146="","",P146*K146)</f>
        <v/>
      </c>
      <c r="R146" s="7">
        <f>IF($A146="","",K146-Q146)</f>
        <v/>
      </c>
      <c r="S146" s="7">
        <f>IF($A146="","",R146-F146)</f>
        <v/>
      </c>
      <c r="T146">
        <f>IF($A146="","",IF(COUNTIF($A$2:$A146,$A146)=1,1,0))</f>
        <v/>
      </c>
      <c r="U146">
        <f>IF($T146=1,SUMPRODUCT(--($W$2:$W$501&lt;$W146))+1,"")</f>
        <v/>
      </c>
      <c r="V146">
        <f>IF($A146="","",1)</f>
        <v/>
      </c>
      <c r="W146">
        <f>IF($T146=1,IFERROR(VALUE(MID($A146,2,20)),1000000000)+ROW()/100000,"")</f>
        <v/>
      </c>
    </row>
    <row r="147">
      <c r="F147" s="7">
        <f>IF($A147="","",E147*K147/100)</f>
        <v/>
      </c>
      <c r="J147" s="7" t="n"/>
      <c r="K147" s="7" t="n"/>
      <c r="L147" s="7" t="n"/>
      <c r="O147" s="11" t="n"/>
      <c r="P147">
        <f>IF($A147="","",IF($V147=1,Settings!$C$6,Settings!$C$7)*1)</f>
        <v/>
      </c>
      <c r="Q147" s="7">
        <f>IF($A147="","",P147*K147)</f>
        <v/>
      </c>
      <c r="R147" s="7">
        <f>IF($A147="","",K147-Q147)</f>
        <v/>
      </c>
      <c r="S147" s="7">
        <f>IF($A147="","",R147-F147)</f>
        <v/>
      </c>
      <c r="T147">
        <f>IF($A147="","",IF(COUNTIF($A$2:$A147,$A147)=1,1,0))</f>
        <v/>
      </c>
      <c r="U147">
        <f>IF($T147=1,SUMPRODUCT(--($W$2:$W$501&lt;$W147))+1,"")</f>
        <v/>
      </c>
      <c r="V147">
        <f>IF($A147="","",1)</f>
        <v/>
      </c>
      <c r="W147">
        <f>IF($T147=1,IFERROR(VALUE(MID($A147,2,20)),1000000000)+ROW()/100000,"")</f>
        <v/>
      </c>
    </row>
    <row r="148">
      <c r="F148" s="7">
        <f>IF($A148="","",E148*K148/100)</f>
        <v/>
      </c>
      <c r="J148" s="7" t="n"/>
      <c r="K148" s="7" t="n"/>
      <c r="L148" s="7" t="n"/>
      <c r="O148" s="11" t="n"/>
      <c r="P148">
        <f>IF($A148="","",IF($V148=1,Settings!$C$6,Settings!$C$7)*1)</f>
        <v/>
      </c>
      <c r="Q148" s="7">
        <f>IF($A148="","",P148*K148)</f>
        <v/>
      </c>
      <c r="R148" s="7">
        <f>IF($A148="","",K148-Q148)</f>
        <v/>
      </c>
      <c r="S148" s="7">
        <f>IF($A148="","",R148-F148)</f>
        <v/>
      </c>
      <c r="T148">
        <f>IF($A148="","",IF(COUNTIF($A$2:$A148,$A148)=1,1,0))</f>
        <v/>
      </c>
      <c r="U148">
        <f>IF($T148=1,SUMPRODUCT(--($W$2:$W$501&lt;$W148))+1,"")</f>
        <v/>
      </c>
      <c r="V148">
        <f>IF($A148="","",1)</f>
        <v/>
      </c>
      <c r="W148">
        <f>IF($T148=1,IFERROR(VALUE(MID($A148,2,20)),1000000000)+ROW()/100000,"")</f>
        <v/>
      </c>
    </row>
    <row r="149">
      <c r="F149" s="7">
        <f>IF($A149="","",E149*K149/100)</f>
        <v/>
      </c>
      <c r="J149" s="7" t="n"/>
      <c r="K149" s="7" t="n"/>
      <c r="L149" s="7" t="n"/>
      <c r="O149" s="11" t="n"/>
      <c r="P149">
        <f>IF($A149="","",IF($V149=1,Settings!$C$6,Settings!$C$7)*1)</f>
        <v/>
      </c>
      <c r="Q149" s="7">
        <f>IF($A149="","",P149*K149)</f>
        <v/>
      </c>
      <c r="R149" s="7">
        <f>IF($A149="","",K149-Q149)</f>
        <v/>
      </c>
      <c r="S149" s="7">
        <f>IF($A149="","",R149-F149)</f>
        <v/>
      </c>
      <c r="T149">
        <f>IF($A149="","",IF(COUNTIF($A$2:$A149,$A149)=1,1,0))</f>
        <v/>
      </c>
      <c r="U149">
        <f>IF($T149=1,SUMPRODUCT(--($W$2:$W$501&lt;$W149))+1,"")</f>
        <v/>
      </c>
      <c r="V149">
        <f>IF($A149="","",1)</f>
        <v/>
      </c>
      <c r="W149">
        <f>IF($T149=1,IFERROR(VALUE(MID($A149,2,20)),1000000000)+ROW()/100000,"")</f>
        <v/>
      </c>
    </row>
    <row r="150">
      <c r="F150" s="7">
        <f>IF($A150="","",E150*K150/100)</f>
        <v/>
      </c>
      <c r="J150" s="7" t="n"/>
      <c r="K150" s="7" t="n"/>
      <c r="L150" s="7" t="n"/>
      <c r="O150" s="11" t="n"/>
      <c r="P150">
        <f>IF($A150="","",IF($V150=1,Settings!$C$6,Settings!$C$7)*1)</f>
        <v/>
      </c>
      <c r="Q150" s="7">
        <f>IF($A150="","",P150*K150)</f>
        <v/>
      </c>
      <c r="R150" s="7">
        <f>IF($A150="","",K150-Q150)</f>
        <v/>
      </c>
      <c r="S150" s="7">
        <f>IF($A150="","",R150-F150)</f>
        <v/>
      </c>
      <c r="T150">
        <f>IF($A150="","",IF(COUNTIF($A$2:$A150,$A150)=1,1,0))</f>
        <v/>
      </c>
      <c r="U150">
        <f>IF($T150=1,SUMPRODUCT(--($W$2:$W$501&lt;$W150))+1,"")</f>
        <v/>
      </c>
      <c r="V150">
        <f>IF($A150="","",1)</f>
        <v/>
      </c>
      <c r="W150">
        <f>IF($T150=1,IFERROR(VALUE(MID($A150,2,20)),1000000000)+ROW()/100000,"")</f>
        <v/>
      </c>
    </row>
    <row r="151">
      <c r="F151" s="7">
        <f>IF($A151="","",E151*K151/100)</f>
        <v/>
      </c>
      <c r="J151" s="7" t="n"/>
      <c r="K151" s="7" t="n"/>
      <c r="L151" s="7" t="n"/>
      <c r="O151" s="11" t="n"/>
      <c r="P151">
        <f>IF($A151="","",IF($V151=1,Settings!$C$6,Settings!$C$7)*1)</f>
        <v/>
      </c>
      <c r="Q151" s="7">
        <f>IF($A151="","",P151*K151)</f>
        <v/>
      </c>
      <c r="R151" s="7">
        <f>IF($A151="","",K151-Q151)</f>
        <v/>
      </c>
      <c r="S151" s="7">
        <f>IF($A151="","",R151-F151)</f>
        <v/>
      </c>
      <c r="T151">
        <f>IF($A151="","",IF(COUNTIF($A$2:$A151,$A151)=1,1,0))</f>
        <v/>
      </c>
      <c r="U151">
        <f>IF($T151=1,SUMPRODUCT(--($W$2:$W$501&lt;$W151))+1,"")</f>
        <v/>
      </c>
      <c r="V151">
        <f>IF($A151="","",1)</f>
        <v/>
      </c>
      <c r="W151">
        <f>IF($T151=1,IFERROR(VALUE(MID($A151,2,20)),1000000000)+ROW()/100000,"")</f>
        <v/>
      </c>
    </row>
    <row r="152">
      <c r="F152" s="7">
        <f>IF($A152="","",E152*K152/100)</f>
        <v/>
      </c>
      <c r="J152" s="7" t="n"/>
      <c r="K152" s="7" t="n"/>
      <c r="L152" s="7" t="n"/>
      <c r="O152" s="11" t="n"/>
      <c r="P152">
        <f>IF($A152="","",IF($V152=1,Settings!$C$6,Settings!$C$7)*1)</f>
        <v/>
      </c>
      <c r="Q152" s="7">
        <f>IF($A152="","",P152*K152)</f>
        <v/>
      </c>
      <c r="R152" s="7">
        <f>IF($A152="","",K152-Q152)</f>
        <v/>
      </c>
      <c r="S152" s="7">
        <f>IF($A152="","",R152-F152)</f>
        <v/>
      </c>
      <c r="T152">
        <f>IF($A152="","",IF(COUNTIF($A$2:$A152,$A152)=1,1,0))</f>
        <v/>
      </c>
      <c r="U152">
        <f>IF($T152=1,SUMPRODUCT(--($W$2:$W$501&lt;$W152))+1,"")</f>
        <v/>
      </c>
      <c r="V152">
        <f>IF($A152="","",1)</f>
        <v/>
      </c>
      <c r="W152">
        <f>IF($T152=1,IFERROR(VALUE(MID($A152,2,20)),1000000000)+ROW()/100000,"")</f>
        <v/>
      </c>
    </row>
    <row r="153">
      <c r="F153" s="7">
        <f>IF($A153="","",E153*K153/100)</f>
        <v/>
      </c>
      <c r="J153" s="7" t="n"/>
      <c r="K153" s="7" t="n"/>
      <c r="L153" s="7" t="n"/>
      <c r="O153" s="11" t="n"/>
      <c r="P153">
        <f>IF($A153="","",IF($V153=1,Settings!$C$6,Settings!$C$7)*1)</f>
        <v/>
      </c>
      <c r="Q153" s="7">
        <f>IF($A153="","",P153*K153)</f>
        <v/>
      </c>
      <c r="R153" s="7">
        <f>IF($A153="","",K153-Q153)</f>
        <v/>
      </c>
      <c r="S153" s="7">
        <f>IF($A153="","",R153-F153)</f>
        <v/>
      </c>
      <c r="T153">
        <f>IF($A153="","",IF(COUNTIF($A$2:$A153,$A153)=1,1,0))</f>
        <v/>
      </c>
      <c r="U153">
        <f>IF($T153=1,SUMPRODUCT(--($W$2:$W$501&lt;$W153))+1,"")</f>
        <v/>
      </c>
      <c r="V153">
        <f>IF($A153="","",1)</f>
        <v/>
      </c>
      <c r="W153">
        <f>IF($T153=1,IFERROR(VALUE(MID($A153,2,20)),1000000000)+ROW()/100000,"")</f>
        <v/>
      </c>
    </row>
    <row r="154">
      <c r="F154" s="7">
        <f>IF($A154="","",E154*K154/100)</f>
        <v/>
      </c>
      <c r="J154" s="7" t="n"/>
      <c r="K154" s="7" t="n"/>
      <c r="L154" s="7" t="n"/>
      <c r="O154" s="11" t="n"/>
      <c r="P154">
        <f>IF($A154="","",IF($V154=1,Settings!$C$6,Settings!$C$7)*1)</f>
        <v/>
      </c>
      <c r="Q154" s="7">
        <f>IF($A154="","",P154*K154)</f>
        <v/>
      </c>
      <c r="R154" s="7">
        <f>IF($A154="","",K154-Q154)</f>
        <v/>
      </c>
      <c r="S154" s="7">
        <f>IF($A154="","",R154-F154)</f>
        <v/>
      </c>
      <c r="T154">
        <f>IF($A154="","",IF(COUNTIF($A$2:$A154,$A154)=1,1,0))</f>
        <v/>
      </c>
      <c r="U154">
        <f>IF($T154=1,SUMPRODUCT(--($W$2:$W$501&lt;$W154))+1,"")</f>
        <v/>
      </c>
      <c r="V154">
        <f>IF($A154="","",1)</f>
        <v/>
      </c>
      <c r="W154">
        <f>IF($T154=1,IFERROR(VALUE(MID($A154,2,20)),1000000000)+ROW()/100000,"")</f>
        <v/>
      </c>
    </row>
    <row r="155">
      <c r="F155" s="7">
        <f>IF($A155="","",E155*K155/100)</f>
        <v/>
      </c>
      <c r="J155" s="7" t="n"/>
      <c r="K155" s="7" t="n"/>
      <c r="L155" s="7" t="n"/>
      <c r="O155" s="11" t="n"/>
      <c r="P155">
        <f>IF($A155="","",IF($V155=1,Settings!$C$6,Settings!$C$7)*1)</f>
        <v/>
      </c>
      <c r="Q155" s="7">
        <f>IF($A155="","",P155*K155)</f>
        <v/>
      </c>
      <c r="R155" s="7">
        <f>IF($A155="","",K155-Q155)</f>
        <v/>
      </c>
      <c r="S155" s="7">
        <f>IF($A155="","",R155-F155)</f>
        <v/>
      </c>
      <c r="T155">
        <f>IF($A155="","",IF(COUNTIF($A$2:$A155,$A155)=1,1,0))</f>
        <v/>
      </c>
      <c r="U155">
        <f>IF($T155=1,SUMPRODUCT(--($W$2:$W$501&lt;$W155))+1,"")</f>
        <v/>
      </c>
      <c r="V155">
        <f>IF($A155="","",1)</f>
        <v/>
      </c>
      <c r="W155">
        <f>IF($T155=1,IFERROR(VALUE(MID($A155,2,20)),1000000000)+ROW()/100000,"")</f>
        <v/>
      </c>
    </row>
    <row r="156">
      <c r="F156" s="7">
        <f>IF($A156="","",E156*K156/100)</f>
        <v/>
      </c>
      <c r="J156" s="7" t="n"/>
      <c r="K156" s="7" t="n"/>
      <c r="L156" s="7" t="n"/>
      <c r="O156" s="11" t="n"/>
      <c r="P156">
        <f>IF($A156="","",IF($V156=1,Settings!$C$6,Settings!$C$7)*1)</f>
        <v/>
      </c>
      <c r="Q156" s="7">
        <f>IF($A156="","",P156*K156)</f>
        <v/>
      </c>
      <c r="R156" s="7">
        <f>IF($A156="","",K156-Q156)</f>
        <v/>
      </c>
      <c r="S156" s="7">
        <f>IF($A156="","",R156-F156)</f>
        <v/>
      </c>
      <c r="T156">
        <f>IF($A156="","",IF(COUNTIF($A$2:$A156,$A156)=1,1,0))</f>
        <v/>
      </c>
      <c r="U156">
        <f>IF($T156=1,SUMPRODUCT(--($W$2:$W$501&lt;$W156))+1,"")</f>
        <v/>
      </c>
      <c r="V156">
        <f>IF($A156="","",1)</f>
        <v/>
      </c>
      <c r="W156">
        <f>IF($T156=1,IFERROR(VALUE(MID($A156,2,20)),1000000000)+ROW()/100000,"")</f>
        <v/>
      </c>
    </row>
    <row r="157">
      <c r="F157" s="7">
        <f>IF($A157="","",E157*K157/100)</f>
        <v/>
      </c>
      <c r="J157" s="7" t="n"/>
      <c r="K157" s="7" t="n"/>
      <c r="L157" s="7" t="n"/>
      <c r="O157" s="11" t="n"/>
      <c r="P157">
        <f>IF($A157="","",IF($V157=1,Settings!$C$6,Settings!$C$7)*1)</f>
        <v/>
      </c>
      <c r="Q157" s="7">
        <f>IF($A157="","",P157*K157)</f>
        <v/>
      </c>
      <c r="R157" s="7">
        <f>IF($A157="","",K157-Q157)</f>
        <v/>
      </c>
      <c r="S157" s="7">
        <f>IF($A157="","",R157-F157)</f>
        <v/>
      </c>
      <c r="T157">
        <f>IF($A157="","",IF(COUNTIF($A$2:$A157,$A157)=1,1,0))</f>
        <v/>
      </c>
      <c r="U157">
        <f>IF($T157=1,SUMPRODUCT(--($W$2:$W$501&lt;$W157))+1,"")</f>
        <v/>
      </c>
      <c r="V157">
        <f>IF($A157="","",1)</f>
        <v/>
      </c>
      <c r="W157">
        <f>IF($T157=1,IFERROR(VALUE(MID($A157,2,20)),1000000000)+ROW()/100000,"")</f>
        <v/>
      </c>
    </row>
    <row r="158">
      <c r="F158" s="7">
        <f>IF($A158="","",E158*K158/100)</f>
        <v/>
      </c>
      <c r="J158" s="7" t="n"/>
      <c r="K158" s="7" t="n"/>
      <c r="L158" s="7" t="n"/>
      <c r="O158" s="11" t="n"/>
      <c r="P158">
        <f>IF($A158="","",IF($V158=1,Settings!$C$6,Settings!$C$7)*1)</f>
        <v/>
      </c>
      <c r="Q158" s="7">
        <f>IF($A158="","",P158*K158)</f>
        <v/>
      </c>
      <c r="R158" s="7">
        <f>IF($A158="","",K158-Q158)</f>
        <v/>
      </c>
      <c r="S158" s="7">
        <f>IF($A158="","",R158-F158)</f>
        <v/>
      </c>
      <c r="T158">
        <f>IF($A158="","",IF(COUNTIF($A$2:$A158,$A158)=1,1,0))</f>
        <v/>
      </c>
      <c r="U158">
        <f>IF($T158=1,SUMPRODUCT(--($W$2:$W$501&lt;$W158))+1,"")</f>
        <v/>
      </c>
      <c r="V158">
        <f>IF($A158="","",1)</f>
        <v/>
      </c>
      <c r="W158">
        <f>IF($T158=1,IFERROR(VALUE(MID($A158,2,20)),1000000000)+ROW()/100000,"")</f>
        <v/>
      </c>
    </row>
    <row r="159">
      <c r="F159" s="7">
        <f>IF($A159="","",E159*K159/100)</f>
        <v/>
      </c>
      <c r="J159" s="7" t="n"/>
      <c r="K159" s="7" t="n"/>
      <c r="L159" s="7" t="n"/>
      <c r="O159" s="11" t="n"/>
      <c r="P159">
        <f>IF($A159="","",IF($V159=1,Settings!$C$6,Settings!$C$7)*1)</f>
        <v/>
      </c>
      <c r="Q159" s="7">
        <f>IF($A159="","",P159*K159)</f>
        <v/>
      </c>
      <c r="R159" s="7">
        <f>IF($A159="","",K159-Q159)</f>
        <v/>
      </c>
      <c r="S159" s="7">
        <f>IF($A159="","",R159-F159)</f>
        <v/>
      </c>
      <c r="T159">
        <f>IF($A159="","",IF(COUNTIF($A$2:$A159,$A159)=1,1,0))</f>
        <v/>
      </c>
      <c r="U159">
        <f>IF($T159=1,SUMPRODUCT(--($W$2:$W$501&lt;$W159))+1,"")</f>
        <v/>
      </c>
      <c r="V159">
        <f>IF($A159="","",1)</f>
        <v/>
      </c>
      <c r="W159">
        <f>IF($T159=1,IFERROR(VALUE(MID($A159,2,20)),1000000000)+ROW()/100000,"")</f>
        <v/>
      </c>
    </row>
    <row r="160">
      <c r="F160" s="7">
        <f>IF($A160="","",E160*K160/100)</f>
        <v/>
      </c>
      <c r="J160" s="7" t="n"/>
      <c r="K160" s="7" t="n"/>
      <c r="L160" s="7" t="n"/>
      <c r="O160" s="11" t="n"/>
      <c r="P160">
        <f>IF($A160="","",IF($V160=1,Settings!$C$6,Settings!$C$7)*1)</f>
        <v/>
      </c>
      <c r="Q160" s="7">
        <f>IF($A160="","",P160*K160)</f>
        <v/>
      </c>
      <c r="R160" s="7">
        <f>IF($A160="","",K160-Q160)</f>
        <v/>
      </c>
      <c r="S160" s="7">
        <f>IF($A160="","",R160-F160)</f>
        <v/>
      </c>
      <c r="T160">
        <f>IF($A160="","",IF(COUNTIF($A$2:$A160,$A160)=1,1,0))</f>
        <v/>
      </c>
      <c r="U160">
        <f>IF($T160=1,SUMPRODUCT(--($W$2:$W$501&lt;$W160))+1,"")</f>
        <v/>
      </c>
      <c r="V160">
        <f>IF($A160="","",1)</f>
        <v/>
      </c>
      <c r="W160">
        <f>IF($T160=1,IFERROR(VALUE(MID($A160,2,20)),1000000000)+ROW()/100000,"")</f>
        <v/>
      </c>
    </row>
    <row r="161">
      <c r="F161" s="7">
        <f>IF($A161="","",E161*K161/100)</f>
        <v/>
      </c>
      <c r="J161" s="7" t="n"/>
      <c r="K161" s="7" t="n"/>
      <c r="L161" s="7" t="n"/>
      <c r="O161" s="11" t="n"/>
      <c r="P161">
        <f>IF($A161="","",IF($V161=1,Settings!$C$6,Settings!$C$7)*1)</f>
        <v/>
      </c>
      <c r="Q161" s="7">
        <f>IF($A161="","",P161*K161)</f>
        <v/>
      </c>
      <c r="R161" s="7">
        <f>IF($A161="","",K161-Q161)</f>
        <v/>
      </c>
      <c r="S161" s="7">
        <f>IF($A161="","",R161-F161)</f>
        <v/>
      </c>
      <c r="T161">
        <f>IF($A161="","",IF(COUNTIF($A$2:$A161,$A161)=1,1,0))</f>
        <v/>
      </c>
      <c r="U161">
        <f>IF($T161=1,SUMPRODUCT(--($W$2:$W$501&lt;$W161))+1,"")</f>
        <v/>
      </c>
      <c r="V161">
        <f>IF($A161="","",1)</f>
        <v/>
      </c>
      <c r="W161">
        <f>IF($T161=1,IFERROR(VALUE(MID($A161,2,20)),1000000000)+ROW()/100000,"")</f>
        <v/>
      </c>
    </row>
    <row r="162">
      <c r="F162" s="7">
        <f>IF($A162="","",E162*K162/100)</f>
        <v/>
      </c>
      <c r="J162" s="7" t="n"/>
      <c r="K162" s="7" t="n"/>
      <c r="L162" s="7" t="n"/>
      <c r="O162" s="11" t="n"/>
      <c r="P162">
        <f>IF($A162="","",IF($V162=1,Settings!$C$6,Settings!$C$7)*1)</f>
        <v/>
      </c>
      <c r="Q162" s="7">
        <f>IF($A162="","",P162*K162)</f>
        <v/>
      </c>
      <c r="R162" s="7">
        <f>IF($A162="","",K162-Q162)</f>
        <v/>
      </c>
      <c r="S162" s="7">
        <f>IF($A162="","",R162-F162)</f>
        <v/>
      </c>
      <c r="T162">
        <f>IF($A162="","",IF(COUNTIF($A$2:$A162,$A162)=1,1,0))</f>
        <v/>
      </c>
      <c r="U162">
        <f>IF($T162=1,SUMPRODUCT(--($W$2:$W$501&lt;$W162))+1,"")</f>
        <v/>
      </c>
      <c r="V162">
        <f>IF($A162="","",1)</f>
        <v/>
      </c>
      <c r="W162">
        <f>IF($T162=1,IFERROR(VALUE(MID($A162,2,20)),1000000000)+ROW()/100000,"")</f>
        <v/>
      </c>
    </row>
    <row r="163">
      <c r="F163" s="7">
        <f>IF($A163="","",E163*K163/100)</f>
        <v/>
      </c>
      <c r="J163" s="7" t="n"/>
      <c r="K163" s="7" t="n"/>
      <c r="L163" s="7" t="n"/>
      <c r="O163" s="11" t="n"/>
      <c r="P163">
        <f>IF($A163="","",IF($V163=1,Settings!$C$6,Settings!$C$7)*1)</f>
        <v/>
      </c>
      <c r="Q163" s="7">
        <f>IF($A163="","",P163*K163)</f>
        <v/>
      </c>
      <c r="R163" s="7">
        <f>IF($A163="","",K163-Q163)</f>
        <v/>
      </c>
      <c r="S163" s="7">
        <f>IF($A163="","",R163-F163)</f>
        <v/>
      </c>
      <c r="T163">
        <f>IF($A163="","",IF(COUNTIF($A$2:$A163,$A163)=1,1,0))</f>
        <v/>
      </c>
      <c r="U163">
        <f>IF($T163=1,SUMPRODUCT(--($W$2:$W$501&lt;$W163))+1,"")</f>
        <v/>
      </c>
      <c r="V163">
        <f>IF($A163="","",1)</f>
        <v/>
      </c>
      <c r="W163">
        <f>IF($T163=1,IFERROR(VALUE(MID($A163,2,20)),1000000000)+ROW()/100000,"")</f>
        <v/>
      </c>
    </row>
    <row r="164">
      <c r="F164" s="7">
        <f>IF($A164="","",E164*K164/100)</f>
        <v/>
      </c>
      <c r="J164" s="7" t="n"/>
      <c r="K164" s="7" t="n"/>
      <c r="L164" s="7" t="n"/>
      <c r="O164" s="11" t="n"/>
      <c r="P164">
        <f>IF($A164="","",IF($V164=1,Settings!$C$6,Settings!$C$7)*1)</f>
        <v/>
      </c>
      <c r="Q164" s="7">
        <f>IF($A164="","",P164*K164)</f>
        <v/>
      </c>
      <c r="R164" s="7">
        <f>IF($A164="","",K164-Q164)</f>
        <v/>
      </c>
      <c r="S164" s="7">
        <f>IF($A164="","",R164-F164)</f>
        <v/>
      </c>
      <c r="T164">
        <f>IF($A164="","",IF(COUNTIF($A$2:$A164,$A164)=1,1,0))</f>
        <v/>
      </c>
      <c r="U164">
        <f>IF($T164=1,SUMPRODUCT(--($W$2:$W$501&lt;$W164))+1,"")</f>
        <v/>
      </c>
      <c r="V164">
        <f>IF($A164="","",1)</f>
        <v/>
      </c>
      <c r="W164">
        <f>IF($T164=1,IFERROR(VALUE(MID($A164,2,20)),1000000000)+ROW()/100000,"")</f>
        <v/>
      </c>
    </row>
    <row r="165">
      <c r="F165" s="7">
        <f>IF($A165="","",E165*K165/100)</f>
        <v/>
      </c>
      <c r="J165" s="7" t="n"/>
      <c r="K165" s="7" t="n"/>
      <c r="L165" s="7" t="n"/>
      <c r="O165" s="11" t="n"/>
      <c r="P165">
        <f>IF($A165="","",IF($V165=1,Settings!$C$6,Settings!$C$7)*1)</f>
        <v/>
      </c>
      <c r="Q165" s="7">
        <f>IF($A165="","",P165*K165)</f>
        <v/>
      </c>
      <c r="R165" s="7">
        <f>IF($A165="","",K165-Q165)</f>
        <v/>
      </c>
      <c r="S165" s="7">
        <f>IF($A165="","",R165-F165)</f>
        <v/>
      </c>
      <c r="T165">
        <f>IF($A165="","",IF(COUNTIF($A$2:$A165,$A165)=1,1,0))</f>
        <v/>
      </c>
      <c r="U165">
        <f>IF($T165=1,SUMPRODUCT(--($W$2:$W$501&lt;$W165))+1,"")</f>
        <v/>
      </c>
      <c r="V165">
        <f>IF($A165="","",1)</f>
        <v/>
      </c>
      <c r="W165">
        <f>IF($T165=1,IFERROR(VALUE(MID($A165,2,20)),1000000000)+ROW()/100000,"")</f>
        <v/>
      </c>
    </row>
    <row r="166">
      <c r="F166" s="7">
        <f>IF($A166="","",E166*K166/100)</f>
        <v/>
      </c>
      <c r="J166" s="7" t="n"/>
      <c r="K166" s="7" t="n"/>
      <c r="L166" s="7" t="n"/>
      <c r="O166" s="11" t="n"/>
      <c r="P166">
        <f>IF($A166="","",IF($V166=1,Settings!$C$6,Settings!$C$7)*1)</f>
        <v/>
      </c>
      <c r="Q166" s="7">
        <f>IF($A166="","",P166*K166)</f>
        <v/>
      </c>
      <c r="R166" s="7">
        <f>IF($A166="","",K166-Q166)</f>
        <v/>
      </c>
      <c r="S166" s="7">
        <f>IF($A166="","",R166-F166)</f>
        <v/>
      </c>
      <c r="T166">
        <f>IF($A166="","",IF(COUNTIF($A$2:$A166,$A166)=1,1,0))</f>
        <v/>
      </c>
      <c r="U166">
        <f>IF($T166=1,SUMPRODUCT(--($W$2:$W$501&lt;$W166))+1,"")</f>
        <v/>
      </c>
      <c r="V166">
        <f>IF($A166="","",1)</f>
        <v/>
      </c>
      <c r="W166">
        <f>IF($T166=1,IFERROR(VALUE(MID($A166,2,20)),1000000000)+ROW()/100000,"")</f>
        <v/>
      </c>
    </row>
    <row r="167">
      <c r="F167" s="7">
        <f>IF($A167="","",E167*K167/100)</f>
        <v/>
      </c>
      <c r="J167" s="7" t="n"/>
      <c r="K167" s="7" t="n"/>
      <c r="L167" s="7" t="n"/>
      <c r="O167" s="11" t="n"/>
      <c r="P167">
        <f>IF($A167="","",IF($V167=1,Settings!$C$6,Settings!$C$7)*1)</f>
        <v/>
      </c>
      <c r="Q167" s="7">
        <f>IF($A167="","",P167*K167)</f>
        <v/>
      </c>
      <c r="R167" s="7">
        <f>IF($A167="","",K167-Q167)</f>
        <v/>
      </c>
      <c r="S167" s="7">
        <f>IF($A167="","",R167-F167)</f>
        <v/>
      </c>
      <c r="T167">
        <f>IF($A167="","",IF(COUNTIF($A$2:$A167,$A167)=1,1,0))</f>
        <v/>
      </c>
      <c r="U167">
        <f>IF($T167=1,SUMPRODUCT(--($W$2:$W$501&lt;$W167))+1,"")</f>
        <v/>
      </c>
      <c r="V167">
        <f>IF($A167="","",1)</f>
        <v/>
      </c>
      <c r="W167">
        <f>IF($T167=1,IFERROR(VALUE(MID($A167,2,20)),1000000000)+ROW()/100000,"")</f>
        <v/>
      </c>
    </row>
    <row r="168">
      <c r="F168" s="7">
        <f>IF($A168="","",E168*K168/100)</f>
        <v/>
      </c>
      <c r="J168" s="7" t="n"/>
      <c r="K168" s="7" t="n"/>
      <c r="L168" s="7" t="n"/>
      <c r="O168" s="11" t="n"/>
      <c r="P168">
        <f>IF($A168="","",IF($V168=1,Settings!$C$6,Settings!$C$7)*1)</f>
        <v/>
      </c>
      <c r="Q168" s="7">
        <f>IF($A168="","",P168*K168)</f>
        <v/>
      </c>
      <c r="R168" s="7">
        <f>IF($A168="","",K168-Q168)</f>
        <v/>
      </c>
      <c r="S168" s="7">
        <f>IF($A168="","",R168-F168)</f>
        <v/>
      </c>
      <c r="T168">
        <f>IF($A168="","",IF(COUNTIF($A$2:$A168,$A168)=1,1,0))</f>
        <v/>
      </c>
      <c r="U168">
        <f>IF($T168=1,SUMPRODUCT(--($W$2:$W$501&lt;$W168))+1,"")</f>
        <v/>
      </c>
      <c r="V168">
        <f>IF($A168="","",1)</f>
        <v/>
      </c>
      <c r="W168">
        <f>IF($T168=1,IFERROR(VALUE(MID($A168,2,20)),1000000000)+ROW()/100000,"")</f>
        <v/>
      </c>
    </row>
    <row r="169">
      <c r="F169" s="7">
        <f>IF($A169="","",E169*K169/100)</f>
        <v/>
      </c>
      <c r="J169" s="7" t="n"/>
      <c r="K169" s="7" t="n"/>
      <c r="L169" s="7" t="n"/>
      <c r="O169" s="11" t="n"/>
      <c r="P169">
        <f>IF($A169="","",IF($V169=1,Settings!$C$6,Settings!$C$7)*1)</f>
        <v/>
      </c>
      <c r="Q169" s="7">
        <f>IF($A169="","",P169*K169)</f>
        <v/>
      </c>
      <c r="R169" s="7">
        <f>IF($A169="","",K169-Q169)</f>
        <v/>
      </c>
      <c r="S169" s="7">
        <f>IF($A169="","",R169-F169)</f>
        <v/>
      </c>
      <c r="T169">
        <f>IF($A169="","",IF(COUNTIF($A$2:$A169,$A169)=1,1,0))</f>
        <v/>
      </c>
      <c r="U169">
        <f>IF($T169=1,SUMPRODUCT(--($W$2:$W$501&lt;$W169))+1,"")</f>
        <v/>
      </c>
      <c r="V169">
        <f>IF($A169="","",1)</f>
        <v/>
      </c>
      <c r="W169">
        <f>IF($T169=1,IFERROR(VALUE(MID($A169,2,20)),1000000000)+ROW()/100000,"")</f>
        <v/>
      </c>
    </row>
    <row r="170">
      <c r="F170" s="7">
        <f>IF($A170="","",E170*K170/100)</f>
        <v/>
      </c>
      <c r="J170" s="7" t="n"/>
      <c r="K170" s="7" t="n"/>
      <c r="L170" s="7" t="n"/>
      <c r="O170" s="11" t="n"/>
      <c r="P170">
        <f>IF($A170="","",IF($V170=1,Settings!$C$6,Settings!$C$7)*1)</f>
        <v/>
      </c>
      <c r="Q170" s="7">
        <f>IF($A170="","",P170*K170)</f>
        <v/>
      </c>
      <c r="R170" s="7">
        <f>IF($A170="","",K170-Q170)</f>
        <v/>
      </c>
      <c r="S170" s="7">
        <f>IF($A170="","",R170-F170)</f>
        <v/>
      </c>
      <c r="T170">
        <f>IF($A170="","",IF(COUNTIF($A$2:$A170,$A170)=1,1,0))</f>
        <v/>
      </c>
      <c r="U170">
        <f>IF($T170=1,SUMPRODUCT(--($W$2:$W$501&lt;$W170))+1,"")</f>
        <v/>
      </c>
      <c r="V170">
        <f>IF($A170="","",1)</f>
        <v/>
      </c>
      <c r="W170">
        <f>IF($T170=1,IFERROR(VALUE(MID($A170,2,20)),1000000000)+ROW()/100000,"")</f>
        <v/>
      </c>
    </row>
    <row r="171">
      <c r="F171" s="7">
        <f>IF($A171="","",E171*K171/100)</f>
        <v/>
      </c>
      <c r="J171" s="7" t="n"/>
      <c r="K171" s="7" t="n"/>
      <c r="L171" s="7" t="n"/>
      <c r="O171" s="11" t="n"/>
      <c r="P171">
        <f>IF($A171="","",IF($V171=1,Settings!$C$6,Settings!$C$7)*1)</f>
        <v/>
      </c>
      <c r="Q171" s="7">
        <f>IF($A171="","",P171*K171)</f>
        <v/>
      </c>
      <c r="R171" s="7">
        <f>IF($A171="","",K171-Q171)</f>
        <v/>
      </c>
      <c r="S171" s="7">
        <f>IF($A171="","",R171-F171)</f>
        <v/>
      </c>
      <c r="T171">
        <f>IF($A171="","",IF(COUNTIF($A$2:$A171,$A171)=1,1,0))</f>
        <v/>
      </c>
      <c r="U171">
        <f>IF($T171=1,SUMPRODUCT(--($W$2:$W$501&lt;$W171))+1,"")</f>
        <v/>
      </c>
      <c r="V171">
        <f>IF($A171="","",1)</f>
        <v/>
      </c>
      <c r="W171">
        <f>IF($T171=1,IFERROR(VALUE(MID($A171,2,20)),1000000000)+ROW()/100000,"")</f>
        <v/>
      </c>
    </row>
    <row r="172">
      <c r="F172" s="7">
        <f>IF($A172="","",E172*K172/100)</f>
        <v/>
      </c>
      <c r="J172" s="7" t="n"/>
      <c r="K172" s="7" t="n"/>
      <c r="L172" s="7" t="n"/>
      <c r="O172" s="11" t="n"/>
      <c r="P172">
        <f>IF($A172="","",IF($V172=1,Settings!$C$6,Settings!$C$7)*1)</f>
        <v/>
      </c>
      <c r="Q172" s="7">
        <f>IF($A172="","",P172*K172)</f>
        <v/>
      </c>
      <c r="R172" s="7">
        <f>IF($A172="","",K172-Q172)</f>
        <v/>
      </c>
      <c r="S172" s="7">
        <f>IF($A172="","",R172-F172)</f>
        <v/>
      </c>
      <c r="T172">
        <f>IF($A172="","",IF(COUNTIF($A$2:$A172,$A172)=1,1,0))</f>
        <v/>
      </c>
      <c r="U172">
        <f>IF($T172=1,SUMPRODUCT(--($W$2:$W$501&lt;$W172))+1,"")</f>
        <v/>
      </c>
      <c r="V172">
        <f>IF($A172="","",1)</f>
        <v/>
      </c>
      <c r="W172">
        <f>IF($T172=1,IFERROR(VALUE(MID($A172,2,20)),1000000000)+ROW()/100000,"")</f>
        <v/>
      </c>
    </row>
    <row r="173">
      <c r="F173" s="7">
        <f>IF($A173="","",E173*K173/100)</f>
        <v/>
      </c>
      <c r="J173" s="7" t="n"/>
      <c r="K173" s="7" t="n"/>
      <c r="L173" s="7" t="n"/>
      <c r="O173" s="11" t="n"/>
      <c r="P173">
        <f>IF($A173="","",IF($V173=1,Settings!$C$6,Settings!$C$7)*1)</f>
        <v/>
      </c>
      <c r="Q173" s="7">
        <f>IF($A173="","",P173*K173)</f>
        <v/>
      </c>
      <c r="R173" s="7">
        <f>IF($A173="","",K173-Q173)</f>
        <v/>
      </c>
      <c r="S173" s="7">
        <f>IF($A173="","",R173-F173)</f>
        <v/>
      </c>
      <c r="T173">
        <f>IF($A173="","",IF(COUNTIF($A$2:$A173,$A173)=1,1,0))</f>
        <v/>
      </c>
      <c r="U173">
        <f>IF($T173=1,SUMPRODUCT(--($W$2:$W$501&lt;$W173))+1,"")</f>
        <v/>
      </c>
      <c r="V173">
        <f>IF($A173="","",1)</f>
        <v/>
      </c>
      <c r="W173">
        <f>IF($T173=1,IFERROR(VALUE(MID($A173,2,20)),1000000000)+ROW()/100000,"")</f>
        <v/>
      </c>
    </row>
    <row r="174">
      <c r="F174" s="7">
        <f>IF($A174="","",E174*K174/100)</f>
        <v/>
      </c>
      <c r="J174" s="7" t="n"/>
      <c r="K174" s="7" t="n"/>
      <c r="L174" s="7" t="n"/>
      <c r="O174" s="11" t="n"/>
      <c r="P174">
        <f>IF($A174="","",IF($V174=1,Settings!$C$6,Settings!$C$7)*1)</f>
        <v/>
      </c>
      <c r="Q174" s="7">
        <f>IF($A174="","",P174*K174)</f>
        <v/>
      </c>
      <c r="R174" s="7">
        <f>IF($A174="","",K174-Q174)</f>
        <v/>
      </c>
      <c r="S174" s="7">
        <f>IF($A174="","",R174-F174)</f>
        <v/>
      </c>
      <c r="T174">
        <f>IF($A174="","",IF(COUNTIF($A$2:$A174,$A174)=1,1,0))</f>
        <v/>
      </c>
      <c r="U174">
        <f>IF($T174=1,SUMPRODUCT(--($W$2:$W$501&lt;$W174))+1,"")</f>
        <v/>
      </c>
      <c r="V174">
        <f>IF($A174="","",1)</f>
        <v/>
      </c>
      <c r="W174">
        <f>IF($T174=1,IFERROR(VALUE(MID($A174,2,20)),1000000000)+ROW()/100000,"")</f>
        <v/>
      </c>
    </row>
    <row r="175">
      <c r="F175" s="7">
        <f>IF($A175="","",E175*K175/100)</f>
        <v/>
      </c>
      <c r="J175" s="7" t="n"/>
      <c r="K175" s="7" t="n"/>
      <c r="L175" s="7" t="n"/>
      <c r="O175" s="11" t="n"/>
      <c r="P175">
        <f>IF($A175="","",IF($V175=1,Settings!$C$6,Settings!$C$7)*1)</f>
        <v/>
      </c>
      <c r="Q175" s="7">
        <f>IF($A175="","",P175*K175)</f>
        <v/>
      </c>
      <c r="R175" s="7">
        <f>IF($A175="","",K175-Q175)</f>
        <v/>
      </c>
      <c r="S175" s="7">
        <f>IF($A175="","",R175-F175)</f>
        <v/>
      </c>
      <c r="T175">
        <f>IF($A175="","",IF(COUNTIF($A$2:$A175,$A175)=1,1,0))</f>
        <v/>
      </c>
      <c r="U175">
        <f>IF($T175=1,SUMPRODUCT(--($W$2:$W$501&lt;$W175))+1,"")</f>
        <v/>
      </c>
      <c r="V175">
        <f>IF($A175="","",1)</f>
        <v/>
      </c>
      <c r="W175">
        <f>IF($T175=1,IFERROR(VALUE(MID($A175,2,20)),1000000000)+ROW()/100000,"")</f>
        <v/>
      </c>
    </row>
    <row r="176">
      <c r="F176" s="7">
        <f>IF($A176="","",E176*K176/100)</f>
        <v/>
      </c>
      <c r="J176" s="7" t="n"/>
      <c r="K176" s="7" t="n"/>
      <c r="L176" s="7" t="n"/>
      <c r="O176" s="11" t="n"/>
      <c r="P176">
        <f>IF($A176="","",IF($V176=1,Settings!$C$6,Settings!$C$7)*1)</f>
        <v/>
      </c>
      <c r="Q176" s="7">
        <f>IF($A176="","",P176*K176)</f>
        <v/>
      </c>
      <c r="R176" s="7">
        <f>IF($A176="","",K176-Q176)</f>
        <v/>
      </c>
      <c r="S176" s="7">
        <f>IF($A176="","",R176-F176)</f>
        <v/>
      </c>
      <c r="T176">
        <f>IF($A176="","",IF(COUNTIF($A$2:$A176,$A176)=1,1,0))</f>
        <v/>
      </c>
      <c r="U176">
        <f>IF($T176=1,SUMPRODUCT(--($W$2:$W$501&lt;$W176))+1,"")</f>
        <v/>
      </c>
      <c r="V176">
        <f>IF($A176="","",1)</f>
        <v/>
      </c>
      <c r="W176">
        <f>IF($T176=1,IFERROR(VALUE(MID($A176,2,20)),1000000000)+ROW()/100000,"")</f>
        <v/>
      </c>
    </row>
    <row r="177">
      <c r="F177" s="7">
        <f>IF($A177="","",E177*K177/100)</f>
        <v/>
      </c>
      <c r="J177" s="7" t="n"/>
      <c r="K177" s="7" t="n"/>
      <c r="L177" s="7" t="n"/>
      <c r="O177" s="11" t="n"/>
      <c r="P177">
        <f>IF($A177="","",IF($V177=1,Settings!$C$6,Settings!$C$7)*1)</f>
        <v/>
      </c>
      <c r="Q177" s="7">
        <f>IF($A177="","",P177*K177)</f>
        <v/>
      </c>
      <c r="R177" s="7">
        <f>IF($A177="","",K177-Q177)</f>
        <v/>
      </c>
      <c r="S177" s="7">
        <f>IF($A177="","",R177-F177)</f>
        <v/>
      </c>
      <c r="T177">
        <f>IF($A177="","",IF(COUNTIF($A$2:$A177,$A177)=1,1,0))</f>
        <v/>
      </c>
      <c r="U177">
        <f>IF($T177=1,SUMPRODUCT(--($W$2:$W$501&lt;$W177))+1,"")</f>
        <v/>
      </c>
      <c r="V177">
        <f>IF($A177="","",1)</f>
        <v/>
      </c>
      <c r="W177">
        <f>IF($T177=1,IFERROR(VALUE(MID($A177,2,20)),1000000000)+ROW()/100000,"")</f>
        <v/>
      </c>
    </row>
    <row r="178">
      <c r="F178" s="7">
        <f>IF($A178="","",E178*K178/100)</f>
        <v/>
      </c>
      <c r="J178" s="7" t="n"/>
      <c r="K178" s="7" t="n"/>
      <c r="L178" s="7" t="n"/>
      <c r="O178" s="11" t="n"/>
      <c r="P178">
        <f>IF($A178="","",IF($V178=1,Settings!$C$6,Settings!$C$7)*1)</f>
        <v/>
      </c>
      <c r="Q178" s="7">
        <f>IF($A178="","",P178*K178)</f>
        <v/>
      </c>
      <c r="R178" s="7">
        <f>IF($A178="","",K178-Q178)</f>
        <v/>
      </c>
      <c r="S178" s="7">
        <f>IF($A178="","",R178-F178)</f>
        <v/>
      </c>
      <c r="T178">
        <f>IF($A178="","",IF(COUNTIF($A$2:$A178,$A178)=1,1,0))</f>
        <v/>
      </c>
      <c r="U178">
        <f>IF($T178=1,SUMPRODUCT(--($W$2:$W$501&lt;$W178))+1,"")</f>
        <v/>
      </c>
      <c r="V178">
        <f>IF($A178="","",1)</f>
        <v/>
      </c>
      <c r="W178">
        <f>IF($T178=1,IFERROR(VALUE(MID($A178,2,20)),1000000000)+ROW()/100000,"")</f>
        <v/>
      </c>
    </row>
    <row r="179">
      <c r="F179" s="7">
        <f>IF($A179="","",E179*K179/100)</f>
        <v/>
      </c>
      <c r="J179" s="7" t="n"/>
      <c r="K179" s="7" t="n"/>
      <c r="L179" s="7" t="n"/>
      <c r="O179" s="11" t="n"/>
      <c r="P179">
        <f>IF($A179="","",IF($V179=1,Settings!$C$6,Settings!$C$7)*1)</f>
        <v/>
      </c>
      <c r="Q179" s="7">
        <f>IF($A179="","",P179*K179)</f>
        <v/>
      </c>
      <c r="R179" s="7">
        <f>IF($A179="","",K179-Q179)</f>
        <v/>
      </c>
      <c r="S179" s="7">
        <f>IF($A179="","",R179-F179)</f>
        <v/>
      </c>
      <c r="T179">
        <f>IF($A179="","",IF(COUNTIF($A$2:$A179,$A179)=1,1,0))</f>
        <v/>
      </c>
      <c r="U179">
        <f>IF($T179=1,SUMPRODUCT(--($W$2:$W$501&lt;$W179))+1,"")</f>
        <v/>
      </c>
      <c r="V179">
        <f>IF($A179="","",1)</f>
        <v/>
      </c>
      <c r="W179">
        <f>IF($T179=1,IFERROR(VALUE(MID($A179,2,20)),1000000000)+ROW()/100000,"")</f>
        <v/>
      </c>
    </row>
    <row r="180">
      <c r="F180" s="7">
        <f>IF($A180="","",E180*K180/100)</f>
        <v/>
      </c>
      <c r="J180" s="7" t="n"/>
      <c r="K180" s="7" t="n"/>
      <c r="L180" s="7" t="n"/>
      <c r="O180" s="11" t="n"/>
      <c r="P180">
        <f>IF($A180="","",IF($V180=1,Settings!$C$6,Settings!$C$7)*1)</f>
        <v/>
      </c>
      <c r="Q180" s="7">
        <f>IF($A180="","",P180*K180)</f>
        <v/>
      </c>
      <c r="R180" s="7">
        <f>IF($A180="","",K180-Q180)</f>
        <v/>
      </c>
      <c r="S180" s="7">
        <f>IF($A180="","",R180-F180)</f>
        <v/>
      </c>
      <c r="T180">
        <f>IF($A180="","",IF(COUNTIF($A$2:$A180,$A180)=1,1,0))</f>
        <v/>
      </c>
      <c r="U180">
        <f>IF($T180=1,SUMPRODUCT(--($W$2:$W$501&lt;$W180))+1,"")</f>
        <v/>
      </c>
      <c r="V180">
        <f>IF($A180="","",1)</f>
        <v/>
      </c>
      <c r="W180">
        <f>IF($T180=1,IFERROR(VALUE(MID($A180,2,20)),1000000000)+ROW()/100000,"")</f>
        <v/>
      </c>
    </row>
    <row r="181">
      <c r="F181" s="7">
        <f>IF($A181="","",E181*K181/100)</f>
        <v/>
      </c>
      <c r="J181" s="7" t="n"/>
      <c r="K181" s="7" t="n"/>
      <c r="L181" s="7" t="n"/>
      <c r="O181" s="11" t="n"/>
      <c r="P181">
        <f>IF($A181="","",IF($V181=1,Settings!$C$6,Settings!$C$7)*1)</f>
        <v/>
      </c>
      <c r="Q181" s="7">
        <f>IF($A181="","",P181*K181)</f>
        <v/>
      </c>
      <c r="R181" s="7">
        <f>IF($A181="","",K181-Q181)</f>
        <v/>
      </c>
      <c r="S181" s="7">
        <f>IF($A181="","",R181-F181)</f>
        <v/>
      </c>
      <c r="T181">
        <f>IF($A181="","",IF(COUNTIF($A$2:$A181,$A181)=1,1,0))</f>
        <v/>
      </c>
      <c r="U181">
        <f>IF($T181=1,SUMPRODUCT(--($W$2:$W$501&lt;$W181))+1,"")</f>
        <v/>
      </c>
      <c r="V181">
        <f>IF($A181="","",1)</f>
        <v/>
      </c>
      <c r="W181">
        <f>IF($T181=1,IFERROR(VALUE(MID($A181,2,20)),1000000000)+ROW()/100000,"")</f>
        <v/>
      </c>
    </row>
    <row r="182">
      <c r="F182" s="7">
        <f>IF($A182="","",E182*K182/100)</f>
        <v/>
      </c>
      <c r="J182" s="7" t="n"/>
      <c r="K182" s="7" t="n"/>
      <c r="L182" s="7" t="n"/>
      <c r="O182" s="11" t="n"/>
      <c r="P182">
        <f>IF($A182="","",IF($V182=1,Settings!$C$6,Settings!$C$7)*1)</f>
        <v/>
      </c>
      <c r="Q182" s="7">
        <f>IF($A182="","",P182*K182)</f>
        <v/>
      </c>
      <c r="R182" s="7">
        <f>IF($A182="","",K182-Q182)</f>
        <v/>
      </c>
      <c r="S182" s="7">
        <f>IF($A182="","",R182-F182)</f>
        <v/>
      </c>
      <c r="T182">
        <f>IF($A182="","",IF(COUNTIF($A$2:$A182,$A182)=1,1,0))</f>
        <v/>
      </c>
      <c r="U182">
        <f>IF($T182=1,SUMPRODUCT(--($W$2:$W$501&lt;$W182))+1,"")</f>
        <v/>
      </c>
      <c r="V182">
        <f>IF($A182="","",1)</f>
        <v/>
      </c>
      <c r="W182">
        <f>IF($T182=1,IFERROR(VALUE(MID($A182,2,20)),1000000000)+ROW()/100000,"")</f>
        <v/>
      </c>
    </row>
    <row r="183">
      <c r="F183" s="7">
        <f>IF($A183="","",E183*K183/100)</f>
        <v/>
      </c>
      <c r="J183" s="7" t="n"/>
      <c r="K183" s="7" t="n"/>
      <c r="L183" s="7" t="n"/>
      <c r="O183" s="11" t="n"/>
      <c r="P183">
        <f>IF($A183="","",IF($V183=1,Settings!$C$6,Settings!$C$7)*1)</f>
        <v/>
      </c>
      <c r="Q183" s="7">
        <f>IF($A183="","",P183*K183)</f>
        <v/>
      </c>
      <c r="R183" s="7">
        <f>IF($A183="","",K183-Q183)</f>
        <v/>
      </c>
      <c r="S183" s="7">
        <f>IF($A183="","",R183-F183)</f>
        <v/>
      </c>
      <c r="T183">
        <f>IF($A183="","",IF(COUNTIF($A$2:$A183,$A183)=1,1,0))</f>
        <v/>
      </c>
      <c r="U183">
        <f>IF($T183=1,SUMPRODUCT(--($W$2:$W$501&lt;$W183))+1,"")</f>
        <v/>
      </c>
      <c r="V183">
        <f>IF($A183="","",1)</f>
        <v/>
      </c>
      <c r="W183">
        <f>IF($T183=1,IFERROR(VALUE(MID($A183,2,20)),1000000000)+ROW()/100000,"")</f>
        <v/>
      </c>
    </row>
    <row r="184">
      <c r="F184" s="7">
        <f>IF($A184="","",E184*K184/100)</f>
        <v/>
      </c>
      <c r="J184" s="7" t="n"/>
      <c r="K184" s="7" t="n"/>
      <c r="L184" s="7" t="n"/>
      <c r="O184" s="11" t="n"/>
      <c r="P184">
        <f>IF($A184="","",IF($V184=1,Settings!$C$6,Settings!$C$7)*1)</f>
        <v/>
      </c>
      <c r="Q184" s="7">
        <f>IF($A184="","",P184*K184)</f>
        <v/>
      </c>
      <c r="R184" s="7">
        <f>IF($A184="","",K184-Q184)</f>
        <v/>
      </c>
      <c r="S184" s="7">
        <f>IF($A184="","",R184-F184)</f>
        <v/>
      </c>
      <c r="T184">
        <f>IF($A184="","",IF(COUNTIF($A$2:$A184,$A184)=1,1,0))</f>
        <v/>
      </c>
      <c r="U184">
        <f>IF($T184=1,SUMPRODUCT(--($W$2:$W$501&lt;$W184))+1,"")</f>
        <v/>
      </c>
      <c r="V184">
        <f>IF($A184="","",1)</f>
        <v/>
      </c>
      <c r="W184">
        <f>IF($T184=1,IFERROR(VALUE(MID($A184,2,20)),1000000000)+ROW()/100000,"")</f>
        <v/>
      </c>
    </row>
    <row r="185">
      <c r="F185" s="7">
        <f>IF($A185="","",E185*K185/100)</f>
        <v/>
      </c>
      <c r="J185" s="7" t="n"/>
      <c r="K185" s="7" t="n"/>
      <c r="L185" s="7" t="n"/>
      <c r="O185" s="11" t="n"/>
      <c r="P185">
        <f>IF($A185="","",IF($V185=1,Settings!$C$6,Settings!$C$7)*1)</f>
        <v/>
      </c>
      <c r="Q185" s="7">
        <f>IF($A185="","",P185*K185)</f>
        <v/>
      </c>
      <c r="R185" s="7">
        <f>IF($A185="","",K185-Q185)</f>
        <v/>
      </c>
      <c r="S185" s="7">
        <f>IF($A185="","",R185-F185)</f>
        <v/>
      </c>
      <c r="T185">
        <f>IF($A185="","",IF(COUNTIF($A$2:$A185,$A185)=1,1,0))</f>
        <v/>
      </c>
      <c r="U185">
        <f>IF($T185=1,SUMPRODUCT(--($W$2:$W$501&lt;$W185))+1,"")</f>
        <v/>
      </c>
      <c r="V185">
        <f>IF($A185="","",1)</f>
        <v/>
      </c>
      <c r="W185">
        <f>IF($T185=1,IFERROR(VALUE(MID($A185,2,20)),1000000000)+ROW()/100000,"")</f>
        <v/>
      </c>
    </row>
    <row r="186">
      <c r="F186" s="7">
        <f>IF($A186="","",E186*K186/100)</f>
        <v/>
      </c>
      <c r="J186" s="7" t="n"/>
      <c r="K186" s="7" t="n"/>
      <c r="L186" s="7" t="n"/>
      <c r="O186" s="11" t="n"/>
      <c r="P186">
        <f>IF($A186="","",IF($V186=1,Settings!$C$6,Settings!$C$7)*1)</f>
        <v/>
      </c>
      <c r="Q186" s="7">
        <f>IF($A186="","",P186*K186)</f>
        <v/>
      </c>
      <c r="R186" s="7">
        <f>IF($A186="","",K186-Q186)</f>
        <v/>
      </c>
      <c r="S186" s="7">
        <f>IF($A186="","",R186-F186)</f>
        <v/>
      </c>
      <c r="T186">
        <f>IF($A186="","",IF(COUNTIF($A$2:$A186,$A186)=1,1,0))</f>
        <v/>
      </c>
      <c r="U186">
        <f>IF($T186=1,SUMPRODUCT(--($W$2:$W$501&lt;$W186))+1,"")</f>
        <v/>
      </c>
      <c r="V186">
        <f>IF($A186="","",1)</f>
        <v/>
      </c>
      <c r="W186">
        <f>IF($T186=1,IFERROR(VALUE(MID($A186,2,20)),1000000000)+ROW()/100000,"")</f>
        <v/>
      </c>
    </row>
    <row r="187">
      <c r="F187" s="7">
        <f>IF($A187="","",E187*K187/100)</f>
        <v/>
      </c>
      <c r="J187" s="7" t="n"/>
      <c r="K187" s="7" t="n"/>
      <c r="L187" s="7" t="n"/>
      <c r="O187" s="11" t="n"/>
      <c r="P187">
        <f>IF($A187="","",IF($V187=1,Settings!$C$6,Settings!$C$7)*1)</f>
        <v/>
      </c>
      <c r="Q187" s="7">
        <f>IF($A187="","",P187*K187)</f>
        <v/>
      </c>
      <c r="R187" s="7">
        <f>IF($A187="","",K187-Q187)</f>
        <v/>
      </c>
      <c r="S187" s="7">
        <f>IF($A187="","",R187-F187)</f>
        <v/>
      </c>
      <c r="T187">
        <f>IF($A187="","",IF(COUNTIF($A$2:$A187,$A187)=1,1,0))</f>
        <v/>
      </c>
      <c r="U187">
        <f>IF($T187=1,SUMPRODUCT(--($W$2:$W$501&lt;$W187))+1,"")</f>
        <v/>
      </c>
      <c r="V187">
        <f>IF($A187="","",1)</f>
        <v/>
      </c>
      <c r="W187">
        <f>IF($T187=1,IFERROR(VALUE(MID($A187,2,20)),1000000000)+ROW()/100000,"")</f>
        <v/>
      </c>
    </row>
    <row r="188">
      <c r="F188" s="7">
        <f>IF($A188="","",E188*K188/100)</f>
        <v/>
      </c>
      <c r="J188" s="7" t="n"/>
      <c r="K188" s="7" t="n"/>
      <c r="L188" s="7" t="n"/>
      <c r="O188" s="11" t="n"/>
      <c r="P188">
        <f>IF($A188="","",IF($V188=1,Settings!$C$6,Settings!$C$7)*1)</f>
        <v/>
      </c>
      <c r="Q188" s="7">
        <f>IF($A188="","",P188*K188)</f>
        <v/>
      </c>
      <c r="R188" s="7">
        <f>IF($A188="","",K188-Q188)</f>
        <v/>
      </c>
      <c r="S188" s="7">
        <f>IF($A188="","",R188-F188)</f>
        <v/>
      </c>
      <c r="T188">
        <f>IF($A188="","",IF(COUNTIF($A$2:$A188,$A188)=1,1,0))</f>
        <v/>
      </c>
      <c r="U188">
        <f>IF($T188=1,SUMPRODUCT(--($W$2:$W$501&lt;$W188))+1,"")</f>
        <v/>
      </c>
      <c r="V188">
        <f>IF($A188="","",1)</f>
        <v/>
      </c>
      <c r="W188">
        <f>IF($T188=1,IFERROR(VALUE(MID($A188,2,20)),1000000000)+ROW()/100000,"")</f>
        <v/>
      </c>
    </row>
    <row r="189">
      <c r="F189" s="7">
        <f>IF($A189="","",E189*K189/100)</f>
        <v/>
      </c>
      <c r="J189" s="7" t="n"/>
      <c r="K189" s="7" t="n"/>
      <c r="L189" s="7" t="n"/>
      <c r="O189" s="11" t="n"/>
      <c r="P189">
        <f>IF($A189="","",IF($V189=1,Settings!$C$6,Settings!$C$7)*1)</f>
        <v/>
      </c>
      <c r="Q189" s="7">
        <f>IF($A189="","",P189*K189)</f>
        <v/>
      </c>
      <c r="R189" s="7">
        <f>IF($A189="","",K189-Q189)</f>
        <v/>
      </c>
      <c r="S189" s="7">
        <f>IF($A189="","",R189-F189)</f>
        <v/>
      </c>
      <c r="T189">
        <f>IF($A189="","",IF(COUNTIF($A$2:$A189,$A189)=1,1,0))</f>
        <v/>
      </c>
      <c r="U189">
        <f>IF($T189=1,SUMPRODUCT(--($W$2:$W$501&lt;$W189))+1,"")</f>
        <v/>
      </c>
      <c r="V189">
        <f>IF($A189="","",1)</f>
        <v/>
      </c>
      <c r="W189">
        <f>IF($T189=1,IFERROR(VALUE(MID($A189,2,20)),1000000000)+ROW()/100000,"")</f>
        <v/>
      </c>
    </row>
    <row r="190">
      <c r="F190" s="7">
        <f>IF($A190="","",E190*K190/100)</f>
        <v/>
      </c>
      <c r="J190" s="7" t="n"/>
      <c r="K190" s="7" t="n"/>
      <c r="L190" s="7" t="n"/>
      <c r="O190" s="11" t="n"/>
      <c r="P190">
        <f>IF($A190="","",IF($V190=1,Settings!$C$6,Settings!$C$7)*1)</f>
        <v/>
      </c>
      <c r="Q190" s="7">
        <f>IF($A190="","",P190*K190)</f>
        <v/>
      </c>
      <c r="R190" s="7">
        <f>IF($A190="","",K190-Q190)</f>
        <v/>
      </c>
      <c r="S190" s="7">
        <f>IF($A190="","",R190-F190)</f>
        <v/>
      </c>
      <c r="T190">
        <f>IF($A190="","",IF(COUNTIF($A$2:$A190,$A190)=1,1,0))</f>
        <v/>
      </c>
      <c r="U190">
        <f>IF($T190=1,SUMPRODUCT(--($W$2:$W$501&lt;$W190))+1,"")</f>
        <v/>
      </c>
      <c r="V190">
        <f>IF($A190="","",1)</f>
        <v/>
      </c>
      <c r="W190">
        <f>IF($T190=1,IFERROR(VALUE(MID($A190,2,20)),1000000000)+ROW()/100000,"")</f>
        <v/>
      </c>
    </row>
    <row r="191">
      <c r="F191" s="7">
        <f>IF($A191="","",E191*K191/100)</f>
        <v/>
      </c>
      <c r="J191" s="7" t="n"/>
      <c r="K191" s="7" t="n"/>
      <c r="L191" s="7" t="n"/>
      <c r="O191" s="11" t="n"/>
      <c r="P191">
        <f>IF($A191="","",IF($V191=1,Settings!$C$6,Settings!$C$7)*1)</f>
        <v/>
      </c>
      <c r="Q191" s="7">
        <f>IF($A191="","",P191*K191)</f>
        <v/>
      </c>
      <c r="R191" s="7">
        <f>IF($A191="","",K191-Q191)</f>
        <v/>
      </c>
      <c r="S191" s="7">
        <f>IF($A191="","",R191-F191)</f>
        <v/>
      </c>
      <c r="T191">
        <f>IF($A191="","",IF(COUNTIF($A$2:$A191,$A191)=1,1,0))</f>
        <v/>
      </c>
      <c r="U191">
        <f>IF($T191=1,SUMPRODUCT(--($W$2:$W$501&lt;$W191))+1,"")</f>
        <v/>
      </c>
      <c r="V191">
        <f>IF($A191="","",1)</f>
        <v/>
      </c>
      <c r="W191">
        <f>IF($T191=1,IFERROR(VALUE(MID($A191,2,20)),1000000000)+ROW()/100000,"")</f>
        <v/>
      </c>
    </row>
    <row r="192">
      <c r="F192" s="7">
        <f>IF($A192="","",E192*K192/100)</f>
        <v/>
      </c>
      <c r="J192" s="7" t="n"/>
      <c r="K192" s="7" t="n"/>
      <c r="L192" s="7" t="n"/>
      <c r="O192" s="11" t="n"/>
      <c r="P192">
        <f>IF($A192="","",IF($V192=1,Settings!$C$6,Settings!$C$7)*1)</f>
        <v/>
      </c>
      <c r="Q192" s="7">
        <f>IF($A192="","",P192*K192)</f>
        <v/>
      </c>
      <c r="R192" s="7">
        <f>IF($A192="","",K192-Q192)</f>
        <v/>
      </c>
      <c r="S192" s="7">
        <f>IF($A192="","",R192-F192)</f>
        <v/>
      </c>
      <c r="T192">
        <f>IF($A192="","",IF(COUNTIF($A$2:$A192,$A192)=1,1,0))</f>
        <v/>
      </c>
      <c r="U192">
        <f>IF($T192=1,SUMPRODUCT(--($W$2:$W$501&lt;$W192))+1,"")</f>
        <v/>
      </c>
      <c r="V192">
        <f>IF($A192="","",1)</f>
        <v/>
      </c>
      <c r="W192">
        <f>IF($T192=1,IFERROR(VALUE(MID($A192,2,20)),1000000000)+ROW()/100000,"")</f>
        <v/>
      </c>
    </row>
    <row r="193">
      <c r="F193" s="7">
        <f>IF($A193="","",E193*K193/100)</f>
        <v/>
      </c>
      <c r="J193" s="7" t="n"/>
      <c r="K193" s="7" t="n"/>
      <c r="L193" s="7" t="n"/>
      <c r="O193" s="11" t="n"/>
      <c r="P193">
        <f>IF($A193="","",IF($V193=1,Settings!$C$6,Settings!$C$7)*1)</f>
        <v/>
      </c>
      <c r="Q193" s="7">
        <f>IF($A193="","",P193*K193)</f>
        <v/>
      </c>
      <c r="R193" s="7">
        <f>IF($A193="","",K193-Q193)</f>
        <v/>
      </c>
      <c r="S193" s="7">
        <f>IF($A193="","",R193-F193)</f>
        <v/>
      </c>
      <c r="T193">
        <f>IF($A193="","",IF(COUNTIF($A$2:$A193,$A193)=1,1,0))</f>
        <v/>
      </c>
      <c r="U193">
        <f>IF($T193=1,SUMPRODUCT(--($W$2:$W$501&lt;$W193))+1,"")</f>
        <v/>
      </c>
      <c r="V193">
        <f>IF($A193="","",1)</f>
        <v/>
      </c>
      <c r="W193">
        <f>IF($T193=1,IFERROR(VALUE(MID($A193,2,20)),1000000000)+ROW()/100000,"")</f>
        <v/>
      </c>
    </row>
    <row r="194">
      <c r="F194" s="7">
        <f>IF($A194="","",E194*K194/100)</f>
        <v/>
      </c>
      <c r="J194" s="7" t="n"/>
      <c r="K194" s="7" t="n"/>
      <c r="L194" s="7" t="n"/>
      <c r="O194" s="11" t="n"/>
      <c r="P194">
        <f>IF($A194="","",IF($V194=1,Settings!$C$6,Settings!$C$7)*1)</f>
        <v/>
      </c>
      <c r="Q194" s="7">
        <f>IF($A194="","",P194*K194)</f>
        <v/>
      </c>
      <c r="R194" s="7">
        <f>IF($A194="","",K194-Q194)</f>
        <v/>
      </c>
      <c r="S194" s="7">
        <f>IF($A194="","",R194-F194)</f>
        <v/>
      </c>
      <c r="T194">
        <f>IF($A194="","",IF(COUNTIF($A$2:$A194,$A194)=1,1,0))</f>
        <v/>
      </c>
      <c r="U194">
        <f>IF($T194=1,SUMPRODUCT(--($W$2:$W$501&lt;$W194))+1,"")</f>
        <v/>
      </c>
      <c r="V194">
        <f>IF($A194="","",1)</f>
        <v/>
      </c>
      <c r="W194">
        <f>IF($T194=1,IFERROR(VALUE(MID($A194,2,20)),1000000000)+ROW()/100000,"")</f>
        <v/>
      </c>
    </row>
    <row r="195">
      <c r="F195" s="7">
        <f>IF($A195="","",E195*K195/100)</f>
        <v/>
      </c>
      <c r="J195" s="7" t="n"/>
      <c r="K195" s="7" t="n"/>
      <c r="L195" s="7" t="n"/>
      <c r="O195" s="11" t="n"/>
      <c r="P195">
        <f>IF($A195="","",IF($V195=1,Settings!$C$6,Settings!$C$7)*1)</f>
        <v/>
      </c>
      <c r="Q195" s="7">
        <f>IF($A195="","",P195*K195)</f>
        <v/>
      </c>
      <c r="R195" s="7">
        <f>IF($A195="","",K195-Q195)</f>
        <v/>
      </c>
      <c r="S195" s="7">
        <f>IF($A195="","",R195-F195)</f>
        <v/>
      </c>
      <c r="T195">
        <f>IF($A195="","",IF(COUNTIF($A$2:$A195,$A195)=1,1,0))</f>
        <v/>
      </c>
      <c r="U195">
        <f>IF($T195=1,SUMPRODUCT(--($W$2:$W$501&lt;$W195))+1,"")</f>
        <v/>
      </c>
      <c r="V195">
        <f>IF($A195="","",1)</f>
        <v/>
      </c>
      <c r="W195">
        <f>IF($T195=1,IFERROR(VALUE(MID($A195,2,20)),1000000000)+ROW()/100000,"")</f>
        <v/>
      </c>
    </row>
    <row r="196">
      <c r="F196" s="7">
        <f>IF($A196="","",E196*K196/100)</f>
        <v/>
      </c>
      <c r="J196" s="7" t="n"/>
      <c r="K196" s="7" t="n"/>
      <c r="L196" s="7" t="n"/>
      <c r="O196" s="11" t="n"/>
      <c r="P196">
        <f>IF($A196="","",IF($V196=1,Settings!$C$6,Settings!$C$7)*1)</f>
        <v/>
      </c>
      <c r="Q196" s="7">
        <f>IF($A196="","",P196*K196)</f>
        <v/>
      </c>
      <c r="R196" s="7">
        <f>IF($A196="","",K196-Q196)</f>
        <v/>
      </c>
      <c r="S196" s="7">
        <f>IF($A196="","",R196-F196)</f>
        <v/>
      </c>
      <c r="T196">
        <f>IF($A196="","",IF(COUNTIF($A$2:$A196,$A196)=1,1,0))</f>
        <v/>
      </c>
      <c r="U196">
        <f>IF($T196=1,SUMPRODUCT(--($W$2:$W$501&lt;$W196))+1,"")</f>
        <v/>
      </c>
      <c r="V196">
        <f>IF($A196="","",1)</f>
        <v/>
      </c>
      <c r="W196">
        <f>IF($T196=1,IFERROR(VALUE(MID($A196,2,20)),1000000000)+ROW()/100000,"")</f>
        <v/>
      </c>
    </row>
    <row r="197">
      <c r="F197" s="7">
        <f>IF($A197="","",E197*K197/100)</f>
        <v/>
      </c>
      <c r="J197" s="7" t="n"/>
      <c r="K197" s="7" t="n"/>
      <c r="L197" s="7" t="n"/>
      <c r="O197" s="11" t="n"/>
      <c r="P197">
        <f>IF($A197="","",IF($V197=1,Settings!$C$6,Settings!$C$7)*1)</f>
        <v/>
      </c>
      <c r="Q197" s="7">
        <f>IF($A197="","",P197*K197)</f>
        <v/>
      </c>
      <c r="R197" s="7">
        <f>IF($A197="","",K197-Q197)</f>
        <v/>
      </c>
      <c r="S197" s="7">
        <f>IF($A197="","",R197-F197)</f>
        <v/>
      </c>
      <c r="T197">
        <f>IF($A197="","",IF(COUNTIF($A$2:$A197,$A197)=1,1,0))</f>
        <v/>
      </c>
      <c r="U197">
        <f>IF($T197=1,SUMPRODUCT(--($W$2:$W$501&lt;$W197))+1,"")</f>
        <v/>
      </c>
      <c r="V197">
        <f>IF($A197="","",1)</f>
        <v/>
      </c>
      <c r="W197">
        <f>IF($T197=1,IFERROR(VALUE(MID($A197,2,20)),1000000000)+ROW()/100000,"")</f>
        <v/>
      </c>
    </row>
    <row r="198">
      <c r="F198" s="7">
        <f>IF($A198="","",E198*K198/100)</f>
        <v/>
      </c>
      <c r="J198" s="7" t="n"/>
      <c r="K198" s="7" t="n"/>
      <c r="L198" s="7" t="n"/>
      <c r="O198" s="11" t="n"/>
      <c r="P198">
        <f>IF($A198="","",IF($V198=1,Settings!$C$6,Settings!$C$7)*1)</f>
        <v/>
      </c>
      <c r="Q198" s="7">
        <f>IF($A198="","",P198*K198)</f>
        <v/>
      </c>
      <c r="R198" s="7">
        <f>IF($A198="","",K198-Q198)</f>
        <v/>
      </c>
      <c r="S198" s="7">
        <f>IF($A198="","",R198-F198)</f>
        <v/>
      </c>
      <c r="T198">
        <f>IF($A198="","",IF(COUNTIF($A$2:$A198,$A198)=1,1,0))</f>
        <v/>
      </c>
      <c r="U198">
        <f>IF($T198=1,SUMPRODUCT(--($W$2:$W$501&lt;$W198))+1,"")</f>
        <v/>
      </c>
      <c r="V198">
        <f>IF($A198="","",1)</f>
        <v/>
      </c>
      <c r="W198">
        <f>IF($T198=1,IFERROR(VALUE(MID($A198,2,20)),1000000000)+ROW()/100000,"")</f>
        <v/>
      </c>
    </row>
    <row r="199">
      <c r="F199" s="7">
        <f>IF($A199="","",E199*K199/100)</f>
        <v/>
      </c>
      <c r="J199" s="7" t="n"/>
      <c r="K199" s="7" t="n"/>
      <c r="L199" s="7" t="n"/>
      <c r="O199" s="11" t="n"/>
      <c r="P199">
        <f>IF($A199="","",IF($V199=1,Settings!$C$6,Settings!$C$7)*1)</f>
        <v/>
      </c>
      <c r="Q199" s="7">
        <f>IF($A199="","",P199*K199)</f>
        <v/>
      </c>
      <c r="R199" s="7">
        <f>IF($A199="","",K199-Q199)</f>
        <v/>
      </c>
      <c r="S199" s="7">
        <f>IF($A199="","",R199-F199)</f>
        <v/>
      </c>
      <c r="T199">
        <f>IF($A199="","",IF(COUNTIF($A$2:$A199,$A199)=1,1,0))</f>
        <v/>
      </c>
      <c r="U199">
        <f>IF($T199=1,SUMPRODUCT(--($W$2:$W$501&lt;$W199))+1,"")</f>
        <v/>
      </c>
      <c r="V199">
        <f>IF($A199="","",1)</f>
        <v/>
      </c>
      <c r="W199">
        <f>IF($T199=1,IFERROR(VALUE(MID($A199,2,20)),1000000000)+ROW()/100000,"")</f>
        <v/>
      </c>
    </row>
    <row r="200">
      <c r="F200" s="7">
        <f>IF($A200="","",E200*K200/100)</f>
        <v/>
      </c>
      <c r="J200" s="7" t="n"/>
      <c r="K200" s="7" t="n"/>
      <c r="L200" s="7" t="n"/>
      <c r="O200" s="11" t="n"/>
      <c r="P200">
        <f>IF($A200="","",IF($V200=1,Settings!$C$6,Settings!$C$7)*1)</f>
        <v/>
      </c>
      <c r="Q200" s="7">
        <f>IF($A200="","",P200*K200)</f>
        <v/>
      </c>
      <c r="R200" s="7">
        <f>IF($A200="","",K200-Q200)</f>
        <v/>
      </c>
      <c r="S200" s="7">
        <f>IF($A200="","",R200-F200)</f>
        <v/>
      </c>
      <c r="T200">
        <f>IF($A200="","",IF(COUNTIF($A$2:$A200,$A200)=1,1,0))</f>
        <v/>
      </c>
      <c r="U200">
        <f>IF($T200=1,SUMPRODUCT(--($W$2:$W$501&lt;$W200))+1,"")</f>
        <v/>
      </c>
      <c r="V200">
        <f>IF($A200="","",1)</f>
        <v/>
      </c>
      <c r="W200">
        <f>IF($T200=1,IFERROR(VALUE(MID($A200,2,20)),1000000000)+ROW()/100000,"")</f>
        <v/>
      </c>
    </row>
    <row r="201">
      <c r="F201" s="7">
        <f>IF($A201="","",E201*K201/100)</f>
        <v/>
      </c>
      <c r="J201" s="7" t="n"/>
      <c r="K201" s="7" t="n"/>
      <c r="L201" s="7" t="n"/>
      <c r="O201" s="11" t="n"/>
      <c r="P201">
        <f>IF($A201="","",IF($V201=1,Settings!$C$6,Settings!$C$7)*1)</f>
        <v/>
      </c>
      <c r="Q201" s="7">
        <f>IF($A201="","",P201*K201)</f>
        <v/>
      </c>
      <c r="R201" s="7">
        <f>IF($A201="","",K201-Q201)</f>
        <v/>
      </c>
      <c r="S201" s="7">
        <f>IF($A201="","",R201-F201)</f>
        <v/>
      </c>
      <c r="T201">
        <f>IF($A201="","",IF(COUNTIF($A$2:$A201,$A201)=1,1,0))</f>
        <v/>
      </c>
      <c r="U201">
        <f>IF($T201=1,SUMPRODUCT(--($W$2:$W$501&lt;$W201))+1,"")</f>
        <v/>
      </c>
      <c r="V201">
        <f>IF($A201="","",1)</f>
        <v/>
      </c>
      <c r="W201">
        <f>IF($T201=1,IFERROR(VALUE(MID($A201,2,20)),1000000000)+ROW()/100000,"")</f>
        <v/>
      </c>
    </row>
    <row r="202">
      <c r="F202" s="7">
        <f>IF($A202="","",E202*K202/100)</f>
        <v/>
      </c>
      <c r="J202" s="7" t="n"/>
      <c r="K202" s="7" t="n"/>
      <c r="L202" s="7" t="n"/>
      <c r="O202" s="11" t="n"/>
      <c r="P202">
        <f>IF($A202="","",IF($V202=1,Settings!$C$6,Settings!$C$7)*1)</f>
        <v/>
      </c>
      <c r="Q202" s="7">
        <f>IF($A202="","",P202*K202)</f>
        <v/>
      </c>
      <c r="R202" s="7">
        <f>IF($A202="","",K202-Q202)</f>
        <v/>
      </c>
      <c r="S202" s="7">
        <f>IF($A202="","",R202-F202)</f>
        <v/>
      </c>
      <c r="T202">
        <f>IF($A202="","",IF(COUNTIF($A$2:$A202,$A202)=1,1,0))</f>
        <v/>
      </c>
      <c r="U202">
        <f>IF($T202=1,SUMPRODUCT(--($W$2:$W$501&lt;$W202))+1,"")</f>
        <v/>
      </c>
      <c r="V202">
        <f>IF($A202="","",1)</f>
        <v/>
      </c>
      <c r="W202">
        <f>IF($T202=1,IFERROR(VALUE(MID($A202,2,20)),1000000000)+ROW()/100000,"")</f>
        <v/>
      </c>
    </row>
    <row r="203">
      <c r="F203" s="7">
        <f>IF($A203="","",E203*K203/100)</f>
        <v/>
      </c>
      <c r="J203" s="7" t="n"/>
      <c r="K203" s="7" t="n"/>
      <c r="L203" s="7" t="n"/>
      <c r="O203" s="11" t="n"/>
      <c r="P203">
        <f>IF($A203="","",IF($V203=1,Settings!$C$6,Settings!$C$7)*1)</f>
        <v/>
      </c>
      <c r="Q203" s="7">
        <f>IF($A203="","",P203*K203)</f>
        <v/>
      </c>
      <c r="R203" s="7">
        <f>IF($A203="","",K203-Q203)</f>
        <v/>
      </c>
      <c r="S203" s="7">
        <f>IF($A203="","",R203-F203)</f>
        <v/>
      </c>
      <c r="T203">
        <f>IF($A203="","",IF(COUNTIF($A$2:$A203,$A203)=1,1,0))</f>
        <v/>
      </c>
      <c r="U203">
        <f>IF($T203=1,SUMPRODUCT(--($W$2:$W$501&lt;$W203))+1,"")</f>
        <v/>
      </c>
      <c r="V203">
        <f>IF($A203="","",1)</f>
        <v/>
      </c>
      <c r="W203">
        <f>IF($T203=1,IFERROR(VALUE(MID($A203,2,20)),1000000000)+ROW()/100000,"")</f>
        <v/>
      </c>
    </row>
    <row r="204">
      <c r="F204" s="7">
        <f>IF($A204="","",E204*K204/100)</f>
        <v/>
      </c>
      <c r="J204" s="7" t="n"/>
      <c r="K204" s="7" t="n"/>
      <c r="L204" s="7" t="n"/>
      <c r="O204" s="11" t="n"/>
      <c r="P204">
        <f>IF($A204="","",IF($V204=1,Settings!$C$6,Settings!$C$7)*1)</f>
        <v/>
      </c>
      <c r="Q204" s="7">
        <f>IF($A204="","",P204*K204)</f>
        <v/>
      </c>
      <c r="R204" s="7">
        <f>IF($A204="","",K204-Q204)</f>
        <v/>
      </c>
      <c r="S204" s="7">
        <f>IF($A204="","",R204-F204)</f>
        <v/>
      </c>
      <c r="T204">
        <f>IF($A204="","",IF(COUNTIF($A$2:$A204,$A204)=1,1,0))</f>
        <v/>
      </c>
      <c r="U204">
        <f>IF($T204=1,SUMPRODUCT(--($W$2:$W$501&lt;$W204))+1,"")</f>
        <v/>
      </c>
      <c r="V204">
        <f>IF($A204="","",1)</f>
        <v/>
      </c>
      <c r="W204">
        <f>IF($T204=1,IFERROR(VALUE(MID($A204,2,20)),1000000000)+ROW()/100000,"")</f>
        <v/>
      </c>
    </row>
    <row r="205">
      <c r="F205" s="7">
        <f>IF($A205="","",E205*K205/100)</f>
        <v/>
      </c>
      <c r="J205" s="7" t="n"/>
      <c r="K205" s="7" t="n"/>
      <c r="L205" s="7" t="n"/>
      <c r="O205" s="11" t="n"/>
      <c r="P205">
        <f>IF($A205="","",IF($V205=1,Settings!$C$6,Settings!$C$7)*1)</f>
        <v/>
      </c>
      <c r="Q205" s="7">
        <f>IF($A205="","",P205*K205)</f>
        <v/>
      </c>
      <c r="R205" s="7">
        <f>IF($A205="","",K205-Q205)</f>
        <v/>
      </c>
      <c r="S205" s="7">
        <f>IF($A205="","",R205-F205)</f>
        <v/>
      </c>
      <c r="T205">
        <f>IF($A205="","",IF(COUNTIF($A$2:$A205,$A205)=1,1,0))</f>
        <v/>
      </c>
      <c r="U205">
        <f>IF($T205=1,SUMPRODUCT(--($W$2:$W$501&lt;$W205))+1,"")</f>
        <v/>
      </c>
      <c r="V205">
        <f>IF($A205="","",1)</f>
        <v/>
      </c>
      <c r="W205">
        <f>IF($T205=1,IFERROR(VALUE(MID($A205,2,20)),1000000000)+ROW()/100000,"")</f>
        <v/>
      </c>
    </row>
    <row r="206">
      <c r="F206" s="7">
        <f>IF($A206="","",E206*K206/100)</f>
        <v/>
      </c>
      <c r="J206" s="7" t="n"/>
      <c r="K206" s="7" t="n"/>
      <c r="L206" s="7" t="n"/>
      <c r="O206" s="11" t="n"/>
      <c r="P206">
        <f>IF($A206="","",IF($V206=1,Settings!$C$6,Settings!$C$7)*1)</f>
        <v/>
      </c>
      <c r="Q206" s="7">
        <f>IF($A206="","",P206*K206)</f>
        <v/>
      </c>
      <c r="R206" s="7">
        <f>IF($A206="","",K206-Q206)</f>
        <v/>
      </c>
      <c r="S206" s="7">
        <f>IF($A206="","",R206-F206)</f>
        <v/>
      </c>
      <c r="T206">
        <f>IF($A206="","",IF(COUNTIF($A$2:$A206,$A206)=1,1,0))</f>
        <v/>
      </c>
      <c r="U206">
        <f>IF($T206=1,SUMPRODUCT(--($W$2:$W$501&lt;$W206))+1,"")</f>
        <v/>
      </c>
      <c r="V206">
        <f>IF($A206="","",1)</f>
        <v/>
      </c>
      <c r="W206">
        <f>IF($T206=1,IFERROR(VALUE(MID($A206,2,20)),1000000000)+ROW()/100000,"")</f>
        <v/>
      </c>
    </row>
    <row r="207">
      <c r="F207" s="7">
        <f>IF($A207="","",E207*K207/100)</f>
        <v/>
      </c>
      <c r="J207" s="7" t="n"/>
      <c r="K207" s="7" t="n"/>
      <c r="L207" s="7" t="n"/>
      <c r="O207" s="11" t="n"/>
      <c r="P207">
        <f>IF($A207="","",IF($V207=1,Settings!$C$6,Settings!$C$7)*1)</f>
        <v/>
      </c>
      <c r="Q207" s="7">
        <f>IF($A207="","",P207*K207)</f>
        <v/>
      </c>
      <c r="R207" s="7">
        <f>IF($A207="","",K207-Q207)</f>
        <v/>
      </c>
      <c r="S207" s="7">
        <f>IF($A207="","",R207-F207)</f>
        <v/>
      </c>
      <c r="T207">
        <f>IF($A207="","",IF(COUNTIF($A$2:$A207,$A207)=1,1,0))</f>
        <v/>
      </c>
      <c r="U207">
        <f>IF($T207=1,SUMPRODUCT(--($W$2:$W$501&lt;$W207))+1,"")</f>
        <v/>
      </c>
      <c r="V207">
        <f>IF($A207="","",1)</f>
        <v/>
      </c>
      <c r="W207">
        <f>IF($T207=1,IFERROR(VALUE(MID($A207,2,20)),1000000000)+ROW()/100000,"")</f>
        <v/>
      </c>
    </row>
    <row r="208">
      <c r="F208" s="7">
        <f>IF($A208="","",E208*K208/100)</f>
        <v/>
      </c>
      <c r="J208" s="7" t="n"/>
      <c r="K208" s="7" t="n"/>
      <c r="L208" s="7" t="n"/>
      <c r="O208" s="11" t="n"/>
      <c r="P208">
        <f>IF($A208="","",IF($V208=1,Settings!$C$6,Settings!$C$7)*1)</f>
        <v/>
      </c>
      <c r="Q208" s="7">
        <f>IF($A208="","",P208*K208)</f>
        <v/>
      </c>
      <c r="R208" s="7">
        <f>IF($A208="","",K208-Q208)</f>
        <v/>
      </c>
      <c r="S208" s="7">
        <f>IF($A208="","",R208-F208)</f>
        <v/>
      </c>
      <c r="T208">
        <f>IF($A208="","",IF(COUNTIF($A$2:$A208,$A208)=1,1,0))</f>
        <v/>
      </c>
      <c r="U208">
        <f>IF($T208=1,SUMPRODUCT(--($W$2:$W$501&lt;$W208))+1,"")</f>
        <v/>
      </c>
      <c r="V208">
        <f>IF($A208="","",1)</f>
        <v/>
      </c>
      <c r="W208">
        <f>IF($T208=1,IFERROR(VALUE(MID($A208,2,20)),1000000000)+ROW()/100000,"")</f>
        <v/>
      </c>
    </row>
    <row r="209">
      <c r="F209" s="7">
        <f>IF($A209="","",E209*K209/100)</f>
        <v/>
      </c>
      <c r="J209" s="7" t="n"/>
      <c r="K209" s="7" t="n"/>
      <c r="L209" s="7" t="n"/>
      <c r="O209" s="11" t="n"/>
      <c r="P209">
        <f>IF($A209="","",IF($V209=1,Settings!$C$6,Settings!$C$7)*1)</f>
        <v/>
      </c>
      <c r="Q209" s="7">
        <f>IF($A209="","",P209*K209)</f>
        <v/>
      </c>
      <c r="R209" s="7">
        <f>IF($A209="","",K209-Q209)</f>
        <v/>
      </c>
      <c r="S209" s="7">
        <f>IF($A209="","",R209-F209)</f>
        <v/>
      </c>
      <c r="T209">
        <f>IF($A209="","",IF(COUNTIF($A$2:$A209,$A209)=1,1,0))</f>
        <v/>
      </c>
      <c r="U209">
        <f>IF($T209=1,SUMPRODUCT(--($W$2:$W$501&lt;$W209))+1,"")</f>
        <v/>
      </c>
      <c r="V209">
        <f>IF($A209="","",1)</f>
        <v/>
      </c>
      <c r="W209">
        <f>IF($T209=1,IFERROR(VALUE(MID($A209,2,20)),1000000000)+ROW()/100000,"")</f>
        <v/>
      </c>
    </row>
    <row r="210">
      <c r="F210" s="7">
        <f>IF($A210="","",E210*K210/100)</f>
        <v/>
      </c>
      <c r="J210" s="7" t="n"/>
      <c r="K210" s="7" t="n"/>
      <c r="L210" s="7" t="n"/>
      <c r="O210" s="11" t="n"/>
      <c r="P210">
        <f>IF($A210="","",IF($V210=1,Settings!$C$6,Settings!$C$7)*1)</f>
        <v/>
      </c>
      <c r="Q210" s="7">
        <f>IF($A210="","",P210*K210)</f>
        <v/>
      </c>
      <c r="R210" s="7">
        <f>IF($A210="","",K210-Q210)</f>
        <v/>
      </c>
      <c r="S210" s="7">
        <f>IF($A210="","",R210-F210)</f>
        <v/>
      </c>
      <c r="T210">
        <f>IF($A210="","",IF(COUNTIF($A$2:$A210,$A210)=1,1,0))</f>
        <v/>
      </c>
      <c r="U210">
        <f>IF($T210=1,SUMPRODUCT(--($W$2:$W$501&lt;$W210))+1,"")</f>
        <v/>
      </c>
      <c r="V210">
        <f>IF($A210="","",1)</f>
        <v/>
      </c>
      <c r="W210">
        <f>IF($T210=1,IFERROR(VALUE(MID($A210,2,20)),1000000000)+ROW()/100000,"")</f>
        <v/>
      </c>
    </row>
    <row r="211">
      <c r="F211" s="7">
        <f>IF($A211="","",E211*K211/100)</f>
        <v/>
      </c>
      <c r="J211" s="7" t="n"/>
      <c r="K211" s="7" t="n"/>
      <c r="L211" s="7" t="n"/>
      <c r="O211" s="11" t="n"/>
      <c r="P211">
        <f>IF($A211="","",IF($V211=1,Settings!$C$6,Settings!$C$7)*1)</f>
        <v/>
      </c>
      <c r="Q211" s="7">
        <f>IF($A211="","",P211*K211)</f>
        <v/>
      </c>
      <c r="R211" s="7">
        <f>IF($A211="","",K211-Q211)</f>
        <v/>
      </c>
      <c r="S211" s="7">
        <f>IF($A211="","",R211-F211)</f>
        <v/>
      </c>
      <c r="T211">
        <f>IF($A211="","",IF(COUNTIF($A$2:$A211,$A211)=1,1,0))</f>
        <v/>
      </c>
      <c r="U211">
        <f>IF($T211=1,SUMPRODUCT(--($W$2:$W$501&lt;$W211))+1,"")</f>
        <v/>
      </c>
      <c r="V211">
        <f>IF($A211="","",1)</f>
        <v/>
      </c>
      <c r="W211">
        <f>IF($T211=1,IFERROR(VALUE(MID($A211,2,20)),1000000000)+ROW()/100000,"")</f>
        <v/>
      </c>
    </row>
    <row r="212">
      <c r="F212" s="7">
        <f>IF($A212="","",E212*K212/100)</f>
        <v/>
      </c>
      <c r="J212" s="7" t="n"/>
      <c r="K212" s="7" t="n"/>
      <c r="L212" s="7" t="n"/>
      <c r="O212" s="11" t="n"/>
      <c r="P212">
        <f>IF($A212="","",IF($V212=1,Settings!$C$6,Settings!$C$7)*1)</f>
        <v/>
      </c>
      <c r="Q212" s="7">
        <f>IF($A212="","",P212*K212)</f>
        <v/>
      </c>
      <c r="R212" s="7">
        <f>IF($A212="","",K212-Q212)</f>
        <v/>
      </c>
      <c r="S212" s="7">
        <f>IF($A212="","",R212-F212)</f>
        <v/>
      </c>
      <c r="T212">
        <f>IF($A212="","",IF(COUNTIF($A$2:$A212,$A212)=1,1,0))</f>
        <v/>
      </c>
      <c r="U212">
        <f>IF($T212=1,SUMPRODUCT(--($W$2:$W$501&lt;$W212))+1,"")</f>
        <v/>
      </c>
      <c r="V212">
        <f>IF($A212="","",1)</f>
        <v/>
      </c>
      <c r="W212">
        <f>IF($T212=1,IFERROR(VALUE(MID($A212,2,20)),1000000000)+ROW()/100000,"")</f>
        <v/>
      </c>
    </row>
    <row r="213">
      <c r="F213" s="7">
        <f>IF($A213="","",E213*K213/100)</f>
        <v/>
      </c>
      <c r="J213" s="7" t="n"/>
      <c r="K213" s="7" t="n"/>
      <c r="L213" s="7" t="n"/>
      <c r="O213" s="11" t="n"/>
      <c r="P213">
        <f>IF($A213="","",IF($V213=1,Settings!$C$6,Settings!$C$7)*1)</f>
        <v/>
      </c>
      <c r="Q213" s="7">
        <f>IF($A213="","",P213*K213)</f>
        <v/>
      </c>
      <c r="R213" s="7">
        <f>IF($A213="","",K213-Q213)</f>
        <v/>
      </c>
      <c r="S213" s="7">
        <f>IF($A213="","",R213-F213)</f>
        <v/>
      </c>
      <c r="T213">
        <f>IF($A213="","",IF(COUNTIF($A$2:$A213,$A213)=1,1,0))</f>
        <v/>
      </c>
      <c r="U213">
        <f>IF($T213=1,SUMPRODUCT(--($W$2:$W$501&lt;$W213))+1,"")</f>
        <v/>
      </c>
      <c r="V213">
        <f>IF($A213="","",1)</f>
        <v/>
      </c>
      <c r="W213">
        <f>IF($T213=1,IFERROR(VALUE(MID($A213,2,20)),1000000000)+ROW()/100000,"")</f>
        <v/>
      </c>
    </row>
    <row r="214">
      <c r="F214" s="7">
        <f>IF($A214="","",E214*K214/100)</f>
        <v/>
      </c>
      <c r="J214" s="7" t="n"/>
      <c r="K214" s="7" t="n"/>
      <c r="L214" s="7" t="n"/>
      <c r="O214" s="11" t="n"/>
      <c r="P214">
        <f>IF($A214="","",IF($V214=1,Settings!$C$6,Settings!$C$7)*1)</f>
        <v/>
      </c>
      <c r="Q214" s="7">
        <f>IF($A214="","",P214*K214)</f>
        <v/>
      </c>
      <c r="R214" s="7">
        <f>IF($A214="","",K214-Q214)</f>
        <v/>
      </c>
      <c r="S214" s="7">
        <f>IF($A214="","",R214-F214)</f>
        <v/>
      </c>
      <c r="T214">
        <f>IF($A214="","",IF(COUNTIF($A$2:$A214,$A214)=1,1,0))</f>
        <v/>
      </c>
      <c r="U214">
        <f>IF($T214=1,SUMPRODUCT(--($W$2:$W$501&lt;$W214))+1,"")</f>
        <v/>
      </c>
      <c r="V214">
        <f>IF($A214="","",1)</f>
        <v/>
      </c>
      <c r="W214">
        <f>IF($T214=1,IFERROR(VALUE(MID($A214,2,20)),1000000000)+ROW()/100000,"")</f>
        <v/>
      </c>
    </row>
    <row r="215">
      <c r="F215" s="7">
        <f>IF($A215="","",E215*K215/100)</f>
        <v/>
      </c>
      <c r="J215" s="7" t="n"/>
      <c r="K215" s="7" t="n"/>
      <c r="L215" s="7" t="n"/>
      <c r="O215" s="11" t="n"/>
      <c r="P215">
        <f>IF($A215="","",IF($V215=1,Settings!$C$6,Settings!$C$7)*1)</f>
        <v/>
      </c>
      <c r="Q215" s="7">
        <f>IF($A215="","",P215*K215)</f>
        <v/>
      </c>
      <c r="R215" s="7">
        <f>IF($A215="","",K215-Q215)</f>
        <v/>
      </c>
      <c r="S215" s="7">
        <f>IF($A215="","",R215-F215)</f>
        <v/>
      </c>
      <c r="T215">
        <f>IF($A215="","",IF(COUNTIF($A$2:$A215,$A215)=1,1,0))</f>
        <v/>
      </c>
      <c r="U215">
        <f>IF($T215=1,SUMPRODUCT(--($W$2:$W$501&lt;$W215))+1,"")</f>
        <v/>
      </c>
      <c r="V215">
        <f>IF($A215="","",1)</f>
        <v/>
      </c>
      <c r="W215">
        <f>IF($T215=1,IFERROR(VALUE(MID($A215,2,20)),1000000000)+ROW()/100000,"")</f>
        <v/>
      </c>
    </row>
    <row r="216">
      <c r="F216" s="7">
        <f>IF($A216="","",E216*K216/100)</f>
        <v/>
      </c>
      <c r="J216" s="7" t="n"/>
      <c r="K216" s="7" t="n"/>
      <c r="L216" s="7" t="n"/>
      <c r="O216" s="11" t="n"/>
      <c r="P216">
        <f>IF($A216="","",IF($V216=1,Settings!$C$6,Settings!$C$7)*1)</f>
        <v/>
      </c>
      <c r="Q216" s="7">
        <f>IF($A216="","",P216*K216)</f>
        <v/>
      </c>
      <c r="R216" s="7">
        <f>IF($A216="","",K216-Q216)</f>
        <v/>
      </c>
      <c r="S216" s="7">
        <f>IF($A216="","",R216-F216)</f>
        <v/>
      </c>
      <c r="T216">
        <f>IF($A216="","",IF(COUNTIF($A$2:$A216,$A216)=1,1,0))</f>
        <v/>
      </c>
      <c r="U216">
        <f>IF($T216=1,SUMPRODUCT(--($W$2:$W$501&lt;$W216))+1,"")</f>
        <v/>
      </c>
      <c r="V216">
        <f>IF($A216="","",1)</f>
        <v/>
      </c>
      <c r="W216">
        <f>IF($T216=1,IFERROR(VALUE(MID($A216,2,20)),1000000000)+ROW()/100000,"")</f>
        <v/>
      </c>
    </row>
    <row r="217">
      <c r="F217" s="7">
        <f>IF($A217="","",E217*K217/100)</f>
        <v/>
      </c>
      <c r="J217" s="7" t="n"/>
      <c r="K217" s="7" t="n"/>
      <c r="L217" s="7" t="n"/>
      <c r="O217" s="11" t="n"/>
      <c r="P217">
        <f>IF($A217="","",IF($V217=1,Settings!$C$6,Settings!$C$7)*1)</f>
        <v/>
      </c>
      <c r="Q217" s="7">
        <f>IF($A217="","",P217*K217)</f>
        <v/>
      </c>
      <c r="R217" s="7">
        <f>IF($A217="","",K217-Q217)</f>
        <v/>
      </c>
      <c r="S217" s="7">
        <f>IF($A217="","",R217-F217)</f>
        <v/>
      </c>
      <c r="T217">
        <f>IF($A217="","",IF(COUNTIF($A$2:$A217,$A217)=1,1,0))</f>
        <v/>
      </c>
      <c r="U217">
        <f>IF($T217=1,SUMPRODUCT(--($W$2:$W$501&lt;$W217))+1,"")</f>
        <v/>
      </c>
      <c r="V217">
        <f>IF($A217="","",1)</f>
        <v/>
      </c>
      <c r="W217">
        <f>IF($T217=1,IFERROR(VALUE(MID($A217,2,20)),1000000000)+ROW()/100000,"")</f>
        <v/>
      </c>
    </row>
    <row r="218">
      <c r="F218" s="7">
        <f>IF($A218="","",E218*K218/100)</f>
        <v/>
      </c>
      <c r="J218" s="7" t="n"/>
      <c r="K218" s="7" t="n"/>
      <c r="L218" s="7" t="n"/>
      <c r="O218" s="11" t="n"/>
      <c r="P218">
        <f>IF($A218="","",IF($V218=1,Settings!$C$6,Settings!$C$7)*1)</f>
        <v/>
      </c>
      <c r="Q218" s="7">
        <f>IF($A218="","",P218*K218)</f>
        <v/>
      </c>
      <c r="R218" s="7">
        <f>IF($A218="","",K218-Q218)</f>
        <v/>
      </c>
      <c r="S218" s="7">
        <f>IF($A218="","",R218-F218)</f>
        <v/>
      </c>
      <c r="T218">
        <f>IF($A218="","",IF(COUNTIF($A$2:$A218,$A218)=1,1,0))</f>
        <v/>
      </c>
      <c r="U218">
        <f>IF($T218=1,SUMPRODUCT(--($W$2:$W$501&lt;$W218))+1,"")</f>
        <v/>
      </c>
      <c r="V218">
        <f>IF($A218="","",1)</f>
        <v/>
      </c>
      <c r="W218">
        <f>IF($T218=1,IFERROR(VALUE(MID($A218,2,20)),1000000000)+ROW()/100000,"")</f>
        <v/>
      </c>
    </row>
    <row r="219">
      <c r="F219" s="7">
        <f>IF($A219="","",E219*K219/100)</f>
        <v/>
      </c>
      <c r="J219" s="7" t="n"/>
      <c r="K219" s="7" t="n"/>
      <c r="L219" s="7" t="n"/>
      <c r="O219" s="11" t="n"/>
      <c r="P219">
        <f>IF($A219="","",IF($V219=1,Settings!$C$6,Settings!$C$7)*1)</f>
        <v/>
      </c>
      <c r="Q219" s="7">
        <f>IF($A219="","",P219*K219)</f>
        <v/>
      </c>
      <c r="R219" s="7">
        <f>IF($A219="","",K219-Q219)</f>
        <v/>
      </c>
      <c r="S219" s="7">
        <f>IF($A219="","",R219-F219)</f>
        <v/>
      </c>
      <c r="T219">
        <f>IF($A219="","",IF(COUNTIF($A$2:$A219,$A219)=1,1,0))</f>
        <v/>
      </c>
      <c r="U219">
        <f>IF($T219=1,SUMPRODUCT(--($W$2:$W$501&lt;$W219))+1,"")</f>
        <v/>
      </c>
      <c r="V219">
        <f>IF($A219="","",1)</f>
        <v/>
      </c>
      <c r="W219">
        <f>IF($T219=1,IFERROR(VALUE(MID($A219,2,20)),1000000000)+ROW()/100000,"")</f>
        <v/>
      </c>
    </row>
    <row r="220">
      <c r="F220" s="7">
        <f>IF($A220="","",E220*K220/100)</f>
        <v/>
      </c>
      <c r="J220" s="7" t="n"/>
      <c r="K220" s="7" t="n"/>
      <c r="L220" s="7" t="n"/>
      <c r="O220" s="11" t="n"/>
      <c r="P220">
        <f>IF($A220="","",IF($V220=1,Settings!$C$6,Settings!$C$7)*1)</f>
        <v/>
      </c>
      <c r="Q220" s="7">
        <f>IF($A220="","",P220*K220)</f>
        <v/>
      </c>
      <c r="R220" s="7">
        <f>IF($A220="","",K220-Q220)</f>
        <v/>
      </c>
      <c r="S220" s="7">
        <f>IF($A220="","",R220-F220)</f>
        <v/>
      </c>
      <c r="T220">
        <f>IF($A220="","",IF(COUNTIF($A$2:$A220,$A220)=1,1,0))</f>
        <v/>
      </c>
      <c r="U220">
        <f>IF($T220=1,SUMPRODUCT(--($W$2:$W$501&lt;$W220))+1,"")</f>
        <v/>
      </c>
      <c r="V220">
        <f>IF($A220="","",1)</f>
        <v/>
      </c>
      <c r="W220">
        <f>IF($T220=1,IFERROR(VALUE(MID($A220,2,20)),1000000000)+ROW()/100000,"")</f>
        <v/>
      </c>
    </row>
    <row r="221">
      <c r="F221" s="7">
        <f>IF($A221="","",E221*K221/100)</f>
        <v/>
      </c>
      <c r="J221" s="7" t="n"/>
      <c r="K221" s="7" t="n"/>
      <c r="L221" s="7" t="n"/>
      <c r="O221" s="11" t="n"/>
      <c r="P221">
        <f>IF($A221="","",IF($V221=1,Settings!$C$6,Settings!$C$7)*1)</f>
        <v/>
      </c>
      <c r="Q221" s="7">
        <f>IF($A221="","",P221*K221)</f>
        <v/>
      </c>
      <c r="R221" s="7">
        <f>IF($A221="","",K221-Q221)</f>
        <v/>
      </c>
      <c r="S221" s="7">
        <f>IF($A221="","",R221-F221)</f>
        <v/>
      </c>
      <c r="T221">
        <f>IF($A221="","",IF(COUNTIF($A$2:$A221,$A221)=1,1,0))</f>
        <v/>
      </c>
      <c r="U221">
        <f>IF($T221=1,SUMPRODUCT(--($W$2:$W$501&lt;$W221))+1,"")</f>
        <v/>
      </c>
      <c r="V221">
        <f>IF($A221="","",1)</f>
        <v/>
      </c>
      <c r="W221">
        <f>IF($T221=1,IFERROR(VALUE(MID($A221,2,20)),1000000000)+ROW()/100000,"")</f>
        <v/>
      </c>
    </row>
    <row r="222">
      <c r="F222" s="7">
        <f>IF($A222="","",E222*K222/100)</f>
        <v/>
      </c>
      <c r="J222" s="7" t="n"/>
      <c r="K222" s="7" t="n"/>
      <c r="L222" s="7" t="n"/>
      <c r="O222" s="11" t="n"/>
      <c r="P222">
        <f>IF($A222="","",IF($V222=1,Settings!$C$6,Settings!$C$7)*1)</f>
        <v/>
      </c>
      <c r="Q222" s="7">
        <f>IF($A222="","",P222*K222)</f>
        <v/>
      </c>
      <c r="R222" s="7">
        <f>IF($A222="","",K222-Q222)</f>
        <v/>
      </c>
      <c r="S222" s="7">
        <f>IF($A222="","",R222-F222)</f>
        <v/>
      </c>
      <c r="T222">
        <f>IF($A222="","",IF(COUNTIF($A$2:$A222,$A222)=1,1,0))</f>
        <v/>
      </c>
      <c r="U222">
        <f>IF($T222=1,SUMPRODUCT(--($W$2:$W$501&lt;$W222))+1,"")</f>
        <v/>
      </c>
      <c r="V222">
        <f>IF($A222="","",1)</f>
        <v/>
      </c>
      <c r="W222">
        <f>IF($T222=1,IFERROR(VALUE(MID($A222,2,20)),1000000000)+ROW()/100000,"")</f>
        <v/>
      </c>
    </row>
    <row r="223">
      <c r="F223" s="7">
        <f>IF($A223="","",E223*K223/100)</f>
        <v/>
      </c>
      <c r="J223" s="7" t="n"/>
      <c r="K223" s="7" t="n"/>
      <c r="L223" s="7" t="n"/>
      <c r="O223" s="11" t="n"/>
      <c r="P223">
        <f>IF($A223="","",IF($V223=1,Settings!$C$6,Settings!$C$7)*1)</f>
        <v/>
      </c>
      <c r="Q223" s="7">
        <f>IF($A223="","",P223*K223)</f>
        <v/>
      </c>
      <c r="R223" s="7">
        <f>IF($A223="","",K223-Q223)</f>
        <v/>
      </c>
      <c r="S223" s="7">
        <f>IF($A223="","",R223-F223)</f>
        <v/>
      </c>
      <c r="T223">
        <f>IF($A223="","",IF(COUNTIF($A$2:$A223,$A223)=1,1,0))</f>
        <v/>
      </c>
      <c r="U223">
        <f>IF($T223=1,SUMPRODUCT(--($W$2:$W$501&lt;$W223))+1,"")</f>
        <v/>
      </c>
      <c r="V223">
        <f>IF($A223="","",1)</f>
        <v/>
      </c>
      <c r="W223">
        <f>IF($T223=1,IFERROR(VALUE(MID($A223,2,20)),1000000000)+ROW()/100000,"")</f>
        <v/>
      </c>
    </row>
    <row r="224">
      <c r="F224" s="7">
        <f>IF($A224="","",E224*K224/100)</f>
        <v/>
      </c>
      <c r="J224" s="7" t="n"/>
      <c r="K224" s="7" t="n"/>
      <c r="L224" s="7" t="n"/>
      <c r="O224" s="11" t="n"/>
      <c r="P224">
        <f>IF($A224="","",IF($V224=1,Settings!$C$6,Settings!$C$7)*1)</f>
        <v/>
      </c>
      <c r="Q224" s="7">
        <f>IF($A224="","",P224*K224)</f>
        <v/>
      </c>
      <c r="R224" s="7">
        <f>IF($A224="","",K224-Q224)</f>
        <v/>
      </c>
      <c r="S224" s="7">
        <f>IF($A224="","",R224-F224)</f>
        <v/>
      </c>
      <c r="T224">
        <f>IF($A224="","",IF(COUNTIF($A$2:$A224,$A224)=1,1,0))</f>
        <v/>
      </c>
      <c r="U224">
        <f>IF($T224=1,SUMPRODUCT(--($W$2:$W$501&lt;$W224))+1,"")</f>
        <v/>
      </c>
      <c r="V224">
        <f>IF($A224="","",1)</f>
        <v/>
      </c>
      <c r="W224">
        <f>IF($T224=1,IFERROR(VALUE(MID($A224,2,20)),1000000000)+ROW()/100000,"")</f>
        <v/>
      </c>
    </row>
    <row r="225">
      <c r="F225" s="7">
        <f>IF($A225="","",E225*K225/100)</f>
        <v/>
      </c>
      <c r="J225" s="7" t="n"/>
      <c r="K225" s="7" t="n"/>
      <c r="L225" s="7" t="n"/>
      <c r="O225" s="11" t="n"/>
      <c r="P225">
        <f>IF($A225="","",IF($V225=1,Settings!$C$6,Settings!$C$7)*1)</f>
        <v/>
      </c>
      <c r="Q225" s="7">
        <f>IF($A225="","",P225*K225)</f>
        <v/>
      </c>
      <c r="R225" s="7">
        <f>IF($A225="","",K225-Q225)</f>
        <v/>
      </c>
      <c r="S225" s="7">
        <f>IF($A225="","",R225-F225)</f>
        <v/>
      </c>
      <c r="T225">
        <f>IF($A225="","",IF(COUNTIF($A$2:$A225,$A225)=1,1,0))</f>
        <v/>
      </c>
      <c r="U225">
        <f>IF($T225=1,SUMPRODUCT(--($W$2:$W$501&lt;$W225))+1,"")</f>
        <v/>
      </c>
      <c r="V225">
        <f>IF($A225="","",1)</f>
        <v/>
      </c>
      <c r="W225">
        <f>IF($T225=1,IFERROR(VALUE(MID($A225,2,20)),1000000000)+ROW()/100000,"")</f>
        <v/>
      </c>
    </row>
    <row r="226">
      <c r="F226" s="7">
        <f>IF($A226="","",E226*K226/100)</f>
        <v/>
      </c>
      <c r="J226" s="7" t="n"/>
      <c r="K226" s="7" t="n"/>
      <c r="L226" s="7" t="n"/>
      <c r="O226" s="11" t="n"/>
      <c r="P226">
        <f>IF($A226="","",IF($V226=1,Settings!$C$6,Settings!$C$7)*1)</f>
        <v/>
      </c>
      <c r="Q226" s="7">
        <f>IF($A226="","",P226*K226)</f>
        <v/>
      </c>
      <c r="R226" s="7">
        <f>IF($A226="","",K226-Q226)</f>
        <v/>
      </c>
      <c r="S226" s="7">
        <f>IF($A226="","",R226-F226)</f>
        <v/>
      </c>
      <c r="T226">
        <f>IF($A226="","",IF(COUNTIF($A$2:$A226,$A226)=1,1,0))</f>
        <v/>
      </c>
      <c r="U226">
        <f>IF($T226=1,SUMPRODUCT(--($W$2:$W$501&lt;$W226))+1,"")</f>
        <v/>
      </c>
      <c r="V226">
        <f>IF($A226="","",1)</f>
        <v/>
      </c>
      <c r="W226">
        <f>IF($T226=1,IFERROR(VALUE(MID($A226,2,20)),1000000000)+ROW()/100000,"")</f>
        <v/>
      </c>
    </row>
    <row r="227">
      <c r="F227" s="7">
        <f>IF($A227="","",E227*K227/100)</f>
        <v/>
      </c>
      <c r="J227" s="7" t="n"/>
      <c r="K227" s="7" t="n"/>
      <c r="L227" s="7" t="n"/>
      <c r="O227" s="11" t="n"/>
      <c r="P227">
        <f>IF($A227="","",IF($V227=1,Settings!$C$6,Settings!$C$7)*1)</f>
        <v/>
      </c>
      <c r="Q227" s="7">
        <f>IF($A227="","",P227*K227)</f>
        <v/>
      </c>
      <c r="R227" s="7">
        <f>IF($A227="","",K227-Q227)</f>
        <v/>
      </c>
      <c r="S227" s="7">
        <f>IF($A227="","",R227-F227)</f>
        <v/>
      </c>
      <c r="T227">
        <f>IF($A227="","",IF(COUNTIF($A$2:$A227,$A227)=1,1,0))</f>
        <v/>
      </c>
      <c r="U227">
        <f>IF($T227=1,SUMPRODUCT(--($W$2:$W$501&lt;$W227))+1,"")</f>
        <v/>
      </c>
      <c r="V227">
        <f>IF($A227="","",1)</f>
        <v/>
      </c>
      <c r="W227">
        <f>IF($T227=1,IFERROR(VALUE(MID($A227,2,20)),1000000000)+ROW()/100000,"")</f>
        <v/>
      </c>
    </row>
    <row r="228">
      <c r="F228" s="7">
        <f>IF($A228="","",E228*K228/100)</f>
        <v/>
      </c>
      <c r="J228" s="7" t="n"/>
      <c r="K228" s="7" t="n"/>
      <c r="L228" s="7" t="n"/>
      <c r="O228" s="11" t="n"/>
      <c r="P228">
        <f>IF($A228="","",IF($V228=1,Settings!$C$6,Settings!$C$7)*1)</f>
        <v/>
      </c>
      <c r="Q228" s="7">
        <f>IF($A228="","",P228*K228)</f>
        <v/>
      </c>
      <c r="R228" s="7">
        <f>IF($A228="","",K228-Q228)</f>
        <v/>
      </c>
      <c r="S228" s="7">
        <f>IF($A228="","",R228-F228)</f>
        <v/>
      </c>
      <c r="T228">
        <f>IF($A228="","",IF(COUNTIF($A$2:$A228,$A228)=1,1,0))</f>
        <v/>
      </c>
      <c r="U228">
        <f>IF($T228=1,SUMPRODUCT(--($W$2:$W$501&lt;$W228))+1,"")</f>
        <v/>
      </c>
      <c r="V228">
        <f>IF($A228="","",1)</f>
        <v/>
      </c>
      <c r="W228">
        <f>IF($T228=1,IFERROR(VALUE(MID($A228,2,20)),1000000000)+ROW()/100000,"")</f>
        <v/>
      </c>
    </row>
    <row r="229">
      <c r="F229" s="7">
        <f>IF($A229="","",E229*K229/100)</f>
        <v/>
      </c>
      <c r="J229" s="7" t="n"/>
      <c r="K229" s="7" t="n"/>
      <c r="L229" s="7" t="n"/>
      <c r="O229" s="11" t="n"/>
      <c r="P229">
        <f>IF($A229="","",IF($V229=1,Settings!$C$6,Settings!$C$7)*1)</f>
        <v/>
      </c>
      <c r="Q229" s="7">
        <f>IF($A229="","",P229*K229)</f>
        <v/>
      </c>
      <c r="R229" s="7">
        <f>IF($A229="","",K229-Q229)</f>
        <v/>
      </c>
      <c r="S229" s="7">
        <f>IF($A229="","",R229-F229)</f>
        <v/>
      </c>
      <c r="T229">
        <f>IF($A229="","",IF(COUNTIF($A$2:$A229,$A229)=1,1,0))</f>
        <v/>
      </c>
      <c r="U229">
        <f>IF($T229=1,SUMPRODUCT(--($W$2:$W$501&lt;$W229))+1,"")</f>
        <v/>
      </c>
      <c r="V229">
        <f>IF($A229="","",1)</f>
        <v/>
      </c>
      <c r="W229">
        <f>IF($T229=1,IFERROR(VALUE(MID($A229,2,20)),1000000000)+ROW()/100000,"")</f>
        <v/>
      </c>
    </row>
    <row r="230">
      <c r="F230" s="7">
        <f>IF($A230="","",E230*K230/100)</f>
        <v/>
      </c>
      <c r="J230" s="7" t="n"/>
      <c r="K230" s="7" t="n"/>
      <c r="L230" s="7" t="n"/>
      <c r="O230" s="11" t="n"/>
      <c r="P230">
        <f>IF($A230="","",IF($V230=1,Settings!$C$6,Settings!$C$7)*1)</f>
        <v/>
      </c>
      <c r="Q230" s="7">
        <f>IF($A230="","",P230*K230)</f>
        <v/>
      </c>
      <c r="R230" s="7">
        <f>IF($A230="","",K230-Q230)</f>
        <v/>
      </c>
      <c r="S230" s="7">
        <f>IF($A230="","",R230-F230)</f>
        <v/>
      </c>
      <c r="T230">
        <f>IF($A230="","",IF(COUNTIF($A$2:$A230,$A230)=1,1,0))</f>
        <v/>
      </c>
      <c r="U230">
        <f>IF($T230=1,SUMPRODUCT(--($W$2:$W$501&lt;$W230))+1,"")</f>
        <v/>
      </c>
      <c r="V230">
        <f>IF($A230="","",1)</f>
        <v/>
      </c>
      <c r="W230">
        <f>IF($T230=1,IFERROR(VALUE(MID($A230,2,20)),1000000000)+ROW()/100000,"")</f>
        <v/>
      </c>
    </row>
    <row r="231">
      <c r="F231" s="7">
        <f>IF($A231="","",E231*K231/100)</f>
        <v/>
      </c>
      <c r="J231" s="7" t="n"/>
      <c r="K231" s="7" t="n"/>
      <c r="L231" s="7" t="n"/>
      <c r="O231" s="11" t="n"/>
      <c r="P231">
        <f>IF($A231="","",IF($V231=1,Settings!$C$6,Settings!$C$7)*1)</f>
        <v/>
      </c>
      <c r="Q231" s="7">
        <f>IF($A231="","",P231*K231)</f>
        <v/>
      </c>
      <c r="R231" s="7">
        <f>IF($A231="","",K231-Q231)</f>
        <v/>
      </c>
      <c r="S231" s="7">
        <f>IF($A231="","",R231-F231)</f>
        <v/>
      </c>
      <c r="T231">
        <f>IF($A231="","",IF(COUNTIF($A$2:$A231,$A231)=1,1,0))</f>
        <v/>
      </c>
      <c r="U231">
        <f>IF($T231=1,SUMPRODUCT(--($W$2:$W$501&lt;$W231))+1,"")</f>
        <v/>
      </c>
      <c r="V231">
        <f>IF($A231="","",1)</f>
        <v/>
      </c>
      <c r="W231">
        <f>IF($T231=1,IFERROR(VALUE(MID($A231,2,20)),1000000000)+ROW()/100000,"")</f>
        <v/>
      </c>
    </row>
    <row r="232">
      <c r="F232" s="7">
        <f>IF($A232="","",E232*K232/100)</f>
        <v/>
      </c>
      <c r="J232" s="7" t="n"/>
      <c r="K232" s="7" t="n"/>
      <c r="L232" s="7" t="n"/>
      <c r="O232" s="11" t="n"/>
      <c r="P232">
        <f>IF($A232="","",IF($V232=1,Settings!$C$6,Settings!$C$7)*1)</f>
        <v/>
      </c>
      <c r="Q232" s="7">
        <f>IF($A232="","",P232*K232)</f>
        <v/>
      </c>
      <c r="R232" s="7">
        <f>IF($A232="","",K232-Q232)</f>
        <v/>
      </c>
      <c r="S232" s="7">
        <f>IF($A232="","",R232-F232)</f>
        <v/>
      </c>
      <c r="T232">
        <f>IF($A232="","",IF(COUNTIF($A$2:$A232,$A232)=1,1,0))</f>
        <v/>
      </c>
      <c r="U232">
        <f>IF($T232=1,SUMPRODUCT(--($W$2:$W$501&lt;$W232))+1,"")</f>
        <v/>
      </c>
      <c r="V232">
        <f>IF($A232="","",1)</f>
        <v/>
      </c>
      <c r="W232">
        <f>IF($T232=1,IFERROR(VALUE(MID($A232,2,20)),1000000000)+ROW()/100000,"")</f>
        <v/>
      </c>
    </row>
    <row r="233">
      <c r="F233" s="7">
        <f>IF($A233="","",E233*K233/100)</f>
        <v/>
      </c>
      <c r="J233" s="7" t="n"/>
      <c r="K233" s="7" t="n"/>
      <c r="L233" s="7" t="n"/>
      <c r="O233" s="11" t="n"/>
      <c r="P233">
        <f>IF($A233="","",IF($V233=1,Settings!$C$6,Settings!$C$7)*1)</f>
        <v/>
      </c>
      <c r="Q233" s="7">
        <f>IF($A233="","",P233*K233)</f>
        <v/>
      </c>
      <c r="R233" s="7">
        <f>IF($A233="","",K233-Q233)</f>
        <v/>
      </c>
      <c r="S233" s="7">
        <f>IF($A233="","",R233-F233)</f>
        <v/>
      </c>
      <c r="T233">
        <f>IF($A233="","",IF(COUNTIF($A$2:$A233,$A233)=1,1,0))</f>
        <v/>
      </c>
      <c r="U233">
        <f>IF($T233=1,SUMPRODUCT(--($W$2:$W$501&lt;$W233))+1,"")</f>
        <v/>
      </c>
      <c r="V233">
        <f>IF($A233="","",1)</f>
        <v/>
      </c>
      <c r="W233">
        <f>IF($T233=1,IFERROR(VALUE(MID($A233,2,20)),1000000000)+ROW()/100000,"")</f>
        <v/>
      </c>
    </row>
    <row r="234">
      <c r="F234" s="7">
        <f>IF($A234="","",E234*K234/100)</f>
        <v/>
      </c>
      <c r="J234" s="7" t="n"/>
      <c r="K234" s="7" t="n"/>
      <c r="L234" s="7" t="n"/>
      <c r="O234" s="11" t="n"/>
      <c r="P234">
        <f>IF($A234="","",IF($V234=1,Settings!$C$6,Settings!$C$7)*1)</f>
        <v/>
      </c>
      <c r="Q234" s="7">
        <f>IF($A234="","",P234*K234)</f>
        <v/>
      </c>
      <c r="R234" s="7">
        <f>IF($A234="","",K234-Q234)</f>
        <v/>
      </c>
      <c r="S234" s="7">
        <f>IF($A234="","",R234-F234)</f>
        <v/>
      </c>
      <c r="T234">
        <f>IF($A234="","",IF(COUNTIF($A$2:$A234,$A234)=1,1,0))</f>
        <v/>
      </c>
      <c r="U234">
        <f>IF($T234=1,SUMPRODUCT(--($W$2:$W$501&lt;$W234))+1,"")</f>
        <v/>
      </c>
      <c r="V234">
        <f>IF($A234="","",1)</f>
        <v/>
      </c>
      <c r="W234">
        <f>IF($T234=1,IFERROR(VALUE(MID($A234,2,20)),1000000000)+ROW()/100000,"")</f>
        <v/>
      </c>
    </row>
    <row r="235">
      <c r="F235" s="7">
        <f>IF($A235="","",E235*K235/100)</f>
        <v/>
      </c>
      <c r="J235" s="7" t="n"/>
      <c r="K235" s="7" t="n"/>
      <c r="L235" s="7" t="n"/>
      <c r="O235" s="11" t="n"/>
      <c r="P235">
        <f>IF($A235="","",IF($V235=1,Settings!$C$6,Settings!$C$7)*1)</f>
        <v/>
      </c>
      <c r="Q235" s="7">
        <f>IF($A235="","",P235*K235)</f>
        <v/>
      </c>
      <c r="R235" s="7">
        <f>IF($A235="","",K235-Q235)</f>
        <v/>
      </c>
      <c r="S235" s="7">
        <f>IF($A235="","",R235-F235)</f>
        <v/>
      </c>
      <c r="T235">
        <f>IF($A235="","",IF(COUNTIF($A$2:$A235,$A235)=1,1,0))</f>
        <v/>
      </c>
      <c r="U235">
        <f>IF($T235=1,SUMPRODUCT(--($W$2:$W$501&lt;$W235))+1,"")</f>
        <v/>
      </c>
      <c r="V235">
        <f>IF($A235="","",1)</f>
        <v/>
      </c>
      <c r="W235">
        <f>IF($T235=1,IFERROR(VALUE(MID($A235,2,20)),1000000000)+ROW()/100000,"")</f>
        <v/>
      </c>
    </row>
    <row r="236">
      <c r="F236" s="7">
        <f>IF($A236="","",E236*K236/100)</f>
        <v/>
      </c>
      <c r="J236" s="7" t="n"/>
      <c r="K236" s="7" t="n"/>
      <c r="L236" s="7" t="n"/>
      <c r="O236" s="11" t="n"/>
      <c r="P236">
        <f>IF($A236="","",IF($V236=1,Settings!$C$6,Settings!$C$7)*1)</f>
        <v/>
      </c>
      <c r="Q236" s="7">
        <f>IF($A236="","",P236*K236)</f>
        <v/>
      </c>
      <c r="R236" s="7">
        <f>IF($A236="","",K236-Q236)</f>
        <v/>
      </c>
      <c r="S236" s="7">
        <f>IF($A236="","",R236-F236)</f>
        <v/>
      </c>
      <c r="T236">
        <f>IF($A236="","",IF(COUNTIF($A$2:$A236,$A236)=1,1,0))</f>
        <v/>
      </c>
      <c r="U236">
        <f>IF($T236=1,SUMPRODUCT(--($W$2:$W$501&lt;$W236))+1,"")</f>
        <v/>
      </c>
      <c r="V236">
        <f>IF($A236="","",1)</f>
        <v/>
      </c>
      <c r="W236">
        <f>IF($T236=1,IFERROR(VALUE(MID($A236,2,20)),1000000000)+ROW()/100000,"")</f>
        <v/>
      </c>
    </row>
    <row r="237">
      <c r="F237" s="7">
        <f>IF($A237="","",E237*K237/100)</f>
        <v/>
      </c>
      <c r="J237" s="7" t="n"/>
      <c r="K237" s="7" t="n"/>
      <c r="L237" s="7" t="n"/>
      <c r="O237" s="11" t="n"/>
      <c r="P237">
        <f>IF($A237="","",IF($V237=1,Settings!$C$6,Settings!$C$7)*1)</f>
        <v/>
      </c>
      <c r="Q237" s="7">
        <f>IF($A237="","",P237*K237)</f>
        <v/>
      </c>
      <c r="R237" s="7">
        <f>IF($A237="","",K237-Q237)</f>
        <v/>
      </c>
      <c r="S237" s="7">
        <f>IF($A237="","",R237-F237)</f>
        <v/>
      </c>
      <c r="T237">
        <f>IF($A237="","",IF(COUNTIF($A$2:$A237,$A237)=1,1,0))</f>
        <v/>
      </c>
      <c r="U237">
        <f>IF($T237=1,SUMPRODUCT(--($W$2:$W$501&lt;$W237))+1,"")</f>
        <v/>
      </c>
      <c r="V237">
        <f>IF($A237="","",1)</f>
        <v/>
      </c>
      <c r="W237">
        <f>IF($T237=1,IFERROR(VALUE(MID($A237,2,20)),1000000000)+ROW()/100000,"")</f>
        <v/>
      </c>
    </row>
    <row r="238">
      <c r="F238" s="7">
        <f>IF($A238="","",E238*K238/100)</f>
        <v/>
      </c>
      <c r="J238" s="7" t="n"/>
      <c r="K238" s="7" t="n"/>
      <c r="L238" s="7" t="n"/>
      <c r="O238" s="11" t="n"/>
      <c r="P238">
        <f>IF($A238="","",IF($V238=1,Settings!$C$6,Settings!$C$7)*1)</f>
        <v/>
      </c>
      <c r="Q238" s="7">
        <f>IF($A238="","",P238*K238)</f>
        <v/>
      </c>
      <c r="R238" s="7">
        <f>IF($A238="","",K238-Q238)</f>
        <v/>
      </c>
      <c r="S238" s="7">
        <f>IF($A238="","",R238-F238)</f>
        <v/>
      </c>
      <c r="T238">
        <f>IF($A238="","",IF(COUNTIF($A$2:$A238,$A238)=1,1,0))</f>
        <v/>
      </c>
      <c r="U238">
        <f>IF($T238=1,SUMPRODUCT(--($W$2:$W$501&lt;$W238))+1,"")</f>
        <v/>
      </c>
      <c r="V238">
        <f>IF($A238="","",1)</f>
        <v/>
      </c>
      <c r="W238">
        <f>IF($T238=1,IFERROR(VALUE(MID($A238,2,20)),1000000000)+ROW()/100000,"")</f>
        <v/>
      </c>
    </row>
    <row r="239">
      <c r="F239" s="7">
        <f>IF($A239="","",E239*K239/100)</f>
        <v/>
      </c>
      <c r="J239" s="7" t="n"/>
      <c r="K239" s="7" t="n"/>
      <c r="L239" s="7" t="n"/>
      <c r="O239" s="11" t="n"/>
      <c r="P239">
        <f>IF($A239="","",IF($V239=1,Settings!$C$6,Settings!$C$7)*1)</f>
        <v/>
      </c>
      <c r="Q239" s="7">
        <f>IF($A239="","",P239*K239)</f>
        <v/>
      </c>
      <c r="R239" s="7">
        <f>IF($A239="","",K239-Q239)</f>
        <v/>
      </c>
      <c r="S239" s="7">
        <f>IF($A239="","",R239-F239)</f>
        <v/>
      </c>
      <c r="T239">
        <f>IF($A239="","",IF(COUNTIF($A$2:$A239,$A239)=1,1,0))</f>
        <v/>
      </c>
      <c r="U239">
        <f>IF($T239=1,SUMPRODUCT(--($W$2:$W$501&lt;$W239))+1,"")</f>
        <v/>
      </c>
      <c r="V239">
        <f>IF($A239="","",1)</f>
        <v/>
      </c>
      <c r="W239">
        <f>IF($T239=1,IFERROR(VALUE(MID($A239,2,20)),1000000000)+ROW()/100000,"")</f>
        <v/>
      </c>
    </row>
    <row r="240">
      <c r="F240" s="7">
        <f>IF($A240="","",E240*K240/100)</f>
        <v/>
      </c>
      <c r="J240" s="7" t="n"/>
      <c r="K240" s="7" t="n"/>
      <c r="L240" s="7" t="n"/>
      <c r="O240" s="11" t="n"/>
      <c r="P240">
        <f>IF($A240="","",IF($V240=1,Settings!$C$6,Settings!$C$7)*1)</f>
        <v/>
      </c>
      <c r="Q240" s="7">
        <f>IF($A240="","",P240*K240)</f>
        <v/>
      </c>
      <c r="R240" s="7">
        <f>IF($A240="","",K240-Q240)</f>
        <v/>
      </c>
      <c r="S240" s="7">
        <f>IF($A240="","",R240-F240)</f>
        <v/>
      </c>
      <c r="T240">
        <f>IF($A240="","",IF(COUNTIF($A$2:$A240,$A240)=1,1,0))</f>
        <v/>
      </c>
      <c r="U240">
        <f>IF($T240=1,SUMPRODUCT(--($W$2:$W$501&lt;$W240))+1,"")</f>
        <v/>
      </c>
      <c r="V240">
        <f>IF($A240="","",1)</f>
        <v/>
      </c>
      <c r="W240">
        <f>IF($T240=1,IFERROR(VALUE(MID($A240,2,20)),1000000000)+ROW()/100000,"")</f>
        <v/>
      </c>
    </row>
    <row r="241">
      <c r="F241" s="7">
        <f>IF($A241="","",E241*K241/100)</f>
        <v/>
      </c>
      <c r="J241" s="7" t="n"/>
      <c r="K241" s="7" t="n"/>
      <c r="L241" s="7" t="n"/>
      <c r="O241" s="11" t="n"/>
      <c r="P241">
        <f>IF($A241="","",IF($V241=1,Settings!$C$6,Settings!$C$7)*1)</f>
        <v/>
      </c>
      <c r="Q241" s="7">
        <f>IF($A241="","",P241*K241)</f>
        <v/>
      </c>
      <c r="R241" s="7">
        <f>IF($A241="","",K241-Q241)</f>
        <v/>
      </c>
      <c r="S241" s="7">
        <f>IF($A241="","",R241-F241)</f>
        <v/>
      </c>
      <c r="T241">
        <f>IF($A241="","",IF(COUNTIF($A$2:$A241,$A241)=1,1,0))</f>
        <v/>
      </c>
      <c r="U241">
        <f>IF($T241=1,SUMPRODUCT(--($W$2:$W$501&lt;$W241))+1,"")</f>
        <v/>
      </c>
      <c r="V241">
        <f>IF($A241="","",1)</f>
        <v/>
      </c>
      <c r="W241">
        <f>IF($T241=1,IFERROR(VALUE(MID($A241,2,20)),1000000000)+ROW()/100000,"")</f>
        <v/>
      </c>
    </row>
    <row r="242">
      <c r="F242" s="7">
        <f>IF($A242="","",E242*K242/100)</f>
        <v/>
      </c>
      <c r="J242" s="7" t="n"/>
      <c r="K242" s="7" t="n"/>
      <c r="L242" s="7" t="n"/>
      <c r="O242" s="11" t="n"/>
      <c r="P242">
        <f>IF($A242="","",IF($V242=1,Settings!$C$6,Settings!$C$7)*1)</f>
        <v/>
      </c>
      <c r="Q242" s="7">
        <f>IF($A242="","",P242*K242)</f>
        <v/>
      </c>
      <c r="R242" s="7">
        <f>IF($A242="","",K242-Q242)</f>
        <v/>
      </c>
      <c r="S242" s="7">
        <f>IF($A242="","",R242-F242)</f>
        <v/>
      </c>
      <c r="T242">
        <f>IF($A242="","",IF(COUNTIF($A$2:$A242,$A242)=1,1,0))</f>
        <v/>
      </c>
      <c r="U242">
        <f>IF($T242=1,SUMPRODUCT(--($W$2:$W$501&lt;$W242))+1,"")</f>
        <v/>
      </c>
      <c r="V242">
        <f>IF($A242="","",1)</f>
        <v/>
      </c>
      <c r="W242">
        <f>IF($T242=1,IFERROR(VALUE(MID($A242,2,20)),1000000000)+ROW()/100000,"")</f>
        <v/>
      </c>
    </row>
    <row r="243">
      <c r="F243" s="7">
        <f>IF($A243="","",E243*K243/100)</f>
        <v/>
      </c>
      <c r="J243" s="7" t="n"/>
      <c r="K243" s="7" t="n"/>
      <c r="L243" s="7" t="n"/>
      <c r="O243" s="11" t="n"/>
      <c r="P243">
        <f>IF($A243="","",IF($V243=1,Settings!$C$6,Settings!$C$7)*1)</f>
        <v/>
      </c>
      <c r="Q243" s="7">
        <f>IF($A243="","",P243*K243)</f>
        <v/>
      </c>
      <c r="R243" s="7">
        <f>IF($A243="","",K243-Q243)</f>
        <v/>
      </c>
      <c r="S243" s="7">
        <f>IF($A243="","",R243-F243)</f>
        <v/>
      </c>
      <c r="T243">
        <f>IF($A243="","",IF(COUNTIF($A$2:$A243,$A243)=1,1,0))</f>
        <v/>
      </c>
      <c r="U243">
        <f>IF($T243=1,SUMPRODUCT(--($W$2:$W$501&lt;$W243))+1,"")</f>
        <v/>
      </c>
      <c r="V243">
        <f>IF($A243="","",1)</f>
        <v/>
      </c>
      <c r="W243">
        <f>IF($T243=1,IFERROR(VALUE(MID($A243,2,20)),1000000000)+ROW()/100000,"")</f>
        <v/>
      </c>
    </row>
    <row r="244">
      <c r="F244" s="7">
        <f>IF($A244="","",E244*K244/100)</f>
        <v/>
      </c>
      <c r="J244" s="7" t="n"/>
      <c r="K244" s="7" t="n"/>
      <c r="L244" s="7" t="n"/>
      <c r="O244" s="11" t="n"/>
      <c r="P244">
        <f>IF($A244="","",IF($V244=1,Settings!$C$6,Settings!$C$7)*1)</f>
        <v/>
      </c>
      <c r="Q244" s="7">
        <f>IF($A244="","",P244*K244)</f>
        <v/>
      </c>
      <c r="R244" s="7">
        <f>IF($A244="","",K244-Q244)</f>
        <v/>
      </c>
      <c r="S244" s="7">
        <f>IF($A244="","",R244-F244)</f>
        <v/>
      </c>
      <c r="T244">
        <f>IF($A244="","",IF(COUNTIF($A$2:$A244,$A244)=1,1,0))</f>
        <v/>
      </c>
      <c r="U244">
        <f>IF($T244=1,SUMPRODUCT(--($W$2:$W$501&lt;$W244))+1,"")</f>
        <v/>
      </c>
      <c r="V244">
        <f>IF($A244="","",1)</f>
        <v/>
      </c>
      <c r="W244">
        <f>IF($T244=1,IFERROR(VALUE(MID($A244,2,20)),1000000000)+ROW()/100000,"")</f>
        <v/>
      </c>
    </row>
    <row r="245">
      <c r="F245" s="7">
        <f>IF($A245="","",E245*K245/100)</f>
        <v/>
      </c>
      <c r="J245" s="7" t="n"/>
      <c r="K245" s="7" t="n"/>
      <c r="L245" s="7" t="n"/>
      <c r="O245" s="11" t="n"/>
      <c r="P245">
        <f>IF($A245="","",IF($V245=1,Settings!$C$6,Settings!$C$7)*1)</f>
        <v/>
      </c>
      <c r="Q245" s="7">
        <f>IF($A245="","",P245*K245)</f>
        <v/>
      </c>
      <c r="R245" s="7">
        <f>IF($A245="","",K245-Q245)</f>
        <v/>
      </c>
      <c r="S245" s="7">
        <f>IF($A245="","",R245-F245)</f>
        <v/>
      </c>
      <c r="T245">
        <f>IF($A245="","",IF(COUNTIF($A$2:$A245,$A245)=1,1,0))</f>
        <v/>
      </c>
      <c r="U245">
        <f>IF($T245=1,SUMPRODUCT(--($W$2:$W$501&lt;$W245))+1,"")</f>
        <v/>
      </c>
      <c r="V245">
        <f>IF($A245="","",1)</f>
        <v/>
      </c>
      <c r="W245">
        <f>IF($T245=1,IFERROR(VALUE(MID($A245,2,20)),1000000000)+ROW()/100000,"")</f>
        <v/>
      </c>
    </row>
    <row r="246">
      <c r="F246" s="7">
        <f>IF($A246="","",E246*K246/100)</f>
        <v/>
      </c>
      <c r="J246" s="7" t="n"/>
      <c r="K246" s="7" t="n"/>
      <c r="L246" s="7" t="n"/>
      <c r="O246" s="11" t="n"/>
      <c r="P246">
        <f>IF($A246="","",IF($V246=1,Settings!$C$6,Settings!$C$7)*1)</f>
        <v/>
      </c>
      <c r="Q246" s="7">
        <f>IF($A246="","",P246*K246)</f>
        <v/>
      </c>
      <c r="R246" s="7">
        <f>IF($A246="","",K246-Q246)</f>
        <v/>
      </c>
      <c r="S246" s="7">
        <f>IF($A246="","",R246-F246)</f>
        <v/>
      </c>
      <c r="T246">
        <f>IF($A246="","",IF(COUNTIF($A$2:$A246,$A246)=1,1,0))</f>
        <v/>
      </c>
      <c r="U246">
        <f>IF($T246=1,SUMPRODUCT(--($W$2:$W$501&lt;$W246))+1,"")</f>
        <v/>
      </c>
      <c r="V246">
        <f>IF($A246="","",1)</f>
        <v/>
      </c>
      <c r="W246">
        <f>IF($T246=1,IFERROR(VALUE(MID($A246,2,20)),1000000000)+ROW()/100000,"")</f>
        <v/>
      </c>
    </row>
    <row r="247">
      <c r="F247" s="7">
        <f>IF($A247="","",E247*K247/100)</f>
        <v/>
      </c>
      <c r="J247" s="7" t="n"/>
      <c r="K247" s="7" t="n"/>
      <c r="L247" s="7" t="n"/>
      <c r="O247" s="11" t="n"/>
      <c r="P247">
        <f>IF($A247="","",IF($V247=1,Settings!$C$6,Settings!$C$7)*1)</f>
        <v/>
      </c>
      <c r="Q247" s="7">
        <f>IF($A247="","",P247*K247)</f>
        <v/>
      </c>
      <c r="R247" s="7">
        <f>IF($A247="","",K247-Q247)</f>
        <v/>
      </c>
      <c r="S247" s="7">
        <f>IF($A247="","",R247-F247)</f>
        <v/>
      </c>
      <c r="T247">
        <f>IF($A247="","",IF(COUNTIF($A$2:$A247,$A247)=1,1,0))</f>
        <v/>
      </c>
      <c r="U247">
        <f>IF($T247=1,SUMPRODUCT(--($W$2:$W$501&lt;$W247))+1,"")</f>
        <v/>
      </c>
      <c r="V247">
        <f>IF($A247="","",1)</f>
        <v/>
      </c>
      <c r="W247">
        <f>IF($T247=1,IFERROR(VALUE(MID($A247,2,20)),1000000000)+ROW()/100000,"")</f>
        <v/>
      </c>
    </row>
    <row r="248">
      <c r="F248" s="7">
        <f>IF($A248="","",E248*K248/100)</f>
        <v/>
      </c>
      <c r="J248" s="7" t="n"/>
      <c r="K248" s="7" t="n"/>
      <c r="L248" s="7" t="n"/>
      <c r="O248" s="11" t="n"/>
      <c r="P248">
        <f>IF($A248="","",IF($V248=1,Settings!$C$6,Settings!$C$7)*1)</f>
        <v/>
      </c>
      <c r="Q248" s="7">
        <f>IF($A248="","",P248*K248)</f>
        <v/>
      </c>
      <c r="R248" s="7">
        <f>IF($A248="","",K248-Q248)</f>
        <v/>
      </c>
      <c r="S248" s="7">
        <f>IF($A248="","",R248-F248)</f>
        <v/>
      </c>
      <c r="T248">
        <f>IF($A248="","",IF(COUNTIF($A$2:$A248,$A248)=1,1,0))</f>
        <v/>
      </c>
      <c r="U248">
        <f>IF($T248=1,SUMPRODUCT(--($W$2:$W$501&lt;$W248))+1,"")</f>
        <v/>
      </c>
      <c r="V248">
        <f>IF($A248="","",1)</f>
        <v/>
      </c>
      <c r="W248">
        <f>IF($T248=1,IFERROR(VALUE(MID($A248,2,20)),1000000000)+ROW()/100000,"")</f>
        <v/>
      </c>
    </row>
    <row r="249">
      <c r="F249" s="7">
        <f>IF($A249="","",E249*K249/100)</f>
        <v/>
      </c>
      <c r="J249" s="7" t="n"/>
      <c r="K249" s="7" t="n"/>
      <c r="L249" s="7" t="n"/>
      <c r="O249" s="11" t="n"/>
      <c r="P249">
        <f>IF($A249="","",IF($V249=1,Settings!$C$6,Settings!$C$7)*1)</f>
        <v/>
      </c>
      <c r="Q249" s="7">
        <f>IF($A249="","",P249*K249)</f>
        <v/>
      </c>
      <c r="R249" s="7">
        <f>IF($A249="","",K249-Q249)</f>
        <v/>
      </c>
      <c r="S249" s="7">
        <f>IF($A249="","",R249-F249)</f>
        <v/>
      </c>
      <c r="T249">
        <f>IF($A249="","",IF(COUNTIF($A$2:$A249,$A249)=1,1,0))</f>
        <v/>
      </c>
      <c r="U249">
        <f>IF($T249=1,SUMPRODUCT(--($W$2:$W$501&lt;$W249))+1,"")</f>
        <v/>
      </c>
      <c r="V249">
        <f>IF($A249="","",1)</f>
        <v/>
      </c>
      <c r="W249">
        <f>IF($T249=1,IFERROR(VALUE(MID($A249,2,20)),1000000000)+ROW()/100000,"")</f>
        <v/>
      </c>
    </row>
    <row r="250">
      <c r="F250" s="7">
        <f>IF($A250="","",E250*K250/100)</f>
        <v/>
      </c>
      <c r="J250" s="7" t="n"/>
      <c r="K250" s="7" t="n"/>
      <c r="L250" s="7" t="n"/>
      <c r="O250" s="11" t="n"/>
      <c r="P250">
        <f>IF($A250="","",IF($V250=1,Settings!$C$6,Settings!$C$7)*1)</f>
        <v/>
      </c>
      <c r="Q250" s="7">
        <f>IF($A250="","",P250*K250)</f>
        <v/>
      </c>
      <c r="R250" s="7">
        <f>IF($A250="","",K250-Q250)</f>
        <v/>
      </c>
      <c r="S250" s="7">
        <f>IF($A250="","",R250-F250)</f>
        <v/>
      </c>
      <c r="T250">
        <f>IF($A250="","",IF(COUNTIF($A$2:$A250,$A250)=1,1,0))</f>
        <v/>
      </c>
      <c r="U250">
        <f>IF($T250=1,SUMPRODUCT(--($W$2:$W$501&lt;$W250))+1,"")</f>
        <v/>
      </c>
      <c r="V250">
        <f>IF($A250="","",1)</f>
        <v/>
      </c>
      <c r="W250">
        <f>IF($T250=1,IFERROR(VALUE(MID($A250,2,20)),1000000000)+ROW()/100000,"")</f>
        <v/>
      </c>
    </row>
    <row r="251">
      <c r="F251" s="7">
        <f>IF($A251="","",E251*K251/100)</f>
        <v/>
      </c>
      <c r="J251" s="7" t="n"/>
      <c r="K251" s="7" t="n"/>
      <c r="L251" s="7" t="n"/>
      <c r="O251" s="11" t="n"/>
      <c r="P251">
        <f>IF($A251="","",IF($V251=1,Settings!$C$6,Settings!$C$7)*1)</f>
        <v/>
      </c>
      <c r="Q251" s="7">
        <f>IF($A251="","",P251*K251)</f>
        <v/>
      </c>
      <c r="R251" s="7">
        <f>IF($A251="","",K251-Q251)</f>
        <v/>
      </c>
      <c r="S251" s="7">
        <f>IF($A251="","",R251-F251)</f>
        <v/>
      </c>
      <c r="T251">
        <f>IF($A251="","",IF(COUNTIF($A$2:$A251,$A251)=1,1,0))</f>
        <v/>
      </c>
      <c r="U251">
        <f>IF($T251=1,SUMPRODUCT(--($W$2:$W$501&lt;$W251))+1,"")</f>
        <v/>
      </c>
      <c r="V251">
        <f>IF($A251="","",1)</f>
        <v/>
      </c>
      <c r="W251">
        <f>IF($T251=1,IFERROR(VALUE(MID($A251,2,20)),1000000000)+ROW()/100000,"")</f>
        <v/>
      </c>
    </row>
    <row r="252">
      <c r="F252" s="7">
        <f>IF($A252="","",E252*K252/100)</f>
        <v/>
      </c>
      <c r="J252" s="7" t="n"/>
      <c r="K252" s="7" t="n"/>
      <c r="L252" s="7" t="n"/>
      <c r="O252" s="11" t="n"/>
      <c r="P252">
        <f>IF($A252="","",IF($V252=1,Settings!$C$6,Settings!$C$7)*1)</f>
        <v/>
      </c>
      <c r="Q252" s="7">
        <f>IF($A252="","",P252*K252)</f>
        <v/>
      </c>
      <c r="R252" s="7">
        <f>IF($A252="","",K252-Q252)</f>
        <v/>
      </c>
      <c r="S252" s="7">
        <f>IF($A252="","",R252-F252)</f>
        <v/>
      </c>
      <c r="T252">
        <f>IF($A252="","",IF(COUNTIF($A$2:$A252,$A252)=1,1,0))</f>
        <v/>
      </c>
      <c r="U252">
        <f>IF($T252=1,SUMPRODUCT(--($W$2:$W$501&lt;$W252))+1,"")</f>
        <v/>
      </c>
      <c r="V252">
        <f>IF($A252="","",1)</f>
        <v/>
      </c>
      <c r="W252">
        <f>IF($T252=1,IFERROR(VALUE(MID($A252,2,20)),1000000000)+ROW()/100000,"")</f>
        <v/>
      </c>
    </row>
    <row r="253">
      <c r="F253" s="7">
        <f>IF($A253="","",E253*K253/100)</f>
        <v/>
      </c>
      <c r="J253" s="7" t="n"/>
      <c r="K253" s="7" t="n"/>
      <c r="L253" s="7" t="n"/>
      <c r="O253" s="11" t="n"/>
      <c r="P253">
        <f>IF($A253="","",IF($V253=1,Settings!$C$6,Settings!$C$7)*1)</f>
        <v/>
      </c>
      <c r="Q253" s="7">
        <f>IF($A253="","",P253*K253)</f>
        <v/>
      </c>
      <c r="R253" s="7">
        <f>IF($A253="","",K253-Q253)</f>
        <v/>
      </c>
      <c r="S253" s="7">
        <f>IF($A253="","",R253-F253)</f>
        <v/>
      </c>
      <c r="T253">
        <f>IF($A253="","",IF(COUNTIF($A$2:$A253,$A253)=1,1,0))</f>
        <v/>
      </c>
      <c r="U253">
        <f>IF($T253=1,SUMPRODUCT(--($W$2:$W$501&lt;$W253))+1,"")</f>
        <v/>
      </c>
      <c r="V253">
        <f>IF($A253="","",1)</f>
        <v/>
      </c>
      <c r="W253">
        <f>IF($T253=1,IFERROR(VALUE(MID($A253,2,20)),1000000000)+ROW()/100000,"")</f>
        <v/>
      </c>
    </row>
    <row r="254">
      <c r="F254" s="7">
        <f>IF($A254="","",E254*K254/100)</f>
        <v/>
      </c>
      <c r="J254" s="7" t="n"/>
      <c r="K254" s="7" t="n"/>
      <c r="L254" s="7" t="n"/>
      <c r="O254" s="11" t="n"/>
      <c r="P254">
        <f>IF($A254="","",IF($V254=1,Settings!$C$6,Settings!$C$7)*1)</f>
        <v/>
      </c>
      <c r="Q254" s="7">
        <f>IF($A254="","",P254*K254)</f>
        <v/>
      </c>
      <c r="R254" s="7">
        <f>IF($A254="","",K254-Q254)</f>
        <v/>
      </c>
      <c r="S254" s="7">
        <f>IF($A254="","",R254-F254)</f>
        <v/>
      </c>
      <c r="T254">
        <f>IF($A254="","",IF(COUNTIF($A$2:$A254,$A254)=1,1,0))</f>
        <v/>
      </c>
      <c r="U254">
        <f>IF($T254=1,SUMPRODUCT(--($W$2:$W$501&lt;$W254))+1,"")</f>
        <v/>
      </c>
      <c r="V254">
        <f>IF($A254="","",1)</f>
        <v/>
      </c>
      <c r="W254">
        <f>IF($T254=1,IFERROR(VALUE(MID($A254,2,20)),1000000000)+ROW()/100000,"")</f>
        <v/>
      </c>
    </row>
    <row r="255">
      <c r="F255" s="7">
        <f>IF($A255="","",E255*K255/100)</f>
        <v/>
      </c>
      <c r="J255" s="7" t="n"/>
      <c r="K255" s="7" t="n"/>
      <c r="L255" s="7" t="n"/>
      <c r="O255" s="11" t="n"/>
      <c r="P255">
        <f>IF($A255="","",IF($V255=1,Settings!$C$6,Settings!$C$7)*1)</f>
        <v/>
      </c>
      <c r="Q255" s="7">
        <f>IF($A255="","",P255*K255)</f>
        <v/>
      </c>
      <c r="R255" s="7">
        <f>IF($A255="","",K255-Q255)</f>
        <v/>
      </c>
      <c r="S255" s="7">
        <f>IF($A255="","",R255-F255)</f>
        <v/>
      </c>
      <c r="T255">
        <f>IF($A255="","",IF(COUNTIF($A$2:$A255,$A255)=1,1,0))</f>
        <v/>
      </c>
      <c r="U255">
        <f>IF($T255=1,SUMPRODUCT(--($W$2:$W$501&lt;$W255))+1,"")</f>
        <v/>
      </c>
      <c r="V255">
        <f>IF($A255="","",1)</f>
        <v/>
      </c>
      <c r="W255">
        <f>IF($T255=1,IFERROR(VALUE(MID($A255,2,20)),1000000000)+ROW()/100000,"")</f>
        <v/>
      </c>
    </row>
    <row r="256">
      <c r="F256" s="7">
        <f>IF($A256="","",E256*K256/100)</f>
        <v/>
      </c>
      <c r="J256" s="7" t="n"/>
      <c r="K256" s="7" t="n"/>
      <c r="L256" s="7" t="n"/>
      <c r="O256" s="11" t="n"/>
      <c r="P256">
        <f>IF($A256="","",IF($V256=1,Settings!$C$6,Settings!$C$7)*1)</f>
        <v/>
      </c>
      <c r="Q256" s="7">
        <f>IF($A256="","",P256*K256)</f>
        <v/>
      </c>
      <c r="R256" s="7">
        <f>IF($A256="","",K256-Q256)</f>
        <v/>
      </c>
      <c r="S256" s="7">
        <f>IF($A256="","",R256-F256)</f>
        <v/>
      </c>
      <c r="T256">
        <f>IF($A256="","",IF(COUNTIF($A$2:$A256,$A256)=1,1,0))</f>
        <v/>
      </c>
      <c r="U256">
        <f>IF($T256=1,SUMPRODUCT(--($W$2:$W$501&lt;$W256))+1,"")</f>
        <v/>
      </c>
      <c r="V256">
        <f>IF($A256="","",1)</f>
        <v/>
      </c>
      <c r="W256">
        <f>IF($T256=1,IFERROR(VALUE(MID($A256,2,20)),1000000000)+ROW()/100000,"")</f>
        <v/>
      </c>
    </row>
    <row r="257">
      <c r="F257" s="7">
        <f>IF($A257="","",E257*K257/100)</f>
        <v/>
      </c>
      <c r="J257" s="7" t="n"/>
      <c r="K257" s="7" t="n"/>
      <c r="L257" s="7" t="n"/>
      <c r="O257" s="11" t="n"/>
      <c r="P257">
        <f>IF($A257="","",IF($V257=1,Settings!$C$6,Settings!$C$7)*1)</f>
        <v/>
      </c>
      <c r="Q257" s="7">
        <f>IF($A257="","",P257*K257)</f>
        <v/>
      </c>
      <c r="R257" s="7">
        <f>IF($A257="","",K257-Q257)</f>
        <v/>
      </c>
      <c r="S257" s="7">
        <f>IF($A257="","",R257-F257)</f>
        <v/>
      </c>
      <c r="T257">
        <f>IF($A257="","",IF(COUNTIF($A$2:$A257,$A257)=1,1,0))</f>
        <v/>
      </c>
      <c r="U257">
        <f>IF($T257=1,SUMPRODUCT(--($W$2:$W$501&lt;$W257))+1,"")</f>
        <v/>
      </c>
      <c r="V257">
        <f>IF($A257="","",1)</f>
        <v/>
      </c>
      <c r="W257">
        <f>IF($T257=1,IFERROR(VALUE(MID($A257,2,20)),1000000000)+ROW()/100000,"")</f>
        <v/>
      </c>
    </row>
    <row r="258">
      <c r="F258" s="7">
        <f>IF($A258="","",E258*K258/100)</f>
        <v/>
      </c>
      <c r="J258" s="7" t="n"/>
      <c r="K258" s="7" t="n"/>
      <c r="L258" s="7" t="n"/>
      <c r="O258" s="11" t="n"/>
      <c r="P258">
        <f>IF($A258="","",IF($V258=1,Settings!$C$6,Settings!$C$7)*1)</f>
        <v/>
      </c>
      <c r="Q258" s="7">
        <f>IF($A258="","",P258*K258)</f>
        <v/>
      </c>
      <c r="R258" s="7">
        <f>IF($A258="","",K258-Q258)</f>
        <v/>
      </c>
      <c r="S258" s="7">
        <f>IF($A258="","",R258-F258)</f>
        <v/>
      </c>
      <c r="T258">
        <f>IF($A258="","",IF(COUNTIF($A$2:$A258,$A258)=1,1,0))</f>
        <v/>
      </c>
      <c r="U258">
        <f>IF($T258=1,SUMPRODUCT(--($W$2:$W$501&lt;$W258))+1,"")</f>
        <v/>
      </c>
      <c r="V258">
        <f>IF($A258="","",1)</f>
        <v/>
      </c>
      <c r="W258">
        <f>IF($T258=1,IFERROR(VALUE(MID($A258,2,20)),1000000000)+ROW()/100000,"")</f>
        <v/>
      </c>
    </row>
    <row r="259">
      <c r="F259" s="7">
        <f>IF($A259="","",E259*K259/100)</f>
        <v/>
      </c>
      <c r="J259" s="7" t="n"/>
      <c r="K259" s="7" t="n"/>
      <c r="L259" s="7" t="n"/>
      <c r="O259" s="11" t="n"/>
      <c r="P259">
        <f>IF($A259="","",IF($V259=1,Settings!$C$6,Settings!$C$7)*1)</f>
        <v/>
      </c>
      <c r="Q259" s="7">
        <f>IF($A259="","",P259*K259)</f>
        <v/>
      </c>
      <c r="R259" s="7">
        <f>IF($A259="","",K259-Q259)</f>
        <v/>
      </c>
      <c r="S259" s="7">
        <f>IF($A259="","",R259-F259)</f>
        <v/>
      </c>
      <c r="T259">
        <f>IF($A259="","",IF(COUNTIF($A$2:$A259,$A259)=1,1,0))</f>
        <v/>
      </c>
      <c r="U259">
        <f>IF($T259=1,SUMPRODUCT(--($W$2:$W$501&lt;$W259))+1,"")</f>
        <v/>
      </c>
      <c r="V259">
        <f>IF($A259="","",1)</f>
        <v/>
      </c>
      <c r="W259">
        <f>IF($T259=1,IFERROR(VALUE(MID($A259,2,20)),1000000000)+ROW()/100000,"")</f>
        <v/>
      </c>
    </row>
    <row r="260">
      <c r="F260" s="7">
        <f>IF($A260="","",E260*K260/100)</f>
        <v/>
      </c>
      <c r="J260" s="7" t="n"/>
      <c r="K260" s="7" t="n"/>
      <c r="L260" s="7" t="n"/>
      <c r="O260" s="11" t="n"/>
      <c r="P260">
        <f>IF($A260="","",IF($V260=1,Settings!$C$6,Settings!$C$7)*1)</f>
        <v/>
      </c>
      <c r="Q260" s="7">
        <f>IF($A260="","",P260*K260)</f>
        <v/>
      </c>
      <c r="R260" s="7">
        <f>IF($A260="","",K260-Q260)</f>
        <v/>
      </c>
      <c r="S260" s="7">
        <f>IF($A260="","",R260-F260)</f>
        <v/>
      </c>
      <c r="T260">
        <f>IF($A260="","",IF(COUNTIF($A$2:$A260,$A260)=1,1,0))</f>
        <v/>
      </c>
      <c r="U260">
        <f>IF($T260=1,SUMPRODUCT(--($W$2:$W$501&lt;$W260))+1,"")</f>
        <v/>
      </c>
      <c r="V260">
        <f>IF($A260="","",1)</f>
        <v/>
      </c>
      <c r="W260">
        <f>IF($T260=1,IFERROR(VALUE(MID($A260,2,20)),1000000000)+ROW()/100000,"")</f>
        <v/>
      </c>
    </row>
    <row r="261">
      <c r="F261" s="7">
        <f>IF($A261="","",E261*K261/100)</f>
        <v/>
      </c>
      <c r="J261" s="7" t="n"/>
      <c r="K261" s="7" t="n"/>
      <c r="L261" s="7" t="n"/>
      <c r="O261" s="11" t="n"/>
      <c r="P261">
        <f>IF($A261="","",IF($V261=1,Settings!$C$6,Settings!$C$7)*1)</f>
        <v/>
      </c>
      <c r="Q261" s="7">
        <f>IF($A261="","",P261*K261)</f>
        <v/>
      </c>
      <c r="R261" s="7">
        <f>IF($A261="","",K261-Q261)</f>
        <v/>
      </c>
      <c r="S261" s="7">
        <f>IF($A261="","",R261-F261)</f>
        <v/>
      </c>
      <c r="T261">
        <f>IF($A261="","",IF(COUNTIF($A$2:$A261,$A261)=1,1,0))</f>
        <v/>
      </c>
      <c r="U261">
        <f>IF($T261=1,SUMPRODUCT(--($W$2:$W$501&lt;$W261))+1,"")</f>
        <v/>
      </c>
      <c r="V261">
        <f>IF($A261="","",1)</f>
        <v/>
      </c>
      <c r="W261">
        <f>IF($T261=1,IFERROR(VALUE(MID($A261,2,20)),1000000000)+ROW()/100000,"")</f>
        <v/>
      </c>
    </row>
    <row r="262">
      <c r="F262" s="7">
        <f>IF($A262="","",E262*K262/100)</f>
        <v/>
      </c>
      <c r="J262" s="7" t="n"/>
      <c r="K262" s="7" t="n"/>
      <c r="L262" s="7" t="n"/>
      <c r="O262" s="11" t="n"/>
      <c r="P262">
        <f>IF($A262="","",IF($V262=1,Settings!$C$6,Settings!$C$7)*1)</f>
        <v/>
      </c>
      <c r="Q262" s="7">
        <f>IF($A262="","",P262*K262)</f>
        <v/>
      </c>
      <c r="R262" s="7">
        <f>IF($A262="","",K262-Q262)</f>
        <v/>
      </c>
      <c r="S262" s="7">
        <f>IF($A262="","",R262-F262)</f>
        <v/>
      </c>
      <c r="T262">
        <f>IF($A262="","",IF(COUNTIF($A$2:$A262,$A262)=1,1,0))</f>
        <v/>
      </c>
      <c r="U262">
        <f>IF($T262=1,SUMPRODUCT(--($W$2:$W$501&lt;$W262))+1,"")</f>
        <v/>
      </c>
      <c r="V262">
        <f>IF($A262="","",1)</f>
        <v/>
      </c>
      <c r="W262">
        <f>IF($T262=1,IFERROR(VALUE(MID($A262,2,20)),1000000000)+ROW()/100000,"")</f>
        <v/>
      </c>
    </row>
    <row r="263">
      <c r="F263" s="7">
        <f>IF($A263="","",E263*K263/100)</f>
        <v/>
      </c>
      <c r="J263" s="7" t="n"/>
      <c r="K263" s="7" t="n"/>
      <c r="L263" s="7" t="n"/>
      <c r="O263" s="11" t="n"/>
      <c r="P263">
        <f>IF($A263="","",IF($V263=1,Settings!$C$6,Settings!$C$7)*1)</f>
        <v/>
      </c>
      <c r="Q263" s="7">
        <f>IF($A263="","",P263*K263)</f>
        <v/>
      </c>
      <c r="R263" s="7">
        <f>IF($A263="","",K263-Q263)</f>
        <v/>
      </c>
      <c r="S263" s="7">
        <f>IF($A263="","",R263-F263)</f>
        <v/>
      </c>
      <c r="T263">
        <f>IF($A263="","",IF(COUNTIF($A$2:$A263,$A263)=1,1,0))</f>
        <v/>
      </c>
      <c r="U263">
        <f>IF($T263=1,SUMPRODUCT(--($W$2:$W$501&lt;$W263))+1,"")</f>
        <v/>
      </c>
      <c r="V263">
        <f>IF($A263="","",1)</f>
        <v/>
      </c>
      <c r="W263">
        <f>IF($T263=1,IFERROR(VALUE(MID($A263,2,20)),1000000000)+ROW()/100000,"")</f>
        <v/>
      </c>
    </row>
    <row r="264">
      <c r="F264" s="7">
        <f>IF($A264="","",E264*K264/100)</f>
        <v/>
      </c>
      <c r="J264" s="7" t="n"/>
      <c r="K264" s="7" t="n"/>
      <c r="L264" s="7" t="n"/>
      <c r="O264" s="11" t="n"/>
      <c r="P264">
        <f>IF($A264="","",IF($V264=1,Settings!$C$6,Settings!$C$7)*1)</f>
        <v/>
      </c>
      <c r="Q264" s="7">
        <f>IF($A264="","",P264*K264)</f>
        <v/>
      </c>
      <c r="R264" s="7">
        <f>IF($A264="","",K264-Q264)</f>
        <v/>
      </c>
      <c r="S264" s="7">
        <f>IF($A264="","",R264-F264)</f>
        <v/>
      </c>
      <c r="T264">
        <f>IF($A264="","",IF(COUNTIF($A$2:$A264,$A264)=1,1,0))</f>
        <v/>
      </c>
      <c r="U264">
        <f>IF($T264=1,SUMPRODUCT(--($W$2:$W$501&lt;$W264))+1,"")</f>
        <v/>
      </c>
      <c r="V264">
        <f>IF($A264="","",1)</f>
        <v/>
      </c>
      <c r="W264">
        <f>IF($T264=1,IFERROR(VALUE(MID($A264,2,20)),1000000000)+ROW()/100000,"")</f>
        <v/>
      </c>
    </row>
    <row r="265">
      <c r="F265" s="7">
        <f>IF($A265="","",E265*K265/100)</f>
        <v/>
      </c>
      <c r="J265" s="7" t="n"/>
      <c r="K265" s="7" t="n"/>
      <c r="L265" s="7" t="n"/>
      <c r="O265" s="11" t="n"/>
      <c r="P265">
        <f>IF($A265="","",IF($V265=1,Settings!$C$6,Settings!$C$7)*1)</f>
        <v/>
      </c>
      <c r="Q265" s="7">
        <f>IF($A265="","",P265*K265)</f>
        <v/>
      </c>
      <c r="R265" s="7">
        <f>IF($A265="","",K265-Q265)</f>
        <v/>
      </c>
      <c r="S265" s="7">
        <f>IF($A265="","",R265-F265)</f>
        <v/>
      </c>
      <c r="T265">
        <f>IF($A265="","",IF(COUNTIF($A$2:$A265,$A265)=1,1,0))</f>
        <v/>
      </c>
      <c r="U265">
        <f>IF($T265=1,SUMPRODUCT(--($W$2:$W$501&lt;$W265))+1,"")</f>
        <v/>
      </c>
      <c r="V265">
        <f>IF($A265="","",1)</f>
        <v/>
      </c>
      <c r="W265">
        <f>IF($T265=1,IFERROR(VALUE(MID($A265,2,20)),1000000000)+ROW()/100000,"")</f>
        <v/>
      </c>
    </row>
    <row r="266">
      <c r="F266" s="7">
        <f>IF($A266="","",E266*K266/100)</f>
        <v/>
      </c>
      <c r="J266" s="7" t="n"/>
      <c r="K266" s="7" t="n"/>
      <c r="L266" s="7" t="n"/>
      <c r="O266" s="11" t="n"/>
      <c r="P266">
        <f>IF($A266="","",IF($V266=1,Settings!$C$6,Settings!$C$7)*1)</f>
        <v/>
      </c>
      <c r="Q266" s="7">
        <f>IF($A266="","",P266*K266)</f>
        <v/>
      </c>
      <c r="R266" s="7">
        <f>IF($A266="","",K266-Q266)</f>
        <v/>
      </c>
      <c r="S266" s="7">
        <f>IF($A266="","",R266-F266)</f>
        <v/>
      </c>
      <c r="T266">
        <f>IF($A266="","",IF(COUNTIF($A$2:$A266,$A266)=1,1,0))</f>
        <v/>
      </c>
      <c r="U266">
        <f>IF($T266=1,SUMPRODUCT(--($W$2:$W$501&lt;$W266))+1,"")</f>
        <v/>
      </c>
      <c r="V266">
        <f>IF($A266="","",1)</f>
        <v/>
      </c>
      <c r="W266">
        <f>IF($T266=1,IFERROR(VALUE(MID($A266,2,20)),1000000000)+ROW()/100000,"")</f>
        <v/>
      </c>
    </row>
    <row r="267">
      <c r="F267" s="7">
        <f>IF($A267="","",E267*K267/100)</f>
        <v/>
      </c>
      <c r="J267" s="7" t="n"/>
      <c r="K267" s="7" t="n"/>
      <c r="L267" s="7" t="n"/>
      <c r="O267" s="11" t="n"/>
      <c r="P267">
        <f>IF($A267="","",IF($V267=1,Settings!$C$6,Settings!$C$7)*1)</f>
        <v/>
      </c>
      <c r="Q267" s="7">
        <f>IF($A267="","",P267*K267)</f>
        <v/>
      </c>
      <c r="R267" s="7">
        <f>IF($A267="","",K267-Q267)</f>
        <v/>
      </c>
      <c r="S267" s="7">
        <f>IF($A267="","",R267-F267)</f>
        <v/>
      </c>
      <c r="T267">
        <f>IF($A267="","",IF(COUNTIF($A$2:$A267,$A267)=1,1,0))</f>
        <v/>
      </c>
      <c r="U267">
        <f>IF($T267=1,SUMPRODUCT(--($W$2:$W$501&lt;$W267))+1,"")</f>
        <v/>
      </c>
      <c r="V267">
        <f>IF($A267="","",1)</f>
        <v/>
      </c>
      <c r="W267">
        <f>IF($T267=1,IFERROR(VALUE(MID($A267,2,20)),1000000000)+ROW()/100000,"")</f>
        <v/>
      </c>
    </row>
    <row r="268">
      <c r="F268" s="7">
        <f>IF($A268="","",E268*K268/100)</f>
        <v/>
      </c>
      <c r="J268" s="7" t="n"/>
      <c r="K268" s="7" t="n"/>
      <c r="L268" s="7" t="n"/>
      <c r="O268" s="11" t="n"/>
      <c r="P268">
        <f>IF($A268="","",IF($V268=1,Settings!$C$6,Settings!$C$7)*1)</f>
        <v/>
      </c>
      <c r="Q268" s="7">
        <f>IF($A268="","",P268*K268)</f>
        <v/>
      </c>
      <c r="R268" s="7">
        <f>IF($A268="","",K268-Q268)</f>
        <v/>
      </c>
      <c r="S268" s="7">
        <f>IF($A268="","",R268-F268)</f>
        <v/>
      </c>
      <c r="T268">
        <f>IF($A268="","",IF(COUNTIF($A$2:$A268,$A268)=1,1,0))</f>
        <v/>
      </c>
      <c r="U268">
        <f>IF($T268=1,SUMPRODUCT(--($W$2:$W$501&lt;$W268))+1,"")</f>
        <v/>
      </c>
      <c r="V268">
        <f>IF($A268="","",1)</f>
        <v/>
      </c>
      <c r="W268">
        <f>IF($T268=1,IFERROR(VALUE(MID($A268,2,20)),1000000000)+ROW()/100000,"")</f>
        <v/>
      </c>
    </row>
    <row r="269">
      <c r="F269" s="7">
        <f>IF($A269="","",E269*K269/100)</f>
        <v/>
      </c>
      <c r="J269" s="7" t="n"/>
      <c r="K269" s="7" t="n"/>
      <c r="L269" s="7" t="n"/>
      <c r="O269" s="11" t="n"/>
      <c r="P269">
        <f>IF($A269="","",IF($V269=1,Settings!$C$6,Settings!$C$7)*1)</f>
        <v/>
      </c>
      <c r="Q269" s="7">
        <f>IF($A269="","",P269*K269)</f>
        <v/>
      </c>
      <c r="R269" s="7">
        <f>IF($A269="","",K269-Q269)</f>
        <v/>
      </c>
      <c r="S269" s="7">
        <f>IF($A269="","",R269-F269)</f>
        <v/>
      </c>
      <c r="T269">
        <f>IF($A269="","",IF(COUNTIF($A$2:$A269,$A269)=1,1,0))</f>
        <v/>
      </c>
      <c r="U269">
        <f>IF($T269=1,SUMPRODUCT(--($W$2:$W$501&lt;$W269))+1,"")</f>
        <v/>
      </c>
      <c r="V269">
        <f>IF($A269="","",1)</f>
        <v/>
      </c>
      <c r="W269">
        <f>IF($T269=1,IFERROR(VALUE(MID($A269,2,20)),1000000000)+ROW()/100000,"")</f>
        <v/>
      </c>
    </row>
    <row r="270">
      <c r="F270" s="7">
        <f>IF($A270="","",E270*K270/100)</f>
        <v/>
      </c>
      <c r="J270" s="7" t="n"/>
      <c r="K270" s="7" t="n"/>
      <c r="L270" s="7" t="n"/>
      <c r="O270" s="11" t="n"/>
      <c r="P270">
        <f>IF($A270="","",IF($V270=1,Settings!$C$6,Settings!$C$7)*1)</f>
        <v/>
      </c>
      <c r="Q270" s="7">
        <f>IF($A270="","",P270*K270)</f>
        <v/>
      </c>
      <c r="R270" s="7">
        <f>IF($A270="","",K270-Q270)</f>
        <v/>
      </c>
      <c r="S270" s="7">
        <f>IF($A270="","",R270-F270)</f>
        <v/>
      </c>
      <c r="T270">
        <f>IF($A270="","",IF(COUNTIF($A$2:$A270,$A270)=1,1,0))</f>
        <v/>
      </c>
      <c r="U270">
        <f>IF($T270=1,SUMPRODUCT(--($W$2:$W$501&lt;$W270))+1,"")</f>
        <v/>
      </c>
      <c r="V270">
        <f>IF($A270="","",1)</f>
        <v/>
      </c>
      <c r="W270">
        <f>IF($T270=1,IFERROR(VALUE(MID($A270,2,20)),1000000000)+ROW()/100000,"")</f>
        <v/>
      </c>
    </row>
    <row r="271">
      <c r="F271" s="7">
        <f>IF($A271="","",E271*K271/100)</f>
        <v/>
      </c>
      <c r="J271" s="7" t="n"/>
      <c r="K271" s="7" t="n"/>
      <c r="L271" s="7" t="n"/>
      <c r="O271" s="11" t="n"/>
      <c r="P271">
        <f>IF($A271="","",IF($V271=1,Settings!$C$6,Settings!$C$7)*1)</f>
        <v/>
      </c>
      <c r="Q271" s="7">
        <f>IF($A271="","",P271*K271)</f>
        <v/>
      </c>
      <c r="R271" s="7">
        <f>IF($A271="","",K271-Q271)</f>
        <v/>
      </c>
      <c r="S271" s="7">
        <f>IF($A271="","",R271-F271)</f>
        <v/>
      </c>
      <c r="T271">
        <f>IF($A271="","",IF(COUNTIF($A$2:$A271,$A271)=1,1,0))</f>
        <v/>
      </c>
      <c r="U271">
        <f>IF($T271=1,SUMPRODUCT(--($W$2:$W$501&lt;$W271))+1,"")</f>
        <v/>
      </c>
      <c r="V271">
        <f>IF($A271="","",1)</f>
        <v/>
      </c>
      <c r="W271">
        <f>IF($T271=1,IFERROR(VALUE(MID($A271,2,20)),1000000000)+ROW()/100000,"")</f>
        <v/>
      </c>
    </row>
    <row r="272">
      <c r="F272" s="7">
        <f>IF($A272="","",E272*K272/100)</f>
        <v/>
      </c>
      <c r="J272" s="7" t="n"/>
      <c r="K272" s="7" t="n"/>
      <c r="L272" s="7" t="n"/>
      <c r="O272" s="11" t="n"/>
      <c r="P272">
        <f>IF($A272="","",IF($V272=1,Settings!$C$6,Settings!$C$7)*1)</f>
        <v/>
      </c>
      <c r="Q272" s="7">
        <f>IF($A272="","",P272*K272)</f>
        <v/>
      </c>
      <c r="R272" s="7">
        <f>IF($A272="","",K272-Q272)</f>
        <v/>
      </c>
      <c r="S272" s="7">
        <f>IF($A272="","",R272-F272)</f>
        <v/>
      </c>
      <c r="T272">
        <f>IF($A272="","",IF(COUNTIF($A$2:$A272,$A272)=1,1,0))</f>
        <v/>
      </c>
      <c r="U272">
        <f>IF($T272=1,SUMPRODUCT(--($W$2:$W$501&lt;$W272))+1,"")</f>
        <v/>
      </c>
      <c r="V272">
        <f>IF($A272="","",1)</f>
        <v/>
      </c>
      <c r="W272">
        <f>IF($T272=1,IFERROR(VALUE(MID($A272,2,20)),1000000000)+ROW()/100000,"")</f>
        <v/>
      </c>
    </row>
    <row r="273">
      <c r="F273" s="7">
        <f>IF($A273="","",E273*K273/100)</f>
        <v/>
      </c>
      <c r="J273" s="7" t="n"/>
      <c r="K273" s="7" t="n"/>
      <c r="L273" s="7" t="n"/>
      <c r="O273" s="11" t="n"/>
      <c r="P273">
        <f>IF($A273="","",IF($V273=1,Settings!$C$6,Settings!$C$7)*1)</f>
        <v/>
      </c>
      <c r="Q273" s="7">
        <f>IF($A273="","",P273*K273)</f>
        <v/>
      </c>
      <c r="R273" s="7">
        <f>IF($A273="","",K273-Q273)</f>
        <v/>
      </c>
      <c r="S273" s="7">
        <f>IF($A273="","",R273-F273)</f>
        <v/>
      </c>
      <c r="T273">
        <f>IF($A273="","",IF(COUNTIF($A$2:$A273,$A273)=1,1,0))</f>
        <v/>
      </c>
      <c r="U273">
        <f>IF($T273=1,SUMPRODUCT(--($W$2:$W$501&lt;$W273))+1,"")</f>
        <v/>
      </c>
      <c r="V273">
        <f>IF($A273="","",1)</f>
        <v/>
      </c>
      <c r="W273">
        <f>IF($T273=1,IFERROR(VALUE(MID($A273,2,20)),1000000000)+ROW()/100000,"")</f>
        <v/>
      </c>
    </row>
    <row r="274">
      <c r="F274" s="7">
        <f>IF($A274="","",E274*K274/100)</f>
        <v/>
      </c>
      <c r="J274" s="7" t="n"/>
      <c r="K274" s="7" t="n"/>
      <c r="L274" s="7" t="n"/>
      <c r="O274" s="11" t="n"/>
      <c r="P274">
        <f>IF($A274="","",IF($V274=1,Settings!$C$6,Settings!$C$7)*1)</f>
        <v/>
      </c>
      <c r="Q274" s="7">
        <f>IF($A274="","",P274*K274)</f>
        <v/>
      </c>
      <c r="R274" s="7">
        <f>IF($A274="","",K274-Q274)</f>
        <v/>
      </c>
      <c r="S274" s="7">
        <f>IF($A274="","",R274-F274)</f>
        <v/>
      </c>
      <c r="T274">
        <f>IF($A274="","",IF(COUNTIF($A$2:$A274,$A274)=1,1,0))</f>
        <v/>
      </c>
      <c r="U274">
        <f>IF($T274=1,SUMPRODUCT(--($W$2:$W$501&lt;$W274))+1,"")</f>
        <v/>
      </c>
      <c r="V274">
        <f>IF($A274="","",1)</f>
        <v/>
      </c>
      <c r="W274">
        <f>IF($T274=1,IFERROR(VALUE(MID($A274,2,20)),1000000000)+ROW()/100000,"")</f>
        <v/>
      </c>
    </row>
    <row r="275">
      <c r="F275" s="7">
        <f>IF($A275="","",E275*K275/100)</f>
        <v/>
      </c>
      <c r="J275" s="7" t="n"/>
      <c r="K275" s="7" t="n"/>
      <c r="L275" s="7" t="n"/>
      <c r="O275" s="11" t="n"/>
      <c r="P275">
        <f>IF($A275="","",IF($V275=1,Settings!$C$6,Settings!$C$7)*1)</f>
        <v/>
      </c>
      <c r="Q275" s="7">
        <f>IF($A275="","",P275*K275)</f>
        <v/>
      </c>
      <c r="R275" s="7">
        <f>IF($A275="","",K275-Q275)</f>
        <v/>
      </c>
      <c r="S275" s="7">
        <f>IF($A275="","",R275-F275)</f>
        <v/>
      </c>
      <c r="T275">
        <f>IF($A275="","",IF(COUNTIF($A$2:$A275,$A275)=1,1,0))</f>
        <v/>
      </c>
      <c r="U275">
        <f>IF($T275=1,SUMPRODUCT(--($W$2:$W$501&lt;$W275))+1,"")</f>
        <v/>
      </c>
      <c r="V275">
        <f>IF($A275="","",1)</f>
        <v/>
      </c>
      <c r="W275">
        <f>IF($T275=1,IFERROR(VALUE(MID($A275,2,20)),1000000000)+ROW()/100000,"")</f>
        <v/>
      </c>
    </row>
    <row r="276">
      <c r="F276" s="7">
        <f>IF($A276="","",E276*K276/100)</f>
        <v/>
      </c>
      <c r="J276" s="7" t="n"/>
      <c r="K276" s="7" t="n"/>
      <c r="L276" s="7" t="n"/>
      <c r="O276" s="11" t="n"/>
      <c r="P276">
        <f>IF($A276="","",IF($V276=1,Settings!$C$6,Settings!$C$7)*1)</f>
        <v/>
      </c>
      <c r="Q276" s="7">
        <f>IF($A276="","",P276*K276)</f>
        <v/>
      </c>
      <c r="R276" s="7">
        <f>IF($A276="","",K276-Q276)</f>
        <v/>
      </c>
      <c r="S276" s="7">
        <f>IF($A276="","",R276-F276)</f>
        <v/>
      </c>
      <c r="T276">
        <f>IF($A276="","",IF(COUNTIF($A$2:$A276,$A276)=1,1,0))</f>
        <v/>
      </c>
      <c r="U276">
        <f>IF($T276=1,SUMPRODUCT(--($W$2:$W$501&lt;$W276))+1,"")</f>
        <v/>
      </c>
      <c r="V276">
        <f>IF($A276="","",1)</f>
        <v/>
      </c>
      <c r="W276">
        <f>IF($T276=1,IFERROR(VALUE(MID($A276,2,20)),1000000000)+ROW()/100000,"")</f>
        <v/>
      </c>
    </row>
    <row r="277">
      <c r="F277" s="7">
        <f>IF($A277="","",E277*K277/100)</f>
        <v/>
      </c>
      <c r="J277" s="7" t="n"/>
      <c r="K277" s="7" t="n"/>
      <c r="L277" s="7" t="n"/>
      <c r="O277" s="11" t="n"/>
      <c r="P277">
        <f>IF($A277="","",IF($V277=1,Settings!$C$6,Settings!$C$7)*1)</f>
        <v/>
      </c>
      <c r="Q277" s="7">
        <f>IF($A277="","",P277*K277)</f>
        <v/>
      </c>
      <c r="R277" s="7">
        <f>IF($A277="","",K277-Q277)</f>
        <v/>
      </c>
      <c r="S277" s="7">
        <f>IF($A277="","",R277-F277)</f>
        <v/>
      </c>
      <c r="T277">
        <f>IF($A277="","",IF(COUNTIF($A$2:$A277,$A277)=1,1,0))</f>
        <v/>
      </c>
      <c r="U277">
        <f>IF($T277=1,SUMPRODUCT(--($W$2:$W$501&lt;$W277))+1,"")</f>
        <v/>
      </c>
      <c r="V277">
        <f>IF($A277="","",1)</f>
        <v/>
      </c>
      <c r="W277">
        <f>IF($T277=1,IFERROR(VALUE(MID($A277,2,20)),1000000000)+ROW()/100000,"")</f>
        <v/>
      </c>
    </row>
    <row r="278">
      <c r="F278" s="7">
        <f>IF($A278="","",E278*K278/100)</f>
        <v/>
      </c>
      <c r="J278" s="7" t="n"/>
      <c r="K278" s="7" t="n"/>
      <c r="L278" s="7" t="n"/>
      <c r="O278" s="11" t="n"/>
      <c r="P278">
        <f>IF($A278="","",IF($V278=1,Settings!$C$6,Settings!$C$7)*1)</f>
        <v/>
      </c>
      <c r="Q278" s="7">
        <f>IF($A278="","",P278*K278)</f>
        <v/>
      </c>
      <c r="R278" s="7">
        <f>IF($A278="","",K278-Q278)</f>
        <v/>
      </c>
      <c r="S278" s="7">
        <f>IF($A278="","",R278-F278)</f>
        <v/>
      </c>
      <c r="T278">
        <f>IF($A278="","",IF(COUNTIF($A$2:$A278,$A278)=1,1,0))</f>
        <v/>
      </c>
      <c r="U278">
        <f>IF($T278=1,SUMPRODUCT(--($W$2:$W$501&lt;$W278))+1,"")</f>
        <v/>
      </c>
      <c r="V278">
        <f>IF($A278="","",1)</f>
        <v/>
      </c>
      <c r="W278">
        <f>IF($T278=1,IFERROR(VALUE(MID($A278,2,20)),1000000000)+ROW()/100000,"")</f>
        <v/>
      </c>
    </row>
    <row r="279">
      <c r="F279" s="7">
        <f>IF($A279="","",E279*K279/100)</f>
        <v/>
      </c>
      <c r="J279" s="7" t="n"/>
      <c r="K279" s="7" t="n"/>
      <c r="L279" s="7" t="n"/>
      <c r="O279" s="11" t="n"/>
      <c r="P279">
        <f>IF($A279="","",IF($V279=1,Settings!$C$6,Settings!$C$7)*1)</f>
        <v/>
      </c>
      <c r="Q279" s="7">
        <f>IF($A279="","",P279*K279)</f>
        <v/>
      </c>
      <c r="R279" s="7">
        <f>IF($A279="","",K279-Q279)</f>
        <v/>
      </c>
      <c r="S279" s="7">
        <f>IF($A279="","",R279-F279)</f>
        <v/>
      </c>
      <c r="T279">
        <f>IF($A279="","",IF(COUNTIF($A$2:$A279,$A279)=1,1,0))</f>
        <v/>
      </c>
      <c r="U279">
        <f>IF($T279=1,SUMPRODUCT(--($W$2:$W$501&lt;$W279))+1,"")</f>
        <v/>
      </c>
      <c r="V279">
        <f>IF($A279="","",1)</f>
        <v/>
      </c>
      <c r="W279">
        <f>IF($T279=1,IFERROR(VALUE(MID($A279,2,20)),1000000000)+ROW()/100000,"")</f>
        <v/>
      </c>
    </row>
    <row r="280">
      <c r="F280" s="7">
        <f>IF($A280="","",E280*K280/100)</f>
        <v/>
      </c>
      <c r="J280" s="7" t="n"/>
      <c r="K280" s="7" t="n"/>
      <c r="L280" s="7" t="n"/>
      <c r="O280" s="11" t="n"/>
      <c r="P280">
        <f>IF($A280="","",IF($V280=1,Settings!$C$6,Settings!$C$7)*1)</f>
        <v/>
      </c>
      <c r="Q280" s="7">
        <f>IF($A280="","",P280*K280)</f>
        <v/>
      </c>
      <c r="R280" s="7">
        <f>IF($A280="","",K280-Q280)</f>
        <v/>
      </c>
      <c r="S280" s="7">
        <f>IF($A280="","",R280-F280)</f>
        <v/>
      </c>
      <c r="T280">
        <f>IF($A280="","",IF(COUNTIF($A$2:$A280,$A280)=1,1,0))</f>
        <v/>
      </c>
      <c r="U280">
        <f>IF($T280=1,SUMPRODUCT(--($W$2:$W$501&lt;$W280))+1,"")</f>
        <v/>
      </c>
      <c r="V280">
        <f>IF($A280="","",1)</f>
        <v/>
      </c>
      <c r="W280">
        <f>IF($T280=1,IFERROR(VALUE(MID($A280,2,20)),1000000000)+ROW()/100000,"")</f>
        <v/>
      </c>
    </row>
    <row r="281">
      <c r="F281" s="7">
        <f>IF($A281="","",E281*K281/100)</f>
        <v/>
      </c>
      <c r="J281" s="7" t="n"/>
      <c r="K281" s="7" t="n"/>
      <c r="L281" s="7" t="n"/>
      <c r="O281" s="11" t="n"/>
      <c r="P281">
        <f>IF($A281="","",IF($V281=1,Settings!$C$6,Settings!$C$7)*1)</f>
        <v/>
      </c>
      <c r="Q281" s="7">
        <f>IF($A281="","",P281*K281)</f>
        <v/>
      </c>
      <c r="R281" s="7">
        <f>IF($A281="","",K281-Q281)</f>
        <v/>
      </c>
      <c r="S281" s="7">
        <f>IF($A281="","",R281-F281)</f>
        <v/>
      </c>
      <c r="T281">
        <f>IF($A281="","",IF(COUNTIF($A$2:$A281,$A281)=1,1,0))</f>
        <v/>
      </c>
      <c r="U281">
        <f>IF($T281=1,SUMPRODUCT(--($W$2:$W$501&lt;$W281))+1,"")</f>
        <v/>
      </c>
      <c r="V281">
        <f>IF($A281="","",1)</f>
        <v/>
      </c>
      <c r="W281">
        <f>IF($T281=1,IFERROR(VALUE(MID($A281,2,20)),1000000000)+ROW()/100000,"")</f>
        <v/>
      </c>
    </row>
    <row r="282">
      <c r="F282" s="7">
        <f>IF($A282="","",E282*K282/100)</f>
        <v/>
      </c>
      <c r="J282" s="7" t="n"/>
      <c r="K282" s="7" t="n"/>
      <c r="L282" s="7" t="n"/>
      <c r="O282" s="11" t="n"/>
      <c r="P282">
        <f>IF($A282="","",IF($V282=1,Settings!$C$6,Settings!$C$7)*1)</f>
        <v/>
      </c>
      <c r="Q282" s="7">
        <f>IF($A282="","",P282*K282)</f>
        <v/>
      </c>
      <c r="R282" s="7">
        <f>IF($A282="","",K282-Q282)</f>
        <v/>
      </c>
      <c r="S282" s="7">
        <f>IF($A282="","",R282-F282)</f>
        <v/>
      </c>
      <c r="T282">
        <f>IF($A282="","",IF(COUNTIF($A$2:$A282,$A282)=1,1,0))</f>
        <v/>
      </c>
      <c r="U282">
        <f>IF($T282=1,SUMPRODUCT(--($W$2:$W$501&lt;$W282))+1,"")</f>
        <v/>
      </c>
      <c r="V282">
        <f>IF($A282="","",1)</f>
        <v/>
      </c>
      <c r="W282">
        <f>IF($T282=1,IFERROR(VALUE(MID($A282,2,20)),1000000000)+ROW()/100000,"")</f>
        <v/>
      </c>
    </row>
    <row r="283">
      <c r="F283" s="7">
        <f>IF($A283="","",E283*K283/100)</f>
        <v/>
      </c>
      <c r="J283" s="7" t="n"/>
      <c r="K283" s="7" t="n"/>
      <c r="L283" s="7" t="n"/>
      <c r="O283" s="11" t="n"/>
      <c r="P283">
        <f>IF($A283="","",IF($V283=1,Settings!$C$6,Settings!$C$7)*1)</f>
        <v/>
      </c>
      <c r="Q283" s="7">
        <f>IF($A283="","",P283*K283)</f>
        <v/>
      </c>
      <c r="R283" s="7">
        <f>IF($A283="","",K283-Q283)</f>
        <v/>
      </c>
      <c r="S283" s="7">
        <f>IF($A283="","",R283-F283)</f>
        <v/>
      </c>
      <c r="T283">
        <f>IF($A283="","",IF(COUNTIF($A$2:$A283,$A283)=1,1,0))</f>
        <v/>
      </c>
      <c r="U283">
        <f>IF($T283=1,SUMPRODUCT(--($W$2:$W$501&lt;$W283))+1,"")</f>
        <v/>
      </c>
      <c r="V283">
        <f>IF($A283="","",1)</f>
        <v/>
      </c>
      <c r="W283">
        <f>IF($T283=1,IFERROR(VALUE(MID($A283,2,20)),1000000000)+ROW()/100000,"")</f>
        <v/>
      </c>
    </row>
    <row r="284">
      <c r="F284" s="7">
        <f>IF($A284="","",E284*K284/100)</f>
        <v/>
      </c>
      <c r="J284" s="7" t="n"/>
      <c r="K284" s="7" t="n"/>
      <c r="L284" s="7" t="n"/>
      <c r="O284" s="11" t="n"/>
      <c r="P284">
        <f>IF($A284="","",IF($V284=1,Settings!$C$6,Settings!$C$7)*1)</f>
        <v/>
      </c>
      <c r="Q284" s="7">
        <f>IF($A284="","",P284*K284)</f>
        <v/>
      </c>
      <c r="R284" s="7">
        <f>IF($A284="","",K284-Q284)</f>
        <v/>
      </c>
      <c r="S284" s="7">
        <f>IF($A284="","",R284-F284)</f>
        <v/>
      </c>
      <c r="T284">
        <f>IF($A284="","",IF(COUNTIF($A$2:$A284,$A284)=1,1,0))</f>
        <v/>
      </c>
      <c r="U284">
        <f>IF($T284=1,SUMPRODUCT(--($W$2:$W$501&lt;$W284))+1,"")</f>
        <v/>
      </c>
      <c r="V284">
        <f>IF($A284="","",1)</f>
        <v/>
      </c>
      <c r="W284">
        <f>IF($T284=1,IFERROR(VALUE(MID($A284,2,20)),1000000000)+ROW()/100000,"")</f>
        <v/>
      </c>
    </row>
    <row r="285">
      <c r="F285" s="7">
        <f>IF($A285="","",E285*K285/100)</f>
        <v/>
      </c>
      <c r="J285" s="7" t="n"/>
      <c r="K285" s="7" t="n"/>
      <c r="L285" s="7" t="n"/>
      <c r="O285" s="11" t="n"/>
      <c r="P285">
        <f>IF($A285="","",IF($V285=1,Settings!$C$6,Settings!$C$7)*1)</f>
        <v/>
      </c>
      <c r="Q285" s="7">
        <f>IF($A285="","",P285*K285)</f>
        <v/>
      </c>
      <c r="R285" s="7">
        <f>IF($A285="","",K285-Q285)</f>
        <v/>
      </c>
      <c r="S285" s="7">
        <f>IF($A285="","",R285-F285)</f>
        <v/>
      </c>
      <c r="T285">
        <f>IF($A285="","",IF(COUNTIF($A$2:$A285,$A285)=1,1,0))</f>
        <v/>
      </c>
      <c r="U285">
        <f>IF($T285=1,SUMPRODUCT(--($W$2:$W$501&lt;$W285))+1,"")</f>
        <v/>
      </c>
      <c r="V285">
        <f>IF($A285="","",1)</f>
        <v/>
      </c>
      <c r="W285">
        <f>IF($T285=1,IFERROR(VALUE(MID($A285,2,20)),1000000000)+ROW()/100000,"")</f>
        <v/>
      </c>
    </row>
    <row r="286">
      <c r="F286" s="7">
        <f>IF($A286="","",E286*K286/100)</f>
        <v/>
      </c>
      <c r="J286" s="7" t="n"/>
      <c r="K286" s="7" t="n"/>
      <c r="L286" s="7" t="n"/>
      <c r="O286" s="11" t="n"/>
      <c r="P286">
        <f>IF($A286="","",IF($V286=1,Settings!$C$6,Settings!$C$7)*1)</f>
        <v/>
      </c>
      <c r="Q286" s="7">
        <f>IF($A286="","",P286*K286)</f>
        <v/>
      </c>
      <c r="R286" s="7">
        <f>IF($A286="","",K286-Q286)</f>
        <v/>
      </c>
      <c r="S286" s="7">
        <f>IF($A286="","",R286-F286)</f>
        <v/>
      </c>
      <c r="T286">
        <f>IF($A286="","",IF(COUNTIF($A$2:$A286,$A286)=1,1,0))</f>
        <v/>
      </c>
      <c r="U286">
        <f>IF($T286=1,SUMPRODUCT(--($W$2:$W$501&lt;$W286))+1,"")</f>
        <v/>
      </c>
      <c r="V286">
        <f>IF($A286="","",1)</f>
        <v/>
      </c>
      <c r="W286">
        <f>IF($T286=1,IFERROR(VALUE(MID($A286,2,20)),1000000000)+ROW()/100000,"")</f>
        <v/>
      </c>
    </row>
    <row r="287">
      <c r="F287" s="7">
        <f>IF($A287="","",E287*K287/100)</f>
        <v/>
      </c>
      <c r="J287" s="7" t="n"/>
      <c r="K287" s="7" t="n"/>
      <c r="L287" s="7" t="n"/>
      <c r="O287" s="11" t="n"/>
      <c r="P287">
        <f>IF($A287="","",IF($V287=1,Settings!$C$6,Settings!$C$7)*1)</f>
        <v/>
      </c>
      <c r="Q287" s="7">
        <f>IF($A287="","",P287*K287)</f>
        <v/>
      </c>
      <c r="R287" s="7">
        <f>IF($A287="","",K287-Q287)</f>
        <v/>
      </c>
      <c r="S287" s="7">
        <f>IF($A287="","",R287-F287)</f>
        <v/>
      </c>
      <c r="T287">
        <f>IF($A287="","",IF(COUNTIF($A$2:$A287,$A287)=1,1,0))</f>
        <v/>
      </c>
      <c r="U287">
        <f>IF($T287=1,SUMPRODUCT(--($W$2:$W$501&lt;$W287))+1,"")</f>
        <v/>
      </c>
      <c r="V287">
        <f>IF($A287="","",1)</f>
        <v/>
      </c>
      <c r="W287">
        <f>IF($T287=1,IFERROR(VALUE(MID($A287,2,20)),1000000000)+ROW()/100000,"")</f>
        <v/>
      </c>
    </row>
    <row r="288">
      <c r="F288" s="7">
        <f>IF($A288="","",E288*K288/100)</f>
        <v/>
      </c>
      <c r="J288" s="7" t="n"/>
      <c r="K288" s="7" t="n"/>
      <c r="L288" s="7" t="n"/>
      <c r="O288" s="11" t="n"/>
      <c r="P288">
        <f>IF($A288="","",IF($V288=1,Settings!$C$6,Settings!$C$7)*1)</f>
        <v/>
      </c>
      <c r="Q288" s="7">
        <f>IF($A288="","",P288*K288)</f>
        <v/>
      </c>
      <c r="R288" s="7">
        <f>IF($A288="","",K288-Q288)</f>
        <v/>
      </c>
      <c r="S288" s="7">
        <f>IF($A288="","",R288-F288)</f>
        <v/>
      </c>
      <c r="T288">
        <f>IF($A288="","",IF(COUNTIF($A$2:$A288,$A288)=1,1,0))</f>
        <v/>
      </c>
      <c r="U288">
        <f>IF($T288=1,SUMPRODUCT(--($W$2:$W$501&lt;$W288))+1,"")</f>
        <v/>
      </c>
      <c r="V288">
        <f>IF($A288="","",1)</f>
        <v/>
      </c>
      <c r="W288">
        <f>IF($T288=1,IFERROR(VALUE(MID($A288,2,20)),1000000000)+ROW()/100000,"")</f>
        <v/>
      </c>
    </row>
    <row r="289">
      <c r="F289" s="7">
        <f>IF($A289="","",E289*K289/100)</f>
        <v/>
      </c>
      <c r="J289" s="7" t="n"/>
      <c r="K289" s="7" t="n"/>
      <c r="L289" s="7" t="n"/>
      <c r="O289" s="11" t="n"/>
      <c r="P289">
        <f>IF($A289="","",IF($V289=1,Settings!$C$6,Settings!$C$7)*1)</f>
        <v/>
      </c>
      <c r="Q289" s="7">
        <f>IF($A289="","",P289*K289)</f>
        <v/>
      </c>
      <c r="R289" s="7">
        <f>IF($A289="","",K289-Q289)</f>
        <v/>
      </c>
      <c r="S289" s="7">
        <f>IF($A289="","",R289-F289)</f>
        <v/>
      </c>
      <c r="T289">
        <f>IF($A289="","",IF(COUNTIF($A$2:$A289,$A289)=1,1,0))</f>
        <v/>
      </c>
      <c r="U289">
        <f>IF($T289=1,SUMPRODUCT(--($W$2:$W$501&lt;$W289))+1,"")</f>
        <v/>
      </c>
      <c r="V289">
        <f>IF($A289="","",1)</f>
        <v/>
      </c>
      <c r="W289">
        <f>IF($T289=1,IFERROR(VALUE(MID($A289,2,20)),1000000000)+ROW()/100000,"")</f>
        <v/>
      </c>
    </row>
    <row r="290">
      <c r="F290" s="7">
        <f>IF($A290="","",E290*K290/100)</f>
        <v/>
      </c>
      <c r="J290" s="7" t="n"/>
      <c r="K290" s="7" t="n"/>
      <c r="L290" s="7" t="n"/>
      <c r="O290" s="11" t="n"/>
      <c r="P290">
        <f>IF($A290="","",IF($V290=1,Settings!$C$6,Settings!$C$7)*1)</f>
        <v/>
      </c>
      <c r="Q290" s="7">
        <f>IF($A290="","",P290*K290)</f>
        <v/>
      </c>
      <c r="R290" s="7">
        <f>IF($A290="","",K290-Q290)</f>
        <v/>
      </c>
      <c r="S290" s="7">
        <f>IF($A290="","",R290-F290)</f>
        <v/>
      </c>
      <c r="T290">
        <f>IF($A290="","",IF(COUNTIF($A$2:$A290,$A290)=1,1,0))</f>
        <v/>
      </c>
      <c r="U290">
        <f>IF($T290=1,SUMPRODUCT(--($W$2:$W$501&lt;$W290))+1,"")</f>
        <v/>
      </c>
      <c r="V290">
        <f>IF($A290="","",1)</f>
        <v/>
      </c>
      <c r="W290">
        <f>IF($T290=1,IFERROR(VALUE(MID($A290,2,20)),1000000000)+ROW()/100000,"")</f>
        <v/>
      </c>
    </row>
    <row r="291">
      <c r="F291" s="7">
        <f>IF($A291="","",E291*K291/100)</f>
        <v/>
      </c>
      <c r="J291" s="7" t="n"/>
      <c r="K291" s="7" t="n"/>
      <c r="L291" s="7" t="n"/>
      <c r="O291" s="11" t="n"/>
      <c r="P291">
        <f>IF($A291="","",IF($V291=1,Settings!$C$6,Settings!$C$7)*1)</f>
        <v/>
      </c>
      <c r="Q291" s="7">
        <f>IF($A291="","",P291*K291)</f>
        <v/>
      </c>
      <c r="R291" s="7">
        <f>IF($A291="","",K291-Q291)</f>
        <v/>
      </c>
      <c r="S291" s="7">
        <f>IF($A291="","",R291-F291)</f>
        <v/>
      </c>
      <c r="T291">
        <f>IF($A291="","",IF(COUNTIF($A$2:$A291,$A291)=1,1,0))</f>
        <v/>
      </c>
      <c r="U291">
        <f>IF($T291=1,SUMPRODUCT(--($W$2:$W$501&lt;$W291))+1,"")</f>
        <v/>
      </c>
      <c r="V291">
        <f>IF($A291="","",1)</f>
        <v/>
      </c>
      <c r="W291">
        <f>IF($T291=1,IFERROR(VALUE(MID($A291,2,20)),1000000000)+ROW()/100000,"")</f>
        <v/>
      </c>
    </row>
    <row r="292">
      <c r="F292" s="7">
        <f>IF($A292="","",E292*K292/100)</f>
        <v/>
      </c>
      <c r="J292" s="7" t="n"/>
      <c r="K292" s="7" t="n"/>
      <c r="L292" s="7" t="n"/>
      <c r="O292" s="11" t="n"/>
      <c r="P292">
        <f>IF($A292="","",IF($V292=1,Settings!$C$6,Settings!$C$7)*1)</f>
        <v/>
      </c>
      <c r="Q292" s="7">
        <f>IF($A292="","",P292*K292)</f>
        <v/>
      </c>
      <c r="R292" s="7">
        <f>IF($A292="","",K292-Q292)</f>
        <v/>
      </c>
      <c r="S292" s="7">
        <f>IF($A292="","",R292-F292)</f>
        <v/>
      </c>
      <c r="T292">
        <f>IF($A292="","",IF(COUNTIF($A$2:$A292,$A292)=1,1,0))</f>
        <v/>
      </c>
      <c r="U292">
        <f>IF($T292=1,SUMPRODUCT(--($W$2:$W$501&lt;$W292))+1,"")</f>
        <v/>
      </c>
      <c r="V292">
        <f>IF($A292="","",1)</f>
        <v/>
      </c>
      <c r="W292">
        <f>IF($T292=1,IFERROR(VALUE(MID($A292,2,20)),1000000000)+ROW()/100000,"")</f>
        <v/>
      </c>
    </row>
    <row r="293">
      <c r="F293" s="7">
        <f>IF($A293="","",E293*K293/100)</f>
        <v/>
      </c>
      <c r="J293" s="7" t="n"/>
      <c r="K293" s="7" t="n"/>
      <c r="L293" s="7" t="n"/>
      <c r="O293" s="11" t="n"/>
      <c r="P293">
        <f>IF($A293="","",IF($V293=1,Settings!$C$6,Settings!$C$7)*1)</f>
        <v/>
      </c>
      <c r="Q293" s="7">
        <f>IF($A293="","",P293*K293)</f>
        <v/>
      </c>
      <c r="R293" s="7">
        <f>IF($A293="","",K293-Q293)</f>
        <v/>
      </c>
      <c r="S293" s="7">
        <f>IF($A293="","",R293-F293)</f>
        <v/>
      </c>
      <c r="T293">
        <f>IF($A293="","",IF(COUNTIF($A$2:$A293,$A293)=1,1,0))</f>
        <v/>
      </c>
      <c r="U293">
        <f>IF($T293=1,SUMPRODUCT(--($W$2:$W$501&lt;$W293))+1,"")</f>
        <v/>
      </c>
      <c r="V293">
        <f>IF($A293="","",1)</f>
        <v/>
      </c>
      <c r="W293">
        <f>IF($T293=1,IFERROR(VALUE(MID($A293,2,20)),1000000000)+ROW()/100000,"")</f>
        <v/>
      </c>
    </row>
    <row r="294">
      <c r="F294" s="7">
        <f>IF($A294="","",E294*K294/100)</f>
        <v/>
      </c>
      <c r="J294" s="7" t="n"/>
      <c r="K294" s="7" t="n"/>
      <c r="L294" s="7" t="n"/>
      <c r="O294" s="11" t="n"/>
      <c r="P294">
        <f>IF($A294="","",IF($V294=1,Settings!$C$6,Settings!$C$7)*1)</f>
        <v/>
      </c>
      <c r="Q294" s="7">
        <f>IF($A294="","",P294*K294)</f>
        <v/>
      </c>
      <c r="R294" s="7">
        <f>IF($A294="","",K294-Q294)</f>
        <v/>
      </c>
      <c r="S294" s="7">
        <f>IF($A294="","",R294-F294)</f>
        <v/>
      </c>
      <c r="T294">
        <f>IF($A294="","",IF(COUNTIF($A$2:$A294,$A294)=1,1,0))</f>
        <v/>
      </c>
      <c r="U294">
        <f>IF($T294=1,SUMPRODUCT(--($W$2:$W$501&lt;$W294))+1,"")</f>
        <v/>
      </c>
      <c r="V294">
        <f>IF($A294="","",1)</f>
        <v/>
      </c>
      <c r="W294">
        <f>IF($T294=1,IFERROR(VALUE(MID($A294,2,20)),1000000000)+ROW()/100000,"")</f>
        <v/>
      </c>
    </row>
    <row r="295">
      <c r="F295" s="7">
        <f>IF($A295="","",E295*K295/100)</f>
        <v/>
      </c>
      <c r="J295" s="7" t="n"/>
      <c r="K295" s="7" t="n"/>
      <c r="L295" s="7" t="n"/>
      <c r="O295" s="11" t="n"/>
      <c r="P295">
        <f>IF($A295="","",IF($V295=1,Settings!$C$6,Settings!$C$7)*1)</f>
        <v/>
      </c>
      <c r="Q295" s="7">
        <f>IF($A295="","",P295*K295)</f>
        <v/>
      </c>
      <c r="R295" s="7">
        <f>IF($A295="","",K295-Q295)</f>
        <v/>
      </c>
      <c r="S295" s="7">
        <f>IF($A295="","",R295-F295)</f>
        <v/>
      </c>
      <c r="T295">
        <f>IF($A295="","",IF(COUNTIF($A$2:$A295,$A295)=1,1,0))</f>
        <v/>
      </c>
      <c r="U295">
        <f>IF($T295=1,SUMPRODUCT(--($W$2:$W$501&lt;$W295))+1,"")</f>
        <v/>
      </c>
      <c r="V295">
        <f>IF($A295="","",1)</f>
        <v/>
      </c>
      <c r="W295">
        <f>IF($T295=1,IFERROR(VALUE(MID($A295,2,20)),1000000000)+ROW()/100000,"")</f>
        <v/>
      </c>
    </row>
    <row r="296">
      <c r="F296" s="7">
        <f>IF($A296="","",E296*K296/100)</f>
        <v/>
      </c>
      <c r="J296" s="7" t="n"/>
      <c r="K296" s="7" t="n"/>
      <c r="L296" s="7" t="n"/>
      <c r="O296" s="11" t="n"/>
      <c r="P296">
        <f>IF($A296="","",IF($V296=1,Settings!$C$6,Settings!$C$7)*1)</f>
        <v/>
      </c>
      <c r="Q296" s="7">
        <f>IF($A296="","",P296*K296)</f>
        <v/>
      </c>
      <c r="R296" s="7">
        <f>IF($A296="","",K296-Q296)</f>
        <v/>
      </c>
      <c r="S296" s="7">
        <f>IF($A296="","",R296-F296)</f>
        <v/>
      </c>
      <c r="T296">
        <f>IF($A296="","",IF(COUNTIF($A$2:$A296,$A296)=1,1,0))</f>
        <v/>
      </c>
      <c r="U296">
        <f>IF($T296=1,SUMPRODUCT(--($W$2:$W$501&lt;$W296))+1,"")</f>
        <v/>
      </c>
      <c r="V296">
        <f>IF($A296="","",1)</f>
        <v/>
      </c>
      <c r="W296">
        <f>IF($T296=1,IFERROR(VALUE(MID($A296,2,20)),1000000000)+ROW()/100000,"")</f>
        <v/>
      </c>
    </row>
    <row r="297">
      <c r="F297" s="7">
        <f>IF($A297="","",E297*K297/100)</f>
        <v/>
      </c>
      <c r="J297" s="7" t="n"/>
      <c r="K297" s="7" t="n"/>
      <c r="L297" s="7" t="n"/>
      <c r="O297" s="11" t="n"/>
      <c r="P297">
        <f>IF($A297="","",IF($V297=1,Settings!$C$6,Settings!$C$7)*1)</f>
        <v/>
      </c>
      <c r="Q297" s="7">
        <f>IF($A297="","",P297*K297)</f>
        <v/>
      </c>
      <c r="R297" s="7">
        <f>IF($A297="","",K297-Q297)</f>
        <v/>
      </c>
      <c r="S297" s="7">
        <f>IF($A297="","",R297-F297)</f>
        <v/>
      </c>
      <c r="T297">
        <f>IF($A297="","",IF(COUNTIF($A$2:$A297,$A297)=1,1,0))</f>
        <v/>
      </c>
      <c r="U297">
        <f>IF($T297=1,SUMPRODUCT(--($W$2:$W$501&lt;$W297))+1,"")</f>
        <v/>
      </c>
      <c r="V297">
        <f>IF($A297="","",1)</f>
        <v/>
      </c>
      <c r="W297">
        <f>IF($T297=1,IFERROR(VALUE(MID($A297,2,20)),1000000000)+ROW()/100000,"")</f>
        <v/>
      </c>
    </row>
    <row r="298">
      <c r="F298" s="7">
        <f>IF($A298="","",E298*K298/100)</f>
        <v/>
      </c>
      <c r="J298" s="7" t="n"/>
      <c r="K298" s="7" t="n"/>
      <c r="L298" s="7" t="n"/>
      <c r="O298" s="11" t="n"/>
      <c r="P298">
        <f>IF($A298="","",IF($V298=1,Settings!$C$6,Settings!$C$7)*1)</f>
        <v/>
      </c>
      <c r="Q298" s="7">
        <f>IF($A298="","",P298*K298)</f>
        <v/>
      </c>
      <c r="R298" s="7">
        <f>IF($A298="","",K298-Q298)</f>
        <v/>
      </c>
      <c r="S298" s="7">
        <f>IF($A298="","",R298-F298)</f>
        <v/>
      </c>
      <c r="T298">
        <f>IF($A298="","",IF(COUNTIF($A$2:$A298,$A298)=1,1,0))</f>
        <v/>
      </c>
      <c r="U298">
        <f>IF($T298=1,SUMPRODUCT(--($W$2:$W$501&lt;$W298))+1,"")</f>
        <v/>
      </c>
      <c r="V298">
        <f>IF($A298="","",1)</f>
        <v/>
      </c>
      <c r="W298">
        <f>IF($T298=1,IFERROR(VALUE(MID($A298,2,20)),1000000000)+ROW()/100000,"")</f>
        <v/>
      </c>
    </row>
    <row r="299">
      <c r="F299" s="7">
        <f>IF($A299="","",E299*K299/100)</f>
        <v/>
      </c>
      <c r="J299" s="7" t="n"/>
      <c r="K299" s="7" t="n"/>
      <c r="L299" s="7" t="n"/>
      <c r="O299" s="11" t="n"/>
      <c r="P299">
        <f>IF($A299="","",IF($V299=1,Settings!$C$6,Settings!$C$7)*1)</f>
        <v/>
      </c>
      <c r="Q299" s="7">
        <f>IF($A299="","",P299*K299)</f>
        <v/>
      </c>
      <c r="R299" s="7">
        <f>IF($A299="","",K299-Q299)</f>
        <v/>
      </c>
      <c r="S299" s="7">
        <f>IF($A299="","",R299-F299)</f>
        <v/>
      </c>
      <c r="T299">
        <f>IF($A299="","",IF(COUNTIF($A$2:$A299,$A299)=1,1,0))</f>
        <v/>
      </c>
      <c r="U299">
        <f>IF($T299=1,SUMPRODUCT(--($W$2:$W$501&lt;$W299))+1,"")</f>
        <v/>
      </c>
      <c r="V299">
        <f>IF($A299="","",1)</f>
        <v/>
      </c>
      <c r="W299">
        <f>IF($T299=1,IFERROR(VALUE(MID($A299,2,20)),1000000000)+ROW()/100000,"")</f>
        <v/>
      </c>
    </row>
    <row r="300">
      <c r="F300" s="7">
        <f>IF($A300="","",E300*K300/100)</f>
        <v/>
      </c>
      <c r="J300" s="7" t="n"/>
      <c r="K300" s="7" t="n"/>
      <c r="L300" s="7" t="n"/>
      <c r="O300" s="11" t="n"/>
      <c r="P300">
        <f>IF($A300="","",IF($V300=1,Settings!$C$6,Settings!$C$7)*1)</f>
        <v/>
      </c>
      <c r="Q300" s="7">
        <f>IF($A300="","",P300*K300)</f>
        <v/>
      </c>
      <c r="R300" s="7">
        <f>IF($A300="","",K300-Q300)</f>
        <v/>
      </c>
      <c r="S300" s="7">
        <f>IF($A300="","",R300-F300)</f>
        <v/>
      </c>
      <c r="T300">
        <f>IF($A300="","",IF(COUNTIF($A$2:$A300,$A300)=1,1,0))</f>
        <v/>
      </c>
      <c r="U300">
        <f>IF($T300=1,SUMPRODUCT(--($W$2:$W$501&lt;$W300))+1,"")</f>
        <v/>
      </c>
      <c r="V300">
        <f>IF($A300="","",1)</f>
        <v/>
      </c>
      <c r="W300">
        <f>IF($T300=1,IFERROR(VALUE(MID($A300,2,20)),1000000000)+ROW()/100000,"")</f>
        <v/>
      </c>
    </row>
    <row r="301">
      <c r="F301" s="7">
        <f>IF($A301="","",E301*K301/100)</f>
        <v/>
      </c>
      <c r="J301" s="7" t="n"/>
      <c r="K301" s="7" t="n"/>
      <c r="L301" s="7" t="n"/>
      <c r="O301" s="11" t="n"/>
      <c r="P301">
        <f>IF($A301="","",IF($V301=1,Settings!$C$6,Settings!$C$7)*1)</f>
        <v/>
      </c>
      <c r="Q301" s="7">
        <f>IF($A301="","",P301*K301)</f>
        <v/>
      </c>
      <c r="R301" s="7">
        <f>IF($A301="","",K301-Q301)</f>
        <v/>
      </c>
      <c r="S301" s="7">
        <f>IF($A301="","",R301-F301)</f>
        <v/>
      </c>
      <c r="T301">
        <f>IF($A301="","",IF(COUNTIF($A$2:$A301,$A301)=1,1,0))</f>
        <v/>
      </c>
      <c r="U301">
        <f>IF($T301=1,SUMPRODUCT(--($W$2:$W$501&lt;$W301))+1,"")</f>
        <v/>
      </c>
      <c r="V301">
        <f>IF($A301="","",1)</f>
        <v/>
      </c>
      <c r="W301">
        <f>IF($T301=1,IFERROR(VALUE(MID($A301,2,20)),1000000000)+ROW()/100000,"")</f>
        <v/>
      </c>
    </row>
    <row r="302">
      <c r="F302" s="7">
        <f>IF($A302="","",E302*K302/100)</f>
        <v/>
      </c>
      <c r="J302" s="7" t="n"/>
      <c r="K302" s="7" t="n"/>
      <c r="L302" s="7" t="n"/>
      <c r="O302" s="11" t="n"/>
      <c r="P302">
        <f>IF($A302="","",IF($V302=1,Settings!$C$6,Settings!$C$7)*1)</f>
        <v/>
      </c>
      <c r="Q302" s="7">
        <f>IF($A302="","",P302*K302)</f>
        <v/>
      </c>
      <c r="R302" s="7">
        <f>IF($A302="","",K302-Q302)</f>
        <v/>
      </c>
      <c r="S302" s="7">
        <f>IF($A302="","",R302-F302)</f>
        <v/>
      </c>
      <c r="T302">
        <f>IF($A302="","",IF(COUNTIF($A$2:$A302,$A302)=1,1,0))</f>
        <v/>
      </c>
      <c r="U302">
        <f>IF($T302=1,SUMPRODUCT(--($W$2:$W$501&lt;$W302))+1,"")</f>
        <v/>
      </c>
      <c r="V302">
        <f>IF($A302="","",1)</f>
        <v/>
      </c>
      <c r="W302">
        <f>IF($T302=1,IFERROR(VALUE(MID($A302,2,20)),1000000000)+ROW()/100000,"")</f>
        <v/>
      </c>
    </row>
    <row r="303">
      <c r="F303" s="7">
        <f>IF($A303="","",E303*K303/100)</f>
        <v/>
      </c>
      <c r="J303" s="7" t="n"/>
      <c r="K303" s="7" t="n"/>
      <c r="L303" s="7" t="n"/>
      <c r="O303" s="11" t="n"/>
      <c r="P303">
        <f>IF($A303="","",IF($V303=1,Settings!$C$6,Settings!$C$7)*1)</f>
        <v/>
      </c>
      <c r="Q303" s="7">
        <f>IF($A303="","",P303*K303)</f>
        <v/>
      </c>
      <c r="R303" s="7">
        <f>IF($A303="","",K303-Q303)</f>
        <v/>
      </c>
      <c r="S303" s="7">
        <f>IF($A303="","",R303-F303)</f>
        <v/>
      </c>
      <c r="T303">
        <f>IF($A303="","",IF(COUNTIF($A$2:$A303,$A303)=1,1,0))</f>
        <v/>
      </c>
      <c r="U303">
        <f>IF($T303=1,SUMPRODUCT(--($W$2:$W$501&lt;$W303))+1,"")</f>
        <v/>
      </c>
      <c r="V303">
        <f>IF($A303="","",1)</f>
        <v/>
      </c>
      <c r="W303">
        <f>IF($T303=1,IFERROR(VALUE(MID($A303,2,20)),1000000000)+ROW()/100000,"")</f>
        <v/>
      </c>
    </row>
    <row r="304">
      <c r="F304" s="7">
        <f>IF($A304="","",E304*K304/100)</f>
        <v/>
      </c>
      <c r="J304" s="7" t="n"/>
      <c r="K304" s="7" t="n"/>
      <c r="L304" s="7" t="n"/>
      <c r="O304" s="11" t="n"/>
      <c r="P304">
        <f>IF($A304="","",IF($V304=1,Settings!$C$6,Settings!$C$7)*1)</f>
        <v/>
      </c>
      <c r="Q304" s="7">
        <f>IF($A304="","",P304*K304)</f>
        <v/>
      </c>
      <c r="R304" s="7">
        <f>IF($A304="","",K304-Q304)</f>
        <v/>
      </c>
      <c r="S304" s="7">
        <f>IF($A304="","",R304-F304)</f>
        <v/>
      </c>
      <c r="T304">
        <f>IF($A304="","",IF(COUNTIF($A$2:$A304,$A304)=1,1,0))</f>
        <v/>
      </c>
      <c r="U304">
        <f>IF($T304=1,SUMPRODUCT(--($W$2:$W$501&lt;$W304))+1,"")</f>
        <v/>
      </c>
      <c r="V304">
        <f>IF($A304="","",1)</f>
        <v/>
      </c>
      <c r="W304">
        <f>IF($T304=1,IFERROR(VALUE(MID($A304,2,20)),1000000000)+ROW()/100000,"")</f>
        <v/>
      </c>
    </row>
    <row r="305">
      <c r="F305" s="7">
        <f>IF($A305="","",E305*K305/100)</f>
        <v/>
      </c>
      <c r="J305" s="7" t="n"/>
      <c r="K305" s="7" t="n"/>
      <c r="L305" s="7" t="n"/>
      <c r="O305" s="11" t="n"/>
      <c r="P305">
        <f>IF($A305="","",IF($V305=1,Settings!$C$6,Settings!$C$7)*1)</f>
        <v/>
      </c>
      <c r="Q305" s="7">
        <f>IF($A305="","",P305*K305)</f>
        <v/>
      </c>
      <c r="R305" s="7">
        <f>IF($A305="","",K305-Q305)</f>
        <v/>
      </c>
      <c r="S305" s="7">
        <f>IF($A305="","",R305-F305)</f>
        <v/>
      </c>
      <c r="T305">
        <f>IF($A305="","",IF(COUNTIF($A$2:$A305,$A305)=1,1,0))</f>
        <v/>
      </c>
      <c r="U305">
        <f>IF($T305=1,SUMPRODUCT(--($W$2:$W$501&lt;$W305))+1,"")</f>
        <v/>
      </c>
      <c r="V305">
        <f>IF($A305="","",1)</f>
        <v/>
      </c>
      <c r="W305">
        <f>IF($T305=1,IFERROR(VALUE(MID($A305,2,20)),1000000000)+ROW()/100000,"")</f>
        <v/>
      </c>
    </row>
    <row r="306">
      <c r="F306" s="7">
        <f>IF($A306="","",E306*K306/100)</f>
        <v/>
      </c>
      <c r="J306" s="7" t="n"/>
      <c r="K306" s="7" t="n"/>
      <c r="L306" s="7" t="n"/>
      <c r="O306" s="11" t="n"/>
      <c r="P306">
        <f>IF($A306="","",IF($V306=1,Settings!$C$6,Settings!$C$7)*1)</f>
        <v/>
      </c>
      <c r="Q306" s="7">
        <f>IF($A306="","",P306*K306)</f>
        <v/>
      </c>
      <c r="R306" s="7">
        <f>IF($A306="","",K306-Q306)</f>
        <v/>
      </c>
      <c r="S306" s="7">
        <f>IF($A306="","",R306-F306)</f>
        <v/>
      </c>
      <c r="T306">
        <f>IF($A306="","",IF(COUNTIF($A$2:$A306,$A306)=1,1,0))</f>
        <v/>
      </c>
      <c r="U306">
        <f>IF($T306=1,SUMPRODUCT(--($W$2:$W$501&lt;$W306))+1,"")</f>
        <v/>
      </c>
      <c r="V306">
        <f>IF($A306="","",1)</f>
        <v/>
      </c>
      <c r="W306">
        <f>IF($T306=1,IFERROR(VALUE(MID($A306,2,20)),1000000000)+ROW()/100000,"")</f>
        <v/>
      </c>
    </row>
    <row r="307">
      <c r="F307" s="7">
        <f>IF($A307="","",E307*K307/100)</f>
        <v/>
      </c>
      <c r="J307" s="7" t="n"/>
      <c r="K307" s="7" t="n"/>
      <c r="L307" s="7" t="n"/>
      <c r="O307" s="11" t="n"/>
      <c r="P307">
        <f>IF($A307="","",IF($V307=1,Settings!$C$6,Settings!$C$7)*1)</f>
        <v/>
      </c>
      <c r="Q307" s="7">
        <f>IF($A307="","",P307*K307)</f>
        <v/>
      </c>
      <c r="R307" s="7">
        <f>IF($A307="","",K307-Q307)</f>
        <v/>
      </c>
      <c r="S307" s="7">
        <f>IF($A307="","",R307-F307)</f>
        <v/>
      </c>
      <c r="T307">
        <f>IF($A307="","",IF(COUNTIF($A$2:$A307,$A307)=1,1,0))</f>
        <v/>
      </c>
      <c r="U307">
        <f>IF($T307=1,SUMPRODUCT(--($W$2:$W$501&lt;$W307))+1,"")</f>
        <v/>
      </c>
      <c r="V307">
        <f>IF($A307="","",1)</f>
        <v/>
      </c>
      <c r="W307">
        <f>IF($T307=1,IFERROR(VALUE(MID($A307,2,20)),1000000000)+ROW()/100000,"")</f>
        <v/>
      </c>
    </row>
    <row r="308">
      <c r="F308" s="7">
        <f>IF($A308="","",E308*K308/100)</f>
        <v/>
      </c>
      <c r="J308" s="7" t="n"/>
      <c r="K308" s="7" t="n"/>
      <c r="L308" s="7" t="n"/>
      <c r="O308" s="11" t="n"/>
      <c r="P308">
        <f>IF($A308="","",IF($V308=1,Settings!$C$6,Settings!$C$7)*1)</f>
        <v/>
      </c>
      <c r="Q308" s="7">
        <f>IF($A308="","",P308*K308)</f>
        <v/>
      </c>
      <c r="R308" s="7">
        <f>IF($A308="","",K308-Q308)</f>
        <v/>
      </c>
      <c r="S308" s="7">
        <f>IF($A308="","",R308-F308)</f>
        <v/>
      </c>
      <c r="T308">
        <f>IF($A308="","",IF(COUNTIF($A$2:$A308,$A308)=1,1,0))</f>
        <v/>
      </c>
      <c r="U308">
        <f>IF($T308=1,SUMPRODUCT(--($W$2:$W$501&lt;$W308))+1,"")</f>
        <v/>
      </c>
      <c r="V308">
        <f>IF($A308="","",1)</f>
        <v/>
      </c>
      <c r="W308">
        <f>IF($T308=1,IFERROR(VALUE(MID($A308,2,20)),1000000000)+ROW()/100000,"")</f>
        <v/>
      </c>
    </row>
    <row r="309">
      <c r="F309" s="7">
        <f>IF($A309="","",E309*K309/100)</f>
        <v/>
      </c>
      <c r="J309" s="7" t="n"/>
      <c r="K309" s="7" t="n"/>
      <c r="L309" s="7" t="n"/>
      <c r="O309" s="11" t="n"/>
      <c r="P309">
        <f>IF($A309="","",IF($V309=1,Settings!$C$6,Settings!$C$7)*1)</f>
        <v/>
      </c>
      <c r="Q309" s="7">
        <f>IF($A309="","",P309*K309)</f>
        <v/>
      </c>
      <c r="R309" s="7">
        <f>IF($A309="","",K309-Q309)</f>
        <v/>
      </c>
      <c r="S309" s="7">
        <f>IF($A309="","",R309-F309)</f>
        <v/>
      </c>
      <c r="T309">
        <f>IF($A309="","",IF(COUNTIF($A$2:$A309,$A309)=1,1,0))</f>
        <v/>
      </c>
      <c r="U309">
        <f>IF($T309=1,SUMPRODUCT(--($W$2:$W$501&lt;$W309))+1,"")</f>
        <v/>
      </c>
      <c r="V309">
        <f>IF($A309="","",1)</f>
        <v/>
      </c>
      <c r="W309">
        <f>IF($T309=1,IFERROR(VALUE(MID($A309,2,20)),1000000000)+ROW()/100000,"")</f>
        <v/>
      </c>
    </row>
    <row r="310">
      <c r="F310" s="7">
        <f>IF($A310="","",E310*K310/100)</f>
        <v/>
      </c>
      <c r="J310" s="7" t="n"/>
      <c r="K310" s="7" t="n"/>
      <c r="L310" s="7" t="n"/>
      <c r="O310" s="11" t="n"/>
      <c r="P310">
        <f>IF($A310="","",IF($V310=1,Settings!$C$6,Settings!$C$7)*1)</f>
        <v/>
      </c>
      <c r="Q310" s="7">
        <f>IF($A310="","",P310*K310)</f>
        <v/>
      </c>
      <c r="R310" s="7">
        <f>IF($A310="","",K310-Q310)</f>
        <v/>
      </c>
      <c r="S310" s="7">
        <f>IF($A310="","",R310-F310)</f>
        <v/>
      </c>
      <c r="T310">
        <f>IF($A310="","",IF(COUNTIF($A$2:$A310,$A310)=1,1,0))</f>
        <v/>
      </c>
      <c r="U310">
        <f>IF($T310=1,SUMPRODUCT(--($W$2:$W$501&lt;$W310))+1,"")</f>
        <v/>
      </c>
      <c r="V310">
        <f>IF($A310="","",1)</f>
        <v/>
      </c>
      <c r="W310">
        <f>IF($T310=1,IFERROR(VALUE(MID($A310,2,20)),1000000000)+ROW()/100000,"")</f>
        <v/>
      </c>
    </row>
    <row r="311">
      <c r="F311" s="7">
        <f>IF($A311="","",E311*K311/100)</f>
        <v/>
      </c>
      <c r="J311" s="7" t="n"/>
      <c r="K311" s="7" t="n"/>
      <c r="L311" s="7" t="n"/>
      <c r="O311" s="11" t="n"/>
      <c r="P311">
        <f>IF($A311="","",IF($V311=1,Settings!$C$6,Settings!$C$7)*1)</f>
        <v/>
      </c>
      <c r="Q311" s="7">
        <f>IF($A311="","",P311*K311)</f>
        <v/>
      </c>
      <c r="R311" s="7">
        <f>IF($A311="","",K311-Q311)</f>
        <v/>
      </c>
      <c r="S311" s="7">
        <f>IF($A311="","",R311-F311)</f>
        <v/>
      </c>
      <c r="T311">
        <f>IF($A311="","",IF(COUNTIF($A$2:$A311,$A311)=1,1,0))</f>
        <v/>
      </c>
      <c r="U311">
        <f>IF($T311=1,SUMPRODUCT(--($W$2:$W$501&lt;$W311))+1,"")</f>
        <v/>
      </c>
      <c r="V311">
        <f>IF($A311="","",1)</f>
        <v/>
      </c>
      <c r="W311">
        <f>IF($T311=1,IFERROR(VALUE(MID($A311,2,20)),1000000000)+ROW()/100000,"")</f>
        <v/>
      </c>
    </row>
    <row r="312">
      <c r="F312" s="7">
        <f>IF($A312="","",E312*K312/100)</f>
        <v/>
      </c>
      <c r="J312" s="7" t="n"/>
      <c r="K312" s="7" t="n"/>
      <c r="L312" s="7" t="n"/>
      <c r="O312" s="11" t="n"/>
      <c r="P312">
        <f>IF($A312="","",IF($V312=1,Settings!$C$6,Settings!$C$7)*1)</f>
        <v/>
      </c>
      <c r="Q312" s="7">
        <f>IF($A312="","",P312*K312)</f>
        <v/>
      </c>
      <c r="R312" s="7">
        <f>IF($A312="","",K312-Q312)</f>
        <v/>
      </c>
      <c r="S312" s="7">
        <f>IF($A312="","",R312-F312)</f>
        <v/>
      </c>
      <c r="T312">
        <f>IF($A312="","",IF(COUNTIF($A$2:$A312,$A312)=1,1,0))</f>
        <v/>
      </c>
      <c r="U312">
        <f>IF($T312=1,SUMPRODUCT(--($W$2:$W$501&lt;$W312))+1,"")</f>
        <v/>
      </c>
      <c r="V312">
        <f>IF($A312="","",1)</f>
        <v/>
      </c>
      <c r="W312">
        <f>IF($T312=1,IFERROR(VALUE(MID($A312,2,20)),1000000000)+ROW()/100000,"")</f>
        <v/>
      </c>
    </row>
    <row r="313">
      <c r="F313" s="7">
        <f>IF($A313="","",E313*K313/100)</f>
        <v/>
      </c>
      <c r="J313" s="7" t="n"/>
      <c r="K313" s="7" t="n"/>
      <c r="L313" s="7" t="n"/>
      <c r="O313" s="11" t="n"/>
      <c r="P313">
        <f>IF($A313="","",IF($V313=1,Settings!$C$6,Settings!$C$7)*1)</f>
        <v/>
      </c>
      <c r="Q313" s="7">
        <f>IF($A313="","",P313*K313)</f>
        <v/>
      </c>
      <c r="R313" s="7">
        <f>IF($A313="","",K313-Q313)</f>
        <v/>
      </c>
      <c r="S313" s="7">
        <f>IF($A313="","",R313-F313)</f>
        <v/>
      </c>
      <c r="T313">
        <f>IF($A313="","",IF(COUNTIF($A$2:$A313,$A313)=1,1,0))</f>
        <v/>
      </c>
      <c r="U313">
        <f>IF($T313=1,SUMPRODUCT(--($W$2:$W$501&lt;$W313))+1,"")</f>
        <v/>
      </c>
      <c r="V313">
        <f>IF($A313="","",1)</f>
        <v/>
      </c>
      <c r="W313">
        <f>IF($T313=1,IFERROR(VALUE(MID($A313,2,20)),1000000000)+ROW()/100000,"")</f>
        <v/>
      </c>
    </row>
    <row r="314">
      <c r="F314" s="7">
        <f>IF($A314="","",E314*K314/100)</f>
        <v/>
      </c>
      <c r="J314" s="7" t="n"/>
      <c r="K314" s="7" t="n"/>
      <c r="L314" s="7" t="n"/>
      <c r="O314" s="11" t="n"/>
      <c r="P314">
        <f>IF($A314="","",IF($V314=1,Settings!$C$6,Settings!$C$7)*1)</f>
        <v/>
      </c>
      <c r="Q314" s="7">
        <f>IF($A314="","",P314*K314)</f>
        <v/>
      </c>
      <c r="R314" s="7">
        <f>IF($A314="","",K314-Q314)</f>
        <v/>
      </c>
      <c r="S314" s="7">
        <f>IF($A314="","",R314-F314)</f>
        <v/>
      </c>
      <c r="T314">
        <f>IF($A314="","",IF(COUNTIF($A$2:$A314,$A314)=1,1,0))</f>
        <v/>
      </c>
      <c r="U314">
        <f>IF($T314=1,SUMPRODUCT(--($W$2:$W$501&lt;$W314))+1,"")</f>
        <v/>
      </c>
      <c r="V314">
        <f>IF($A314="","",1)</f>
        <v/>
      </c>
      <c r="W314">
        <f>IF($T314=1,IFERROR(VALUE(MID($A314,2,20)),1000000000)+ROW()/100000,"")</f>
        <v/>
      </c>
    </row>
    <row r="315">
      <c r="F315" s="7">
        <f>IF($A315="","",E315*K315/100)</f>
        <v/>
      </c>
      <c r="J315" s="7" t="n"/>
      <c r="K315" s="7" t="n"/>
      <c r="L315" s="7" t="n"/>
      <c r="O315" s="11" t="n"/>
      <c r="P315">
        <f>IF($A315="","",IF($V315=1,Settings!$C$6,Settings!$C$7)*1)</f>
        <v/>
      </c>
      <c r="Q315" s="7">
        <f>IF($A315="","",P315*K315)</f>
        <v/>
      </c>
      <c r="R315" s="7">
        <f>IF($A315="","",K315-Q315)</f>
        <v/>
      </c>
      <c r="S315" s="7">
        <f>IF($A315="","",R315-F315)</f>
        <v/>
      </c>
      <c r="T315">
        <f>IF($A315="","",IF(COUNTIF($A$2:$A315,$A315)=1,1,0))</f>
        <v/>
      </c>
      <c r="U315">
        <f>IF($T315=1,SUMPRODUCT(--($W$2:$W$501&lt;$W315))+1,"")</f>
        <v/>
      </c>
      <c r="V315">
        <f>IF($A315="","",1)</f>
        <v/>
      </c>
      <c r="W315">
        <f>IF($T315=1,IFERROR(VALUE(MID($A315,2,20)),1000000000)+ROW()/100000,"")</f>
        <v/>
      </c>
    </row>
    <row r="316">
      <c r="F316" s="7">
        <f>IF($A316="","",E316*K316/100)</f>
        <v/>
      </c>
      <c r="J316" s="7" t="n"/>
      <c r="K316" s="7" t="n"/>
      <c r="L316" s="7" t="n"/>
      <c r="O316" s="11" t="n"/>
      <c r="P316">
        <f>IF($A316="","",IF($V316=1,Settings!$C$6,Settings!$C$7)*1)</f>
        <v/>
      </c>
      <c r="Q316" s="7">
        <f>IF($A316="","",P316*K316)</f>
        <v/>
      </c>
      <c r="R316" s="7">
        <f>IF($A316="","",K316-Q316)</f>
        <v/>
      </c>
      <c r="S316" s="7">
        <f>IF($A316="","",R316-F316)</f>
        <v/>
      </c>
      <c r="T316">
        <f>IF($A316="","",IF(COUNTIF($A$2:$A316,$A316)=1,1,0))</f>
        <v/>
      </c>
      <c r="U316">
        <f>IF($T316=1,SUMPRODUCT(--($W$2:$W$501&lt;$W316))+1,"")</f>
        <v/>
      </c>
      <c r="V316">
        <f>IF($A316="","",1)</f>
        <v/>
      </c>
      <c r="W316">
        <f>IF($T316=1,IFERROR(VALUE(MID($A316,2,20)),1000000000)+ROW()/100000,"")</f>
        <v/>
      </c>
    </row>
    <row r="317">
      <c r="F317" s="7">
        <f>IF($A317="","",E317*K317/100)</f>
        <v/>
      </c>
      <c r="J317" s="7" t="n"/>
      <c r="K317" s="7" t="n"/>
      <c r="L317" s="7" t="n"/>
      <c r="O317" s="11" t="n"/>
      <c r="P317">
        <f>IF($A317="","",IF($V317=1,Settings!$C$6,Settings!$C$7)*1)</f>
        <v/>
      </c>
      <c r="Q317" s="7">
        <f>IF($A317="","",P317*K317)</f>
        <v/>
      </c>
      <c r="R317" s="7">
        <f>IF($A317="","",K317-Q317)</f>
        <v/>
      </c>
      <c r="S317" s="7">
        <f>IF($A317="","",R317-F317)</f>
        <v/>
      </c>
      <c r="T317">
        <f>IF($A317="","",IF(COUNTIF($A$2:$A317,$A317)=1,1,0))</f>
        <v/>
      </c>
      <c r="U317">
        <f>IF($T317=1,SUMPRODUCT(--($W$2:$W$501&lt;$W317))+1,"")</f>
        <v/>
      </c>
      <c r="V317">
        <f>IF($A317="","",1)</f>
        <v/>
      </c>
      <c r="W317">
        <f>IF($T317=1,IFERROR(VALUE(MID($A317,2,20)),1000000000)+ROW()/100000,"")</f>
        <v/>
      </c>
    </row>
    <row r="318">
      <c r="F318" s="7">
        <f>IF($A318="","",E318*K318/100)</f>
        <v/>
      </c>
      <c r="J318" s="7" t="n"/>
      <c r="K318" s="7" t="n"/>
      <c r="L318" s="7" t="n"/>
      <c r="O318" s="11" t="n"/>
      <c r="P318">
        <f>IF($A318="","",IF($V318=1,Settings!$C$6,Settings!$C$7)*1)</f>
        <v/>
      </c>
      <c r="Q318" s="7">
        <f>IF($A318="","",P318*K318)</f>
        <v/>
      </c>
      <c r="R318" s="7">
        <f>IF($A318="","",K318-Q318)</f>
        <v/>
      </c>
      <c r="S318" s="7">
        <f>IF($A318="","",R318-F318)</f>
        <v/>
      </c>
      <c r="T318">
        <f>IF($A318="","",IF(COUNTIF($A$2:$A318,$A318)=1,1,0))</f>
        <v/>
      </c>
      <c r="U318">
        <f>IF($T318=1,SUMPRODUCT(--($W$2:$W$501&lt;$W318))+1,"")</f>
        <v/>
      </c>
      <c r="V318">
        <f>IF($A318="","",1)</f>
        <v/>
      </c>
      <c r="W318">
        <f>IF($T318=1,IFERROR(VALUE(MID($A318,2,20)),1000000000)+ROW()/100000,"")</f>
        <v/>
      </c>
    </row>
    <row r="319">
      <c r="F319" s="7">
        <f>IF($A319="","",E319*K319/100)</f>
        <v/>
      </c>
      <c r="J319" s="7" t="n"/>
      <c r="K319" s="7" t="n"/>
      <c r="L319" s="7" t="n"/>
      <c r="O319" s="11" t="n"/>
      <c r="P319">
        <f>IF($A319="","",IF($V319=1,Settings!$C$6,Settings!$C$7)*1)</f>
        <v/>
      </c>
      <c r="Q319" s="7">
        <f>IF($A319="","",P319*K319)</f>
        <v/>
      </c>
      <c r="R319" s="7">
        <f>IF($A319="","",K319-Q319)</f>
        <v/>
      </c>
      <c r="S319" s="7">
        <f>IF($A319="","",R319-F319)</f>
        <v/>
      </c>
      <c r="T319">
        <f>IF($A319="","",IF(COUNTIF($A$2:$A319,$A319)=1,1,0))</f>
        <v/>
      </c>
      <c r="U319">
        <f>IF($T319=1,SUMPRODUCT(--($W$2:$W$501&lt;$W319))+1,"")</f>
        <v/>
      </c>
      <c r="V319">
        <f>IF($A319="","",1)</f>
        <v/>
      </c>
      <c r="W319">
        <f>IF($T319=1,IFERROR(VALUE(MID($A319,2,20)),1000000000)+ROW()/100000,"")</f>
        <v/>
      </c>
    </row>
    <row r="320">
      <c r="F320" s="7">
        <f>IF($A320="","",E320*K320/100)</f>
        <v/>
      </c>
      <c r="J320" s="7" t="n"/>
      <c r="K320" s="7" t="n"/>
      <c r="L320" s="7" t="n"/>
      <c r="O320" s="11" t="n"/>
      <c r="P320">
        <f>IF($A320="","",IF($V320=1,Settings!$C$6,Settings!$C$7)*1)</f>
        <v/>
      </c>
      <c r="Q320" s="7">
        <f>IF($A320="","",P320*K320)</f>
        <v/>
      </c>
      <c r="R320" s="7">
        <f>IF($A320="","",K320-Q320)</f>
        <v/>
      </c>
      <c r="S320" s="7">
        <f>IF($A320="","",R320-F320)</f>
        <v/>
      </c>
      <c r="T320">
        <f>IF($A320="","",IF(COUNTIF($A$2:$A320,$A320)=1,1,0))</f>
        <v/>
      </c>
      <c r="U320">
        <f>IF($T320=1,SUMPRODUCT(--($W$2:$W$501&lt;$W320))+1,"")</f>
        <v/>
      </c>
      <c r="V320">
        <f>IF($A320="","",1)</f>
        <v/>
      </c>
      <c r="W320">
        <f>IF($T320=1,IFERROR(VALUE(MID($A320,2,20)),1000000000)+ROW()/100000,"")</f>
        <v/>
      </c>
    </row>
    <row r="321">
      <c r="F321" s="7">
        <f>IF($A321="","",E321*K321/100)</f>
        <v/>
      </c>
      <c r="J321" s="7" t="n"/>
      <c r="K321" s="7" t="n"/>
      <c r="L321" s="7" t="n"/>
      <c r="O321" s="11" t="n"/>
      <c r="P321">
        <f>IF($A321="","",IF($V321=1,Settings!$C$6,Settings!$C$7)*1)</f>
        <v/>
      </c>
      <c r="Q321" s="7">
        <f>IF($A321="","",P321*K321)</f>
        <v/>
      </c>
      <c r="R321" s="7">
        <f>IF($A321="","",K321-Q321)</f>
        <v/>
      </c>
      <c r="S321" s="7">
        <f>IF($A321="","",R321-F321)</f>
        <v/>
      </c>
      <c r="T321">
        <f>IF($A321="","",IF(COUNTIF($A$2:$A321,$A321)=1,1,0))</f>
        <v/>
      </c>
      <c r="U321">
        <f>IF($T321=1,SUMPRODUCT(--($W$2:$W$501&lt;$W321))+1,"")</f>
        <v/>
      </c>
      <c r="V321">
        <f>IF($A321="","",1)</f>
        <v/>
      </c>
      <c r="W321">
        <f>IF($T321=1,IFERROR(VALUE(MID($A321,2,20)),1000000000)+ROW()/100000,"")</f>
        <v/>
      </c>
    </row>
    <row r="322">
      <c r="F322" s="7">
        <f>IF($A322="","",E322*K322/100)</f>
        <v/>
      </c>
      <c r="J322" s="7" t="n"/>
      <c r="K322" s="7" t="n"/>
      <c r="L322" s="7" t="n"/>
      <c r="O322" s="11" t="n"/>
      <c r="P322">
        <f>IF($A322="","",IF($V322=1,Settings!$C$6,Settings!$C$7)*1)</f>
        <v/>
      </c>
      <c r="Q322" s="7">
        <f>IF($A322="","",P322*K322)</f>
        <v/>
      </c>
      <c r="R322" s="7">
        <f>IF($A322="","",K322-Q322)</f>
        <v/>
      </c>
      <c r="S322" s="7">
        <f>IF($A322="","",R322-F322)</f>
        <v/>
      </c>
      <c r="T322">
        <f>IF($A322="","",IF(COUNTIF($A$2:$A322,$A322)=1,1,0))</f>
        <v/>
      </c>
      <c r="U322">
        <f>IF($T322=1,SUMPRODUCT(--($W$2:$W$501&lt;$W322))+1,"")</f>
        <v/>
      </c>
      <c r="V322">
        <f>IF($A322="","",1)</f>
        <v/>
      </c>
      <c r="W322">
        <f>IF($T322=1,IFERROR(VALUE(MID($A322,2,20)),1000000000)+ROW()/100000,"")</f>
        <v/>
      </c>
    </row>
    <row r="323">
      <c r="F323" s="7">
        <f>IF($A323="","",E323*K323/100)</f>
        <v/>
      </c>
      <c r="J323" s="7" t="n"/>
      <c r="K323" s="7" t="n"/>
      <c r="L323" s="7" t="n"/>
      <c r="O323" s="11" t="n"/>
      <c r="P323">
        <f>IF($A323="","",IF($V323=1,Settings!$C$6,Settings!$C$7)*1)</f>
        <v/>
      </c>
      <c r="Q323" s="7">
        <f>IF($A323="","",P323*K323)</f>
        <v/>
      </c>
      <c r="R323" s="7">
        <f>IF($A323="","",K323-Q323)</f>
        <v/>
      </c>
      <c r="S323" s="7">
        <f>IF($A323="","",R323-F323)</f>
        <v/>
      </c>
      <c r="T323">
        <f>IF($A323="","",IF(COUNTIF($A$2:$A323,$A323)=1,1,0))</f>
        <v/>
      </c>
      <c r="U323">
        <f>IF($T323=1,SUMPRODUCT(--($W$2:$W$501&lt;$W323))+1,"")</f>
        <v/>
      </c>
      <c r="V323">
        <f>IF($A323="","",1)</f>
        <v/>
      </c>
      <c r="W323">
        <f>IF($T323=1,IFERROR(VALUE(MID($A323,2,20)),1000000000)+ROW()/100000,"")</f>
        <v/>
      </c>
    </row>
    <row r="324">
      <c r="F324" s="7">
        <f>IF($A324="","",E324*K324/100)</f>
        <v/>
      </c>
      <c r="J324" s="7" t="n"/>
      <c r="K324" s="7" t="n"/>
      <c r="L324" s="7" t="n"/>
      <c r="O324" s="11" t="n"/>
      <c r="P324">
        <f>IF($A324="","",IF($V324=1,Settings!$C$6,Settings!$C$7)*1)</f>
        <v/>
      </c>
      <c r="Q324" s="7">
        <f>IF($A324="","",P324*K324)</f>
        <v/>
      </c>
      <c r="R324" s="7">
        <f>IF($A324="","",K324-Q324)</f>
        <v/>
      </c>
      <c r="S324" s="7">
        <f>IF($A324="","",R324-F324)</f>
        <v/>
      </c>
      <c r="T324">
        <f>IF($A324="","",IF(COUNTIF($A$2:$A324,$A324)=1,1,0))</f>
        <v/>
      </c>
      <c r="U324">
        <f>IF($T324=1,SUMPRODUCT(--($W$2:$W$501&lt;$W324))+1,"")</f>
        <v/>
      </c>
      <c r="V324">
        <f>IF($A324="","",1)</f>
        <v/>
      </c>
      <c r="W324">
        <f>IF($T324=1,IFERROR(VALUE(MID($A324,2,20)),1000000000)+ROW()/100000,"")</f>
        <v/>
      </c>
    </row>
    <row r="325">
      <c r="F325" s="7">
        <f>IF($A325="","",E325*K325/100)</f>
        <v/>
      </c>
      <c r="J325" s="7" t="n"/>
      <c r="K325" s="7" t="n"/>
      <c r="L325" s="7" t="n"/>
      <c r="O325" s="11" t="n"/>
      <c r="P325">
        <f>IF($A325="","",IF($V325=1,Settings!$C$6,Settings!$C$7)*1)</f>
        <v/>
      </c>
      <c r="Q325" s="7">
        <f>IF($A325="","",P325*K325)</f>
        <v/>
      </c>
      <c r="R325" s="7">
        <f>IF($A325="","",K325-Q325)</f>
        <v/>
      </c>
      <c r="S325" s="7">
        <f>IF($A325="","",R325-F325)</f>
        <v/>
      </c>
      <c r="T325">
        <f>IF($A325="","",IF(COUNTIF($A$2:$A325,$A325)=1,1,0))</f>
        <v/>
      </c>
      <c r="U325">
        <f>IF($T325=1,SUMPRODUCT(--($W$2:$W$501&lt;$W325))+1,"")</f>
        <v/>
      </c>
      <c r="V325">
        <f>IF($A325="","",1)</f>
        <v/>
      </c>
      <c r="W325">
        <f>IF($T325=1,IFERROR(VALUE(MID($A325,2,20)),1000000000)+ROW()/100000,"")</f>
        <v/>
      </c>
    </row>
    <row r="326">
      <c r="F326" s="7">
        <f>IF($A326="","",E326*K326/100)</f>
        <v/>
      </c>
      <c r="J326" s="7" t="n"/>
      <c r="K326" s="7" t="n"/>
      <c r="L326" s="7" t="n"/>
      <c r="O326" s="11" t="n"/>
      <c r="P326">
        <f>IF($A326="","",IF($V326=1,Settings!$C$6,Settings!$C$7)*1)</f>
        <v/>
      </c>
      <c r="Q326" s="7">
        <f>IF($A326="","",P326*K326)</f>
        <v/>
      </c>
      <c r="R326" s="7">
        <f>IF($A326="","",K326-Q326)</f>
        <v/>
      </c>
      <c r="S326" s="7">
        <f>IF($A326="","",R326-F326)</f>
        <v/>
      </c>
      <c r="T326">
        <f>IF($A326="","",IF(COUNTIF($A$2:$A326,$A326)=1,1,0))</f>
        <v/>
      </c>
      <c r="U326">
        <f>IF($T326=1,SUMPRODUCT(--($W$2:$W$501&lt;$W326))+1,"")</f>
        <v/>
      </c>
      <c r="V326">
        <f>IF($A326="","",1)</f>
        <v/>
      </c>
      <c r="W326">
        <f>IF($T326=1,IFERROR(VALUE(MID($A326,2,20)),1000000000)+ROW()/100000,"")</f>
        <v/>
      </c>
    </row>
    <row r="327">
      <c r="F327" s="7">
        <f>IF($A327="","",E327*K327/100)</f>
        <v/>
      </c>
      <c r="J327" s="7" t="n"/>
      <c r="K327" s="7" t="n"/>
      <c r="L327" s="7" t="n"/>
      <c r="O327" s="11" t="n"/>
      <c r="P327">
        <f>IF($A327="","",IF($V327=1,Settings!$C$6,Settings!$C$7)*1)</f>
        <v/>
      </c>
      <c r="Q327" s="7">
        <f>IF($A327="","",P327*K327)</f>
        <v/>
      </c>
      <c r="R327" s="7">
        <f>IF($A327="","",K327-Q327)</f>
        <v/>
      </c>
      <c r="S327" s="7">
        <f>IF($A327="","",R327-F327)</f>
        <v/>
      </c>
      <c r="T327">
        <f>IF($A327="","",IF(COUNTIF($A$2:$A327,$A327)=1,1,0))</f>
        <v/>
      </c>
      <c r="U327">
        <f>IF($T327=1,SUMPRODUCT(--($W$2:$W$501&lt;$W327))+1,"")</f>
        <v/>
      </c>
      <c r="V327">
        <f>IF($A327="","",1)</f>
        <v/>
      </c>
      <c r="W327">
        <f>IF($T327=1,IFERROR(VALUE(MID($A327,2,20)),1000000000)+ROW()/100000,"")</f>
        <v/>
      </c>
    </row>
    <row r="328">
      <c r="F328" s="7">
        <f>IF($A328="","",E328*K328/100)</f>
        <v/>
      </c>
      <c r="J328" s="7" t="n"/>
      <c r="K328" s="7" t="n"/>
      <c r="L328" s="7" t="n"/>
      <c r="O328" s="11" t="n"/>
      <c r="P328">
        <f>IF($A328="","",IF($V328=1,Settings!$C$6,Settings!$C$7)*1)</f>
        <v/>
      </c>
      <c r="Q328" s="7">
        <f>IF($A328="","",P328*K328)</f>
        <v/>
      </c>
      <c r="R328" s="7">
        <f>IF($A328="","",K328-Q328)</f>
        <v/>
      </c>
      <c r="S328" s="7">
        <f>IF($A328="","",R328-F328)</f>
        <v/>
      </c>
      <c r="T328">
        <f>IF($A328="","",IF(COUNTIF($A$2:$A328,$A328)=1,1,0))</f>
        <v/>
      </c>
      <c r="U328">
        <f>IF($T328=1,SUMPRODUCT(--($W$2:$W$501&lt;$W328))+1,"")</f>
        <v/>
      </c>
      <c r="V328">
        <f>IF($A328="","",1)</f>
        <v/>
      </c>
      <c r="W328">
        <f>IF($T328=1,IFERROR(VALUE(MID($A328,2,20)),1000000000)+ROW()/100000,"")</f>
        <v/>
      </c>
    </row>
    <row r="329">
      <c r="F329" s="7">
        <f>IF($A329="","",E329*K329/100)</f>
        <v/>
      </c>
      <c r="J329" s="7" t="n"/>
      <c r="K329" s="7" t="n"/>
      <c r="L329" s="7" t="n"/>
      <c r="O329" s="11" t="n"/>
      <c r="P329">
        <f>IF($A329="","",IF($V329=1,Settings!$C$6,Settings!$C$7)*1)</f>
        <v/>
      </c>
      <c r="Q329" s="7">
        <f>IF($A329="","",P329*K329)</f>
        <v/>
      </c>
      <c r="R329" s="7">
        <f>IF($A329="","",K329-Q329)</f>
        <v/>
      </c>
      <c r="S329" s="7">
        <f>IF($A329="","",R329-F329)</f>
        <v/>
      </c>
      <c r="T329">
        <f>IF($A329="","",IF(COUNTIF($A$2:$A329,$A329)=1,1,0))</f>
        <v/>
      </c>
      <c r="U329">
        <f>IF($T329=1,SUMPRODUCT(--($W$2:$W$501&lt;$W329))+1,"")</f>
        <v/>
      </c>
      <c r="V329">
        <f>IF($A329="","",1)</f>
        <v/>
      </c>
      <c r="W329">
        <f>IF($T329=1,IFERROR(VALUE(MID($A329,2,20)),1000000000)+ROW()/100000,"")</f>
        <v/>
      </c>
    </row>
    <row r="330">
      <c r="F330" s="7">
        <f>IF($A330="","",E330*K330/100)</f>
        <v/>
      </c>
      <c r="J330" s="7" t="n"/>
      <c r="K330" s="7" t="n"/>
      <c r="L330" s="7" t="n"/>
      <c r="O330" s="11" t="n"/>
      <c r="P330">
        <f>IF($A330="","",IF($V330=1,Settings!$C$6,Settings!$C$7)*1)</f>
        <v/>
      </c>
      <c r="Q330" s="7">
        <f>IF($A330="","",P330*K330)</f>
        <v/>
      </c>
      <c r="R330" s="7">
        <f>IF($A330="","",K330-Q330)</f>
        <v/>
      </c>
      <c r="S330" s="7">
        <f>IF($A330="","",R330-F330)</f>
        <v/>
      </c>
      <c r="T330">
        <f>IF($A330="","",IF(COUNTIF($A$2:$A330,$A330)=1,1,0))</f>
        <v/>
      </c>
      <c r="U330">
        <f>IF($T330=1,SUMPRODUCT(--($W$2:$W$501&lt;$W330))+1,"")</f>
        <v/>
      </c>
      <c r="V330">
        <f>IF($A330="","",1)</f>
        <v/>
      </c>
      <c r="W330">
        <f>IF($T330=1,IFERROR(VALUE(MID($A330,2,20)),1000000000)+ROW()/100000,"")</f>
        <v/>
      </c>
    </row>
    <row r="331">
      <c r="F331" s="7">
        <f>IF($A331="","",E331*K331/100)</f>
        <v/>
      </c>
      <c r="J331" s="7" t="n"/>
      <c r="K331" s="7" t="n"/>
      <c r="L331" s="7" t="n"/>
      <c r="O331" s="11" t="n"/>
      <c r="P331">
        <f>IF($A331="","",IF($V331=1,Settings!$C$6,Settings!$C$7)*1)</f>
        <v/>
      </c>
      <c r="Q331" s="7">
        <f>IF($A331="","",P331*K331)</f>
        <v/>
      </c>
      <c r="R331" s="7">
        <f>IF($A331="","",K331-Q331)</f>
        <v/>
      </c>
      <c r="S331" s="7">
        <f>IF($A331="","",R331-F331)</f>
        <v/>
      </c>
      <c r="T331">
        <f>IF($A331="","",IF(COUNTIF($A$2:$A331,$A331)=1,1,0))</f>
        <v/>
      </c>
      <c r="U331">
        <f>IF($T331=1,SUMPRODUCT(--($W$2:$W$501&lt;$W331))+1,"")</f>
        <v/>
      </c>
      <c r="V331">
        <f>IF($A331="","",1)</f>
        <v/>
      </c>
      <c r="W331">
        <f>IF($T331=1,IFERROR(VALUE(MID($A331,2,20)),1000000000)+ROW()/100000,"")</f>
        <v/>
      </c>
    </row>
    <row r="332">
      <c r="F332" s="7">
        <f>IF($A332="","",E332*K332/100)</f>
        <v/>
      </c>
      <c r="J332" s="7" t="n"/>
      <c r="K332" s="7" t="n"/>
      <c r="L332" s="7" t="n"/>
      <c r="O332" s="11" t="n"/>
      <c r="P332">
        <f>IF($A332="","",IF($V332=1,Settings!$C$6,Settings!$C$7)*1)</f>
        <v/>
      </c>
      <c r="Q332" s="7">
        <f>IF($A332="","",P332*K332)</f>
        <v/>
      </c>
      <c r="R332" s="7">
        <f>IF($A332="","",K332-Q332)</f>
        <v/>
      </c>
      <c r="S332" s="7">
        <f>IF($A332="","",R332-F332)</f>
        <v/>
      </c>
      <c r="T332">
        <f>IF($A332="","",IF(COUNTIF($A$2:$A332,$A332)=1,1,0))</f>
        <v/>
      </c>
      <c r="U332">
        <f>IF($T332=1,SUMPRODUCT(--($W$2:$W$501&lt;$W332))+1,"")</f>
        <v/>
      </c>
      <c r="V332">
        <f>IF($A332="","",1)</f>
        <v/>
      </c>
      <c r="W332">
        <f>IF($T332=1,IFERROR(VALUE(MID($A332,2,20)),1000000000)+ROW()/100000,"")</f>
        <v/>
      </c>
    </row>
    <row r="333">
      <c r="F333" s="7">
        <f>IF($A333="","",E333*K333/100)</f>
        <v/>
      </c>
      <c r="J333" s="7" t="n"/>
      <c r="K333" s="7" t="n"/>
      <c r="L333" s="7" t="n"/>
      <c r="O333" s="11" t="n"/>
      <c r="P333">
        <f>IF($A333="","",IF($V333=1,Settings!$C$6,Settings!$C$7)*1)</f>
        <v/>
      </c>
      <c r="Q333" s="7">
        <f>IF($A333="","",P333*K333)</f>
        <v/>
      </c>
      <c r="R333" s="7">
        <f>IF($A333="","",K333-Q333)</f>
        <v/>
      </c>
      <c r="S333" s="7">
        <f>IF($A333="","",R333-F333)</f>
        <v/>
      </c>
      <c r="T333">
        <f>IF($A333="","",IF(COUNTIF($A$2:$A333,$A333)=1,1,0))</f>
        <v/>
      </c>
      <c r="U333">
        <f>IF($T333=1,SUMPRODUCT(--($W$2:$W$501&lt;$W333))+1,"")</f>
        <v/>
      </c>
      <c r="V333">
        <f>IF($A333="","",1)</f>
        <v/>
      </c>
      <c r="W333">
        <f>IF($T333=1,IFERROR(VALUE(MID($A333,2,20)),1000000000)+ROW()/100000,"")</f>
        <v/>
      </c>
    </row>
    <row r="334">
      <c r="F334" s="7">
        <f>IF($A334="","",E334*K334/100)</f>
        <v/>
      </c>
      <c r="J334" s="7" t="n"/>
      <c r="K334" s="7" t="n"/>
      <c r="L334" s="7" t="n"/>
      <c r="O334" s="11" t="n"/>
      <c r="P334">
        <f>IF($A334="","",IF($V334=1,Settings!$C$6,Settings!$C$7)*1)</f>
        <v/>
      </c>
      <c r="Q334" s="7">
        <f>IF($A334="","",P334*K334)</f>
        <v/>
      </c>
      <c r="R334" s="7">
        <f>IF($A334="","",K334-Q334)</f>
        <v/>
      </c>
      <c r="S334" s="7">
        <f>IF($A334="","",R334-F334)</f>
        <v/>
      </c>
      <c r="T334">
        <f>IF($A334="","",IF(COUNTIF($A$2:$A334,$A334)=1,1,0))</f>
        <v/>
      </c>
      <c r="U334">
        <f>IF($T334=1,SUMPRODUCT(--($W$2:$W$501&lt;$W334))+1,"")</f>
        <v/>
      </c>
      <c r="V334">
        <f>IF($A334="","",1)</f>
        <v/>
      </c>
      <c r="W334">
        <f>IF($T334=1,IFERROR(VALUE(MID($A334,2,20)),1000000000)+ROW()/100000,"")</f>
        <v/>
      </c>
    </row>
    <row r="335">
      <c r="F335" s="7">
        <f>IF($A335="","",E335*K335/100)</f>
        <v/>
      </c>
      <c r="J335" s="7" t="n"/>
      <c r="K335" s="7" t="n"/>
      <c r="L335" s="7" t="n"/>
      <c r="O335" s="11" t="n"/>
      <c r="P335">
        <f>IF($A335="","",IF($V335=1,Settings!$C$6,Settings!$C$7)*1)</f>
        <v/>
      </c>
      <c r="Q335" s="7">
        <f>IF($A335="","",P335*K335)</f>
        <v/>
      </c>
      <c r="R335" s="7">
        <f>IF($A335="","",K335-Q335)</f>
        <v/>
      </c>
      <c r="S335" s="7">
        <f>IF($A335="","",R335-F335)</f>
        <v/>
      </c>
      <c r="T335">
        <f>IF($A335="","",IF(COUNTIF($A$2:$A335,$A335)=1,1,0))</f>
        <v/>
      </c>
      <c r="U335">
        <f>IF($T335=1,SUMPRODUCT(--($W$2:$W$501&lt;$W335))+1,"")</f>
        <v/>
      </c>
      <c r="V335">
        <f>IF($A335="","",1)</f>
        <v/>
      </c>
      <c r="W335">
        <f>IF($T335=1,IFERROR(VALUE(MID($A335,2,20)),1000000000)+ROW()/100000,"")</f>
        <v/>
      </c>
    </row>
    <row r="336">
      <c r="F336" s="7">
        <f>IF($A336="","",E336*K336/100)</f>
        <v/>
      </c>
      <c r="J336" s="7" t="n"/>
      <c r="K336" s="7" t="n"/>
      <c r="L336" s="7" t="n"/>
      <c r="O336" s="11" t="n"/>
      <c r="P336">
        <f>IF($A336="","",IF($V336=1,Settings!$C$6,Settings!$C$7)*1)</f>
        <v/>
      </c>
      <c r="Q336" s="7">
        <f>IF($A336="","",P336*K336)</f>
        <v/>
      </c>
      <c r="R336" s="7">
        <f>IF($A336="","",K336-Q336)</f>
        <v/>
      </c>
      <c r="S336" s="7">
        <f>IF($A336="","",R336-F336)</f>
        <v/>
      </c>
      <c r="T336">
        <f>IF($A336="","",IF(COUNTIF($A$2:$A336,$A336)=1,1,0))</f>
        <v/>
      </c>
      <c r="U336">
        <f>IF($T336=1,SUMPRODUCT(--($W$2:$W$501&lt;$W336))+1,"")</f>
        <v/>
      </c>
      <c r="V336">
        <f>IF($A336="","",1)</f>
        <v/>
      </c>
      <c r="W336">
        <f>IF($T336=1,IFERROR(VALUE(MID($A336,2,20)),1000000000)+ROW()/100000,"")</f>
        <v/>
      </c>
    </row>
    <row r="337">
      <c r="F337" s="7">
        <f>IF($A337="","",E337*K337/100)</f>
        <v/>
      </c>
      <c r="J337" s="7" t="n"/>
      <c r="K337" s="7" t="n"/>
      <c r="L337" s="7" t="n"/>
      <c r="O337" s="11" t="n"/>
      <c r="P337">
        <f>IF($A337="","",IF($V337=1,Settings!$C$6,Settings!$C$7)*1)</f>
        <v/>
      </c>
      <c r="Q337" s="7">
        <f>IF($A337="","",P337*K337)</f>
        <v/>
      </c>
      <c r="R337" s="7">
        <f>IF($A337="","",K337-Q337)</f>
        <v/>
      </c>
      <c r="S337" s="7">
        <f>IF($A337="","",R337-F337)</f>
        <v/>
      </c>
      <c r="T337">
        <f>IF($A337="","",IF(COUNTIF($A$2:$A337,$A337)=1,1,0))</f>
        <v/>
      </c>
      <c r="U337">
        <f>IF($T337=1,SUMPRODUCT(--($W$2:$W$501&lt;$W337))+1,"")</f>
        <v/>
      </c>
      <c r="V337">
        <f>IF($A337="","",1)</f>
        <v/>
      </c>
      <c r="W337">
        <f>IF($T337=1,IFERROR(VALUE(MID($A337,2,20)),1000000000)+ROW()/100000,"")</f>
        <v/>
      </c>
    </row>
    <row r="338">
      <c r="F338" s="7">
        <f>IF($A338="","",E338*K338/100)</f>
        <v/>
      </c>
      <c r="J338" s="7" t="n"/>
      <c r="K338" s="7" t="n"/>
      <c r="L338" s="7" t="n"/>
      <c r="O338" s="11" t="n"/>
      <c r="P338">
        <f>IF($A338="","",IF($V338=1,Settings!$C$6,Settings!$C$7)*1)</f>
        <v/>
      </c>
      <c r="Q338" s="7">
        <f>IF($A338="","",P338*K338)</f>
        <v/>
      </c>
      <c r="R338" s="7">
        <f>IF($A338="","",K338-Q338)</f>
        <v/>
      </c>
      <c r="S338" s="7">
        <f>IF($A338="","",R338-F338)</f>
        <v/>
      </c>
      <c r="T338">
        <f>IF($A338="","",IF(COUNTIF($A$2:$A338,$A338)=1,1,0))</f>
        <v/>
      </c>
      <c r="U338">
        <f>IF($T338=1,SUMPRODUCT(--($W$2:$W$501&lt;$W338))+1,"")</f>
        <v/>
      </c>
      <c r="V338">
        <f>IF($A338="","",1)</f>
        <v/>
      </c>
      <c r="W338">
        <f>IF($T338=1,IFERROR(VALUE(MID($A338,2,20)),1000000000)+ROW()/100000,"")</f>
        <v/>
      </c>
    </row>
    <row r="339">
      <c r="F339" s="7">
        <f>IF($A339="","",E339*K339/100)</f>
        <v/>
      </c>
      <c r="J339" s="7" t="n"/>
      <c r="K339" s="7" t="n"/>
      <c r="L339" s="7" t="n"/>
      <c r="O339" s="11" t="n"/>
      <c r="P339">
        <f>IF($A339="","",IF($V339=1,Settings!$C$6,Settings!$C$7)*1)</f>
        <v/>
      </c>
      <c r="Q339" s="7">
        <f>IF($A339="","",P339*K339)</f>
        <v/>
      </c>
      <c r="R339" s="7">
        <f>IF($A339="","",K339-Q339)</f>
        <v/>
      </c>
      <c r="S339" s="7">
        <f>IF($A339="","",R339-F339)</f>
        <v/>
      </c>
      <c r="T339">
        <f>IF($A339="","",IF(COUNTIF($A$2:$A339,$A339)=1,1,0))</f>
        <v/>
      </c>
      <c r="U339">
        <f>IF($T339=1,SUMPRODUCT(--($W$2:$W$501&lt;$W339))+1,"")</f>
        <v/>
      </c>
      <c r="V339">
        <f>IF($A339="","",1)</f>
        <v/>
      </c>
      <c r="W339">
        <f>IF($T339=1,IFERROR(VALUE(MID($A339,2,20)),1000000000)+ROW()/100000,"")</f>
        <v/>
      </c>
    </row>
    <row r="340">
      <c r="F340" s="7">
        <f>IF($A340="","",E340*K340/100)</f>
        <v/>
      </c>
      <c r="J340" s="7" t="n"/>
      <c r="K340" s="7" t="n"/>
      <c r="L340" s="7" t="n"/>
      <c r="O340" s="11" t="n"/>
      <c r="P340">
        <f>IF($A340="","",IF($V340=1,Settings!$C$6,Settings!$C$7)*1)</f>
        <v/>
      </c>
      <c r="Q340" s="7">
        <f>IF($A340="","",P340*K340)</f>
        <v/>
      </c>
      <c r="R340" s="7">
        <f>IF($A340="","",K340-Q340)</f>
        <v/>
      </c>
      <c r="S340" s="7">
        <f>IF($A340="","",R340-F340)</f>
        <v/>
      </c>
      <c r="T340">
        <f>IF($A340="","",IF(COUNTIF($A$2:$A340,$A340)=1,1,0))</f>
        <v/>
      </c>
      <c r="U340">
        <f>IF($T340=1,SUMPRODUCT(--($W$2:$W$501&lt;$W340))+1,"")</f>
        <v/>
      </c>
      <c r="V340">
        <f>IF($A340="","",1)</f>
        <v/>
      </c>
      <c r="W340">
        <f>IF($T340=1,IFERROR(VALUE(MID($A340,2,20)),1000000000)+ROW()/100000,"")</f>
        <v/>
      </c>
    </row>
    <row r="341">
      <c r="F341" s="7">
        <f>IF($A341="","",E341*K341/100)</f>
        <v/>
      </c>
      <c r="J341" s="7" t="n"/>
      <c r="K341" s="7" t="n"/>
      <c r="L341" s="7" t="n"/>
      <c r="O341" s="11" t="n"/>
      <c r="P341">
        <f>IF($A341="","",IF($V341=1,Settings!$C$6,Settings!$C$7)*1)</f>
        <v/>
      </c>
      <c r="Q341" s="7">
        <f>IF($A341="","",P341*K341)</f>
        <v/>
      </c>
      <c r="R341" s="7">
        <f>IF($A341="","",K341-Q341)</f>
        <v/>
      </c>
      <c r="S341" s="7">
        <f>IF($A341="","",R341-F341)</f>
        <v/>
      </c>
      <c r="T341">
        <f>IF($A341="","",IF(COUNTIF($A$2:$A341,$A341)=1,1,0))</f>
        <v/>
      </c>
      <c r="U341">
        <f>IF($T341=1,SUMPRODUCT(--($W$2:$W$501&lt;$W341))+1,"")</f>
        <v/>
      </c>
      <c r="V341">
        <f>IF($A341="","",1)</f>
        <v/>
      </c>
      <c r="W341">
        <f>IF($T341=1,IFERROR(VALUE(MID($A341,2,20)),1000000000)+ROW()/100000,"")</f>
        <v/>
      </c>
    </row>
    <row r="342">
      <c r="F342" s="7">
        <f>IF($A342="","",E342*K342/100)</f>
        <v/>
      </c>
      <c r="J342" s="7" t="n"/>
      <c r="K342" s="7" t="n"/>
      <c r="L342" s="7" t="n"/>
      <c r="O342" s="11" t="n"/>
      <c r="P342">
        <f>IF($A342="","",IF($V342=1,Settings!$C$6,Settings!$C$7)*1)</f>
        <v/>
      </c>
      <c r="Q342" s="7">
        <f>IF($A342="","",P342*K342)</f>
        <v/>
      </c>
      <c r="R342" s="7">
        <f>IF($A342="","",K342-Q342)</f>
        <v/>
      </c>
      <c r="S342" s="7">
        <f>IF($A342="","",R342-F342)</f>
        <v/>
      </c>
      <c r="T342">
        <f>IF($A342="","",IF(COUNTIF($A$2:$A342,$A342)=1,1,0))</f>
        <v/>
      </c>
      <c r="U342">
        <f>IF($T342=1,SUMPRODUCT(--($W$2:$W$501&lt;$W342))+1,"")</f>
        <v/>
      </c>
      <c r="V342">
        <f>IF($A342="","",1)</f>
        <v/>
      </c>
      <c r="W342">
        <f>IF($T342=1,IFERROR(VALUE(MID($A342,2,20)),1000000000)+ROW()/100000,"")</f>
        <v/>
      </c>
    </row>
    <row r="343">
      <c r="F343" s="7">
        <f>IF($A343="","",E343*K343/100)</f>
        <v/>
      </c>
      <c r="J343" s="7" t="n"/>
      <c r="K343" s="7" t="n"/>
      <c r="L343" s="7" t="n"/>
      <c r="O343" s="11" t="n"/>
      <c r="P343">
        <f>IF($A343="","",IF($V343=1,Settings!$C$6,Settings!$C$7)*1)</f>
        <v/>
      </c>
      <c r="Q343" s="7">
        <f>IF($A343="","",P343*K343)</f>
        <v/>
      </c>
      <c r="R343" s="7">
        <f>IF($A343="","",K343-Q343)</f>
        <v/>
      </c>
      <c r="S343" s="7">
        <f>IF($A343="","",R343-F343)</f>
        <v/>
      </c>
      <c r="T343">
        <f>IF($A343="","",IF(COUNTIF($A$2:$A343,$A343)=1,1,0))</f>
        <v/>
      </c>
      <c r="U343">
        <f>IF($T343=1,SUMPRODUCT(--($W$2:$W$501&lt;$W343))+1,"")</f>
        <v/>
      </c>
      <c r="V343">
        <f>IF($A343="","",1)</f>
        <v/>
      </c>
      <c r="W343">
        <f>IF($T343=1,IFERROR(VALUE(MID($A343,2,20)),1000000000)+ROW()/100000,"")</f>
        <v/>
      </c>
    </row>
    <row r="344">
      <c r="F344" s="7">
        <f>IF($A344="","",E344*K344/100)</f>
        <v/>
      </c>
      <c r="J344" s="7" t="n"/>
      <c r="K344" s="7" t="n"/>
      <c r="L344" s="7" t="n"/>
      <c r="O344" s="11" t="n"/>
      <c r="P344">
        <f>IF($A344="","",IF($V344=1,Settings!$C$6,Settings!$C$7)*1)</f>
        <v/>
      </c>
      <c r="Q344" s="7">
        <f>IF($A344="","",P344*K344)</f>
        <v/>
      </c>
      <c r="R344" s="7">
        <f>IF($A344="","",K344-Q344)</f>
        <v/>
      </c>
      <c r="S344" s="7">
        <f>IF($A344="","",R344-F344)</f>
        <v/>
      </c>
      <c r="T344">
        <f>IF($A344="","",IF(COUNTIF($A$2:$A344,$A344)=1,1,0))</f>
        <v/>
      </c>
      <c r="U344">
        <f>IF($T344=1,SUMPRODUCT(--($W$2:$W$501&lt;$W344))+1,"")</f>
        <v/>
      </c>
      <c r="V344">
        <f>IF($A344="","",1)</f>
        <v/>
      </c>
      <c r="W344">
        <f>IF($T344=1,IFERROR(VALUE(MID($A344,2,20)),1000000000)+ROW()/100000,"")</f>
        <v/>
      </c>
    </row>
    <row r="345">
      <c r="F345" s="7">
        <f>IF($A345="","",E345*K345/100)</f>
        <v/>
      </c>
      <c r="J345" s="7" t="n"/>
      <c r="K345" s="7" t="n"/>
      <c r="L345" s="7" t="n"/>
      <c r="O345" s="11" t="n"/>
      <c r="P345">
        <f>IF($A345="","",IF($V345=1,Settings!$C$6,Settings!$C$7)*1)</f>
        <v/>
      </c>
      <c r="Q345" s="7">
        <f>IF($A345="","",P345*K345)</f>
        <v/>
      </c>
      <c r="R345" s="7">
        <f>IF($A345="","",K345-Q345)</f>
        <v/>
      </c>
      <c r="S345" s="7">
        <f>IF($A345="","",R345-F345)</f>
        <v/>
      </c>
      <c r="T345">
        <f>IF($A345="","",IF(COUNTIF($A$2:$A345,$A345)=1,1,0))</f>
        <v/>
      </c>
      <c r="U345">
        <f>IF($T345=1,SUMPRODUCT(--($W$2:$W$501&lt;$W345))+1,"")</f>
        <v/>
      </c>
      <c r="V345">
        <f>IF($A345="","",1)</f>
        <v/>
      </c>
      <c r="W345">
        <f>IF($T345=1,IFERROR(VALUE(MID($A345,2,20)),1000000000)+ROW()/100000,"")</f>
        <v/>
      </c>
    </row>
    <row r="346">
      <c r="F346" s="7">
        <f>IF($A346="","",E346*K346/100)</f>
        <v/>
      </c>
      <c r="J346" s="7" t="n"/>
      <c r="K346" s="7" t="n"/>
      <c r="L346" s="7" t="n"/>
      <c r="O346" s="11" t="n"/>
      <c r="P346">
        <f>IF($A346="","",IF($V346=1,Settings!$C$6,Settings!$C$7)*1)</f>
        <v/>
      </c>
      <c r="Q346" s="7">
        <f>IF($A346="","",P346*K346)</f>
        <v/>
      </c>
      <c r="R346" s="7">
        <f>IF($A346="","",K346-Q346)</f>
        <v/>
      </c>
      <c r="S346" s="7">
        <f>IF($A346="","",R346-F346)</f>
        <v/>
      </c>
      <c r="T346">
        <f>IF($A346="","",IF(COUNTIF($A$2:$A346,$A346)=1,1,0))</f>
        <v/>
      </c>
      <c r="U346">
        <f>IF($T346=1,SUMPRODUCT(--($W$2:$W$501&lt;$W346))+1,"")</f>
        <v/>
      </c>
      <c r="V346">
        <f>IF($A346="","",1)</f>
        <v/>
      </c>
      <c r="W346">
        <f>IF($T346=1,IFERROR(VALUE(MID($A346,2,20)),1000000000)+ROW()/100000,"")</f>
        <v/>
      </c>
    </row>
    <row r="347">
      <c r="F347" s="7">
        <f>IF($A347="","",E347*K347/100)</f>
        <v/>
      </c>
      <c r="J347" s="7" t="n"/>
      <c r="K347" s="7" t="n"/>
      <c r="L347" s="7" t="n"/>
      <c r="O347" s="11" t="n"/>
      <c r="P347">
        <f>IF($A347="","",IF($V347=1,Settings!$C$6,Settings!$C$7)*1)</f>
        <v/>
      </c>
      <c r="Q347" s="7">
        <f>IF($A347="","",P347*K347)</f>
        <v/>
      </c>
      <c r="R347" s="7">
        <f>IF($A347="","",K347-Q347)</f>
        <v/>
      </c>
      <c r="S347" s="7">
        <f>IF($A347="","",R347-F347)</f>
        <v/>
      </c>
      <c r="T347">
        <f>IF($A347="","",IF(COUNTIF($A$2:$A347,$A347)=1,1,0))</f>
        <v/>
      </c>
      <c r="U347">
        <f>IF($T347=1,SUMPRODUCT(--($W$2:$W$501&lt;$W347))+1,"")</f>
        <v/>
      </c>
      <c r="V347">
        <f>IF($A347="","",1)</f>
        <v/>
      </c>
      <c r="W347">
        <f>IF($T347=1,IFERROR(VALUE(MID($A347,2,20)),1000000000)+ROW()/100000,"")</f>
        <v/>
      </c>
    </row>
    <row r="348">
      <c r="F348" s="7">
        <f>IF($A348="","",E348*K348/100)</f>
        <v/>
      </c>
      <c r="J348" s="7" t="n"/>
      <c r="K348" s="7" t="n"/>
      <c r="L348" s="7" t="n"/>
      <c r="O348" s="11" t="n"/>
      <c r="P348">
        <f>IF($A348="","",IF($V348=1,Settings!$C$6,Settings!$C$7)*1)</f>
        <v/>
      </c>
      <c r="Q348" s="7">
        <f>IF($A348="","",P348*K348)</f>
        <v/>
      </c>
      <c r="R348" s="7">
        <f>IF($A348="","",K348-Q348)</f>
        <v/>
      </c>
      <c r="S348" s="7">
        <f>IF($A348="","",R348-F348)</f>
        <v/>
      </c>
      <c r="T348">
        <f>IF($A348="","",IF(COUNTIF($A$2:$A348,$A348)=1,1,0))</f>
        <v/>
      </c>
      <c r="U348">
        <f>IF($T348=1,SUMPRODUCT(--($W$2:$W$501&lt;$W348))+1,"")</f>
        <v/>
      </c>
      <c r="V348">
        <f>IF($A348="","",1)</f>
        <v/>
      </c>
      <c r="W348">
        <f>IF($T348=1,IFERROR(VALUE(MID($A348,2,20)),1000000000)+ROW()/100000,"")</f>
        <v/>
      </c>
    </row>
    <row r="349">
      <c r="F349" s="7">
        <f>IF($A349="","",E349*K349/100)</f>
        <v/>
      </c>
      <c r="J349" s="7" t="n"/>
      <c r="K349" s="7" t="n"/>
      <c r="L349" s="7" t="n"/>
      <c r="O349" s="11" t="n"/>
      <c r="P349">
        <f>IF($A349="","",IF($V349=1,Settings!$C$6,Settings!$C$7)*1)</f>
        <v/>
      </c>
      <c r="Q349" s="7">
        <f>IF($A349="","",P349*K349)</f>
        <v/>
      </c>
      <c r="R349" s="7">
        <f>IF($A349="","",K349-Q349)</f>
        <v/>
      </c>
      <c r="S349" s="7">
        <f>IF($A349="","",R349-F349)</f>
        <v/>
      </c>
      <c r="T349">
        <f>IF($A349="","",IF(COUNTIF($A$2:$A349,$A349)=1,1,0))</f>
        <v/>
      </c>
      <c r="U349">
        <f>IF($T349=1,SUMPRODUCT(--($W$2:$W$501&lt;$W349))+1,"")</f>
        <v/>
      </c>
      <c r="V349">
        <f>IF($A349="","",1)</f>
        <v/>
      </c>
      <c r="W349">
        <f>IF($T349=1,IFERROR(VALUE(MID($A349,2,20)),1000000000)+ROW()/100000,"")</f>
        <v/>
      </c>
    </row>
    <row r="350">
      <c r="F350" s="7">
        <f>IF($A350="","",E350*K350/100)</f>
        <v/>
      </c>
      <c r="J350" s="7" t="n"/>
      <c r="K350" s="7" t="n"/>
      <c r="L350" s="7" t="n"/>
      <c r="O350" s="11" t="n"/>
      <c r="P350">
        <f>IF($A350="","",IF($V350=1,Settings!$C$6,Settings!$C$7)*1)</f>
        <v/>
      </c>
      <c r="Q350" s="7">
        <f>IF($A350="","",P350*K350)</f>
        <v/>
      </c>
      <c r="R350" s="7">
        <f>IF($A350="","",K350-Q350)</f>
        <v/>
      </c>
      <c r="S350" s="7">
        <f>IF($A350="","",R350-F350)</f>
        <v/>
      </c>
      <c r="T350">
        <f>IF($A350="","",IF(COUNTIF($A$2:$A350,$A350)=1,1,0))</f>
        <v/>
      </c>
      <c r="U350">
        <f>IF($T350=1,SUMPRODUCT(--($W$2:$W$501&lt;$W350))+1,"")</f>
        <v/>
      </c>
      <c r="V350">
        <f>IF($A350="","",1)</f>
        <v/>
      </c>
      <c r="W350">
        <f>IF($T350=1,IFERROR(VALUE(MID($A350,2,20)),1000000000)+ROW()/100000,"")</f>
        <v/>
      </c>
    </row>
    <row r="351">
      <c r="F351" s="7">
        <f>IF($A351="","",E351*K351/100)</f>
        <v/>
      </c>
      <c r="J351" s="7" t="n"/>
      <c r="K351" s="7" t="n"/>
      <c r="L351" s="7" t="n"/>
      <c r="O351" s="11" t="n"/>
      <c r="P351">
        <f>IF($A351="","",IF($V351=1,Settings!$C$6,Settings!$C$7)*1)</f>
        <v/>
      </c>
      <c r="Q351" s="7">
        <f>IF($A351="","",P351*K351)</f>
        <v/>
      </c>
      <c r="R351" s="7">
        <f>IF($A351="","",K351-Q351)</f>
        <v/>
      </c>
      <c r="S351" s="7">
        <f>IF($A351="","",R351-F351)</f>
        <v/>
      </c>
      <c r="T351">
        <f>IF($A351="","",IF(COUNTIF($A$2:$A351,$A351)=1,1,0))</f>
        <v/>
      </c>
      <c r="U351">
        <f>IF($T351=1,SUMPRODUCT(--($W$2:$W$501&lt;$W351))+1,"")</f>
        <v/>
      </c>
      <c r="V351">
        <f>IF($A351="","",1)</f>
        <v/>
      </c>
      <c r="W351">
        <f>IF($T351=1,IFERROR(VALUE(MID($A351,2,20)),1000000000)+ROW()/100000,"")</f>
        <v/>
      </c>
    </row>
    <row r="352">
      <c r="F352" s="7">
        <f>IF($A352="","",E352*K352/100)</f>
        <v/>
      </c>
      <c r="J352" s="7" t="n"/>
      <c r="K352" s="7" t="n"/>
      <c r="L352" s="7" t="n"/>
      <c r="O352" s="11" t="n"/>
      <c r="P352">
        <f>IF($A352="","",IF($V352=1,Settings!$C$6,Settings!$C$7)*1)</f>
        <v/>
      </c>
      <c r="Q352" s="7">
        <f>IF($A352="","",P352*K352)</f>
        <v/>
      </c>
      <c r="R352" s="7">
        <f>IF($A352="","",K352-Q352)</f>
        <v/>
      </c>
      <c r="S352" s="7">
        <f>IF($A352="","",R352-F352)</f>
        <v/>
      </c>
      <c r="T352">
        <f>IF($A352="","",IF(COUNTIF($A$2:$A352,$A352)=1,1,0))</f>
        <v/>
      </c>
      <c r="U352">
        <f>IF($T352=1,SUMPRODUCT(--($W$2:$W$501&lt;$W352))+1,"")</f>
        <v/>
      </c>
      <c r="V352">
        <f>IF($A352="","",1)</f>
        <v/>
      </c>
      <c r="W352">
        <f>IF($T352=1,IFERROR(VALUE(MID($A352,2,20)),1000000000)+ROW()/100000,"")</f>
        <v/>
      </c>
    </row>
    <row r="353">
      <c r="F353" s="7">
        <f>IF($A353="","",E353*K353/100)</f>
        <v/>
      </c>
      <c r="J353" s="7" t="n"/>
      <c r="K353" s="7" t="n"/>
      <c r="L353" s="7" t="n"/>
      <c r="O353" s="11" t="n"/>
      <c r="P353">
        <f>IF($A353="","",IF($V353=1,Settings!$C$6,Settings!$C$7)*1)</f>
        <v/>
      </c>
      <c r="Q353" s="7">
        <f>IF($A353="","",P353*K353)</f>
        <v/>
      </c>
      <c r="R353" s="7">
        <f>IF($A353="","",K353-Q353)</f>
        <v/>
      </c>
      <c r="S353" s="7">
        <f>IF($A353="","",R353-F353)</f>
        <v/>
      </c>
      <c r="T353">
        <f>IF($A353="","",IF(COUNTIF($A$2:$A353,$A353)=1,1,0))</f>
        <v/>
      </c>
      <c r="U353">
        <f>IF($T353=1,SUMPRODUCT(--($W$2:$W$501&lt;$W353))+1,"")</f>
        <v/>
      </c>
      <c r="V353">
        <f>IF($A353="","",1)</f>
        <v/>
      </c>
      <c r="W353">
        <f>IF($T353=1,IFERROR(VALUE(MID($A353,2,20)),1000000000)+ROW()/100000,"")</f>
        <v/>
      </c>
    </row>
    <row r="354">
      <c r="F354" s="7">
        <f>IF($A354="","",E354*K354/100)</f>
        <v/>
      </c>
      <c r="J354" s="7" t="n"/>
      <c r="K354" s="7" t="n"/>
      <c r="L354" s="7" t="n"/>
      <c r="O354" s="11" t="n"/>
      <c r="P354">
        <f>IF($A354="","",IF($V354=1,Settings!$C$6,Settings!$C$7)*1)</f>
        <v/>
      </c>
      <c r="Q354" s="7">
        <f>IF($A354="","",P354*K354)</f>
        <v/>
      </c>
      <c r="R354" s="7">
        <f>IF($A354="","",K354-Q354)</f>
        <v/>
      </c>
      <c r="S354" s="7">
        <f>IF($A354="","",R354-F354)</f>
        <v/>
      </c>
      <c r="T354">
        <f>IF($A354="","",IF(COUNTIF($A$2:$A354,$A354)=1,1,0))</f>
        <v/>
      </c>
      <c r="U354">
        <f>IF($T354=1,SUMPRODUCT(--($W$2:$W$501&lt;$W354))+1,"")</f>
        <v/>
      </c>
      <c r="V354">
        <f>IF($A354="","",1)</f>
        <v/>
      </c>
      <c r="W354">
        <f>IF($T354=1,IFERROR(VALUE(MID($A354,2,20)),1000000000)+ROW()/100000,"")</f>
        <v/>
      </c>
    </row>
    <row r="355">
      <c r="F355" s="7">
        <f>IF($A355="","",E355*K355/100)</f>
        <v/>
      </c>
      <c r="J355" s="7" t="n"/>
      <c r="K355" s="7" t="n"/>
      <c r="L355" s="7" t="n"/>
      <c r="O355" s="11" t="n"/>
      <c r="P355">
        <f>IF($A355="","",IF($V355=1,Settings!$C$6,Settings!$C$7)*1)</f>
        <v/>
      </c>
      <c r="Q355" s="7">
        <f>IF($A355="","",P355*K355)</f>
        <v/>
      </c>
      <c r="R355" s="7">
        <f>IF($A355="","",K355-Q355)</f>
        <v/>
      </c>
      <c r="S355" s="7">
        <f>IF($A355="","",R355-F355)</f>
        <v/>
      </c>
      <c r="T355">
        <f>IF($A355="","",IF(COUNTIF($A$2:$A355,$A355)=1,1,0))</f>
        <v/>
      </c>
      <c r="U355">
        <f>IF($T355=1,SUMPRODUCT(--($W$2:$W$501&lt;$W355))+1,"")</f>
        <v/>
      </c>
      <c r="V355">
        <f>IF($A355="","",1)</f>
        <v/>
      </c>
      <c r="W355">
        <f>IF($T355=1,IFERROR(VALUE(MID($A355,2,20)),1000000000)+ROW()/100000,"")</f>
        <v/>
      </c>
    </row>
    <row r="356">
      <c r="F356" s="7">
        <f>IF($A356="","",E356*K356/100)</f>
        <v/>
      </c>
      <c r="J356" s="7" t="n"/>
      <c r="K356" s="7" t="n"/>
      <c r="L356" s="7" t="n"/>
      <c r="O356" s="11" t="n"/>
      <c r="P356">
        <f>IF($A356="","",IF($V356=1,Settings!$C$6,Settings!$C$7)*1)</f>
        <v/>
      </c>
      <c r="Q356" s="7">
        <f>IF($A356="","",P356*K356)</f>
        <v/>
      </c>
      <c r="R356" s="7">
        <f>IF($A356="","",K356-Q356)</f>
        <v/>
      </c>
      <c r="S356" s="7">
        <f>IF($A356="","",R356-F356)</f>
        <v/>
      </c>
      <c r="T356">
        <f>IF($A356="","",IF(COUNTIF($A$2:$A356,$A356)=1,1,0))</f>
        <v/>
      </c>
      <c r="U356">
        <f>IF($T356=1,SUMPRODUCT(--($W$2:$W$501&lt;$W356))+1,"")</f>
        <v/>
      </c>
      <c r="V356">
        <f>IF($A356="","",1)</f>
        <v/>
      </c>
      <c r="W356">
        <f>IF($T356=1,IFERROR(VALUE(MID($A356,2,20)),1000000000)+ROW()/100000,"")</f>
        <v/>
      </c>
    </row>
    <row r="357">
      <c r="F357" s="7">
        <f>IF($A357="","",E357*K357/100)</f>
        <v/>
      </c>
      <c r="J357" s="7" t="n"/>
      <c r="K357" s="7" t="n"/>
      <c r="L357" s="7" t="n"/>
      <c r="O357" s="11" t="n"/>
      <c r="P357">
        <f>IF($A357="","",IF($V357=1,Settings!$C$6,Settings!$C$7)*1)</f>
        <v/>
      </c>
      <c r="Q357" s="7">
        <f>IF($A357="","",P357*K357)</f>
        <v/>
      </c>
      <c r="R357" s="7">
        <f>IF($A357="","",K357-Q357)</f>
        <v/>
      </c>
      <c r="S357" s="7">
        <f>IF($A357="","",R357-F357)</f>
        <v/>
      </c>
      <c r="T357">
        <f>IF($A357="","",IF(COUNTIF($A$2:$A357,$A357)=1,1,0))</f>
        <v/>
      </c>
      <c r="U357">
        <f>IF($T357=1,SUMPRODUCT(--($W$2:$W$501&lt;$W357))+1,"")</f>
        <v/>
      </c>
      <c r="V357">
        <f>IF($A357="","",1)</f>
        <v/>
      </c>
      <c r="W357">
        <f>IF($T357=1,IFERROR(VALUE(MID($A357,2,20)),1000000000)+ROW()/100000,"")</f>
        <v/>
      </c>
    </row>
    <row r="358">
      <c r="F358" s="7">
        <f>IF($A358="","",E358*K358/100)</f>
        <v/>
      </c>
      <c r="J358" s="7" t="n"/>
      <c r="K358" s="7" t="n"/>
      <c r="L358" s="7" t="n"/>
      <c r="O358" s="11" t="n"/>
      <c r="P358">
        <f>IF($A358="","",IF($V358=1,Settings!$C$6,Settings!$C$7)*1)</f>
        <v/>
      </c>
      <c r="Q358" s="7">
        <f>IF($A358="","",P358*K358)</f>
        <v/>
      </c>
      <c r="R358" s="7">
        <f>IF($A358="","",K358-Q358)</f>
        <v/>
      </c>
      <c r="S358" s="7">
        <f>IF($A358="","",R358-F358)</f>
        <v/>
      </c>
      <c r="T358">
        <f>IF($A358="","",IF(COUNTIF($A$2:$A358,$A358)=1,1,0))</f>
        <v/>
      </c>
      <c r="U358">
        <f>IF($T358=1,SUMPRODUCT(--($W$2:$W$501&lt;$W358))+1,"")</f>
        <v/>
      </c>
      <c r="V358">
        <f>IF($A358="","",1)</f>
        <v/>
      </c>
      <c r="W358">
        <f>IF($T358=1,IFERROR(VALUE(MID($A358,2,20)),1000000000)+ROW()/100000,"")</f>
        <v/>
      </c>
    </row>
    <row r="359">
      <c r="F359" s="7">
        <f>IF($A359="","",E359*K359/100)</f>
        <v/>
      </c>
      <c r="J359" s="7" t="n"/>
      <c r="K359" s="7" t="n"/>
      <c r="L359" s="7" t="n"/>
      <c r="O359" s="11" t="n"/>
      <c r="P359">
        <f>IF($A359="","",IF($V359=1,Settings!$C$6,Settings!$C$7)*1)</f>
        <v/>
      </c>
      <c r="Q359" s="7">
        <f>IF($A359="","",P359*K359)</f>
        <v/>
      </c>
      <c r="R359" s="7">
        <f>IF($A359="","",K359-Q359)</f>
        <v/>
      </c>
      <c r="S359" s="7">
        <f>IF($A359="","",R359-F359)</f>
        <v/>
      </c>
      <c r="T359">
        <f>IF($A359="","",IF(COUNTIF($A$2:$A359,$A359)=1,1,0))</f>
        <v/>
      </c>
      <c r="U359">
        <f>IF($T359=1,SUMPRODUCT(--($W$2:$W$501&lt;$W359))+1,"")</f>
        <v/>
      </c>
      <c r="V359">
        <f>IF($A359="","",1)</f>
        <v/>
      </c>
      <c r="W359">
        <f>IF($T359=1,IFERROR(VALUE(MID($A359,2,20)),1000000000)+ROW()/100000,"")</f>
        <v/>
      </c>
    </row>
    <row r="360">
      <c r="F360" s="7">
        <f>IF($A360="","",E360*K360/100)</f>
        <v/>
      </c>
      <c r="J360" s="7" t="n"/>
      <c r="K360" s="7" t="n"/>
      <c r="L360" s="7" t="n"/>
      <c r="O360" s="11" t="n"/>
      <c r="P360">
        <f>IF($A360="","",IF($V360=1,Settings!$C$6,Settings!$C$7)*1)</f>
        <v/>
      </c>
      <c r="Q360" s="7">
        <f>IF($A360="","",P360*K360)</f>
        <v/>
      </c>
      <c r="R360" s="7">
        <f>IF($A360="","",K360-Q360)</f>
        <v/>
      </c>
      <c r="S360" s="7">
        <f>IF($A360="","",R360-F360)</f>
        <v/>
      </c>
      <c r="T360">
        <f>IF($A360="","",IF(COUNTIF($A$2:$A360,$A360)=1,1,0))</f>
        <v/>
      </c>
      <c r="U360">
        <f>IF($T360=1,SUMPRODUCT(--($W$2:$W$501&lt;$W360))+1,"")</f>
        <v/>
      </c>
      <c r="V360">
        <f>IF($A360="","",1)</f>
        <v/>
      </c>
      <c r="W360">
        <f>IF($T360=1,IFERROR(VALUE(MID($A360,2,20)),1000000000)+ROW()/100000,"")</f>
        <v/>
      </c>
    </row>
    <row r="361">
      <c r="F361" s="7">
        <f>IF($A361="","",E361*K361/100)</f>
        <v/>
      </c>
      <c r="J361" s="7" t="n"/>
      <c r="K361" s="7" t="n"/>
      <c r="L361" s="7" t="n"/>
      <c r="O361" s="11" t="n"/>
      <c r="P361">
        <f>IF($A361="","",IF($V361=1,Settings!$C$6,Settings!$C$7)*1)</f>
        <v/>
      </c>
      <c r="Q361" s="7">
        <f>IF($A361="","",P361*K361)</f>
        <v/>
      </c>
      <c r="R361" s="7">
        <f>IF($A361="","",K361-Q361)</f>
        <v/>
      </c>
      <c r="S361" s="7">
        <f>IF($A361="","",R361-F361)</f>
        <v/>
      </c>
      <c r="T361">
        <f>IF($A361="","",IF(COUNTIF($A$2:$A361,$A361)=1,1,0))</f>
        <v/>
      </c>
      <c r="U361">
        <f>IF($T361=1,SUMPRODUCT(--($W$2:$W$501&lt;$W361))+1,"")</f>
        <v/>
      </c>
      <c r="V361">
        <f>IF($A361="","",1)</f>
        <v/>
      </c>
      <c r="W361">
        <f>IF($T361=1,IFERROR(VALUE(MID($A361,2,20)),1000000000)+ROW()/100000,"")</f>
        <v/>
      </c>
    </row>
    <row r="362">
      <c r="F362" s="7">
        <f>IF($A362="","",E362*K362/100)</f>
        <v/>
      </c>
      <c r="J362" s="7" t="n"/>
      <c r="K362" s="7" t="n"/>
      <c r="L362" s="7" t="n"/>
      <c r="O362" s="11" t="n"/>
      <c r="P362">
        <f>IF($A362="","",IF($V362=1,Settings!$C$6,Settings!$C$7)*1)</f>
        <v/>
      </c>
      <c r="Q362" s="7">
        <f>IF($A362="","",P362*K362)</f>
        <v/>
      </c>
      <c r="R362" s="7">
        <f>IF($A362="","",K362-Q362)</f>
        <v/>
      </c>
      <c r="S362" s="7">
        <f>IF($A362="","",R362-F362)</f>
        <v/>
      </c>
      <c r="T362">
        <f>IF($A362="","",IF(COUNTIF($A$2:$A362,$A362)=1,1,0))</f>
        <v/>
      </c>
      <c r="U362">
        <f>IF($T362=1,SUMPRODUCT(--($W$2:$W$501&lt;$W362))+1,"")</f>
        <v/>
      </c>
      <c r="V362">
        <f>IF($A362="","",1)</f>
        <v/>
      </c>
      <c r="W362">
        <f>IF($T362=1,IFERROR(VALUE(MID($A362,2,20)),1000000000)+ROW()/100000,"")</f>
        <v/>
      </c>
    </row>
    <row r="363">
      <c r="F363" s="7">
        <f>IF($A363="","",E363*K363/100)</f>
        <v/>
      </c>
      <c r="J363" s="7" t="n"/>
      <c r="K363" s="7" t="n"/>
      <c r="L363" s="7" t="n"/>
      <c r="O363" s="11" t="n"/>
      <c r="P363">
        <f>IF($A363="","",IF($V363=1,Settings!$C$6,Settings!$C$7)*1)</f>
        <v/>
      </c>
      <c r="Q363" s="7">
        <f>IF($A363="","",P363*K363)</f>
        <v/>
      </c>
      <c r="R363" s="7">
        <f>IF($A363="","",K363-Q363)</f>
        <v/>
      </c>
      <c r="S363" s="7">
        <f>IF($A363="","",R363-F363)</f>
        <v/>
      </c>
      <c r="T363">
        <f>IF($A363="","",IF(COUNTIF($A$2:$A363,$A363)=1,1,0))</f>
        <v/>
      </c>
      <c r="U363">
        <f>IF($T363=1,SUMPRODUCT(--($W$2:$W$501&lt;$W363))+1,"")</f>
        <v/>
      </c>
      <c r="V363">
        <f>IF($A363="","",1)</f>
        <v/>
      </c>
      <c r="W363">
        <f>IF($T363=1,IFERROR(VALUE(MID($A363,2,20)),1000000000)+ROW()/100000,"")</f>
        <v/>
      </c>
    </row>
    <row r="364">
      <c r="F364" s="7">
        <f>IF($A364="","",E364*K364/100)</f>
        <v/>
      </c>
      <c r="J364" s="7" t="n"/>
      <c r="K364" s="7" t="n"/>
      <c r="L364" s="7" t="n"/>
      <c r="O364" s="11" t="n"/>
      <c r="P364">
        <f>IF($A364="","",IF($V364=1,Settings!$C$6,Settings!$C$7)*1)</f>
        <v/>
      </c>
      <c r="Q364" s="7">
        <f>IF($A364="","",P364*K364)</f>
        <v/>
      </c>
      <c r="R364" s="7">
        <f>IF($A364="","",K364-Q364)</f>
        <v/>
      </c>
      <c r="S364" s="7">
        <f>IF($A364="","",R364-F364)</f>
        <v/>
      </c>
      <c r="T364">
        <f>IF($A364="","",IF(COUNTIF($A$2:$A364,$A364)=1,1,0))</f>
        <v/>
      </c>
      <c r="U364">
        <f>IF($T364=1,SUMPRODUCT(--($W$2:$W$501&lt;$W364))+1,"")</f>
        <v/>
      </c>
      <c r="V364">
        <f>IF($A364="","",1)</f>
        <v/>
      </c>
      <c r="W364">
        <f>IF($T364=1,IFERROR(VALUE(MID($A364,2,20)),1000000000)+ROW()/100000,"")</f>
        <v/>
      </c>
    </row>
    <row r="365">
      <c r="F365" s="7">
        <f>IF($A365="","",E365*K365/100)</f>
        <v/>
      </c>
      <c r="J365" s="7" t="n"/>
      <c r="K365" s="7" t="n"/>
      <c r="L365" s="7" t="n"/>
      <c r="O365" s="11" t="n"/>
      <c r="P365">
        <f>IF($A365="","",IF($V365=1,Settings!$C$6,Settings!$C$7)*1)</f>
        <v/>
      </c>
      <c r="Q365" s="7">
        <f>IF($A365="","",P365*K365)</f>
        <v/>
      </c>
      <c r="R365" s="7">
        <f>IF($A365="","",K365-Q365)</f>
        <v/>
      </c>
      <c r="S365" s="7">
        <f>IF($A365="","",R365-F365)</f>
        <v/>
      </c>
      <c r="T365">
        <f>IF($A365="","",IF(COUNTIF($A$2:$A365,$A365)=1,1,0))</f>
        <v/>
      </c>
      <c r="U365">
        <f>IF($T365=1,SUMPRODUCT(--($W$2:$W$501&lt;$W365))+1,"")</f>
        <v/>
      </c>
      <c r="V365">
        <f>IF($A365="","",1)</f>
        <v/>
      </c>
      <c r="W365">
        <f>IF($T365=1,IFERROR(VALUE(MID($A365,2,20)),1000000000)+ROW()/100000,"")</f>
        <v/>
      </c>
    </row>
    <row r="366">
      <c r="F366" s="7">
        <f>IF($A366="","",E366*K366/100)</f>
        <v/>
      </c>
      <c r="J366" s="7" t="n"/>
      <c r="K366" s="7" t="n"/>
      <c r="L366" s="7" t="n"/>
      <c r="O366" s="11" t="n"/>
      <c r="P366">
        <f>IF($A366="","",IF($V366=1,Settings!$C$6,Settings!$C$7)*1)</f>
        <v/>
      </c>
      <c r="Q366" s="7">
        <f>IF($A366="","",P366*K366)</f>
        <v/>
      </c>
      <c r="R366" s="7">
        <f>IF($A366="","",K366-Q366)</f>
        <v/>
      </c>
      <c r="S366" s="7">
        <f>IF($A366="","",R366-F366)</f>
        <v/>
      </c>
      <c r="T366">
        <f>IF($A366="","",IF(COUNTIF($A$2:$A366,$A366)=1,1,0))</f>
        <v/>
      </c>
      <c r="U366">
        <f>IF($T366=1,SUMPRODUCT(--($W$2:$W$501&lt;$W366))+1,"")</f>
        <v/>
      </c>
      <c r="V366">
        <f>IF($A366="","",1)</f>
        <v/>
      </c>
      <c r="W366">
        <f>IF($T366=1,IFERROR(VALUE(MID($A366,2,20)),1000000000)+ROW()/100000,"")</f>
        <v/>
      </c>
    </row>
    <row r="367">
      <c r="F367" s="7">
        <f>IF($A367="","",E367*K367/100)</f>
        <v/>
      </c>
      <c r="J367" s="7" t="n"/>
      <c r="K367" s="7" t="n"/>
      <c r="L367" s="7" t="n"/>
      <c r="O367" s="11" t="n"/>
      <c r="P367">
        <f>IF($A367="","",IF($V367=1,Settings!$C$6,Settings!$C$7)*1)</f>
        <v/>
      </c>
      <c r="Q367" s="7">
        <f>IF($A367="","",P367*K367)</f>
        <v/>
      </c>
      <c r="R367" s="7">
        <f>IF($A367="","",K367-Q367)</f>
        <v/>
      </c>
      <c r="S367" s="7">
        <f>IF($A367="","",R367-F367)</f>
        <v/>
      </c>
      <c r="T367">
        <f>IF($A367="","",IF(COUNTIF($A$2:$A367,$A367)=1,1,0))</f>
        <v/>
      </c>
      <c r="U367">
        <f>IF($T367=1,SUMPRODUCT(--($W$2:$W$501&lt;$W367))+1,"")</f>
        <v/>
      </c>
      <c r="V367">
        <f>IF($A367="","",1)</f>
        <v/>
      </c>
      <c r="W367">
        <f>IF($T367=1,IFERROR(VALUE(MID($A367,2,20)),1000000000)+ROW()/100000,"")</f>
        <v/>
      </c>
    </row>
    <row r="368">
      <c r="F368" s="7">
        <f>IF($A368="","",E368*K368/100)</f>
        <v/>
      </c>
      <c r="J368" s="7" t="n"/>
      <c r="K368" s="7" t="n"/>
      <c r="L368" s="7" t="n"/>
      <c r="O368" s="11" t="n"/>
      <c r="P368">
        <f>IF($A368="","",IF($V368=1,Settings!$C$6,Settings!$C$7)*1)</f>
        <v/>
      </c>
      <c r="Q368" s="7">
        <f>IF($A368="","",P368*K368)</f>
        <v/>
      </c>
      <c r="R368" s="7">
        <f>IF($A368="","",K368-Q368)</f>
        <v/>
      </c>
      <c r="S368" s="7">
        <f>IF($A368="","",R368-F368)</f>
        <v/>
      </c>
      <c r="T368">
        <f>IF($A368="","",IF(COUNTIF($A$2:$A368,$A368)=1,1,0))</f>
        <v/>
      </c>
      <c r="U368">
        <f>IF($T368=1,SUMPRODUCT(--($W$2:$W$501&lt;$W368))+1,"")</f>
        <v/>
      </c>
      <c r="V368">
        <f>IF($A368="","",1)</f>
        <v/>
      </c>
      <c r="W368">
        <f>IF($T368=1,IFERROR(VALUE(MID($A368,2,20)),1000000000)+ROW()/100000,"")</f>
        <v/>
      </c>
    </row>
    <row r="369">
      <c r="F369" s="7">
        <f>IF($A369="","",E369*K369/100)</f>
        <v/>
      </c>
      <c r="J369" s="7" t="n"/>
      <c r="K369" s="7" t="n"/>
      <c r="L369" s="7" t="n"/>
      <c r="O369" s="11" t="n"/>
      <c r="P369">
        <f>IF($A369="","",IF($V369=1,Settings!$C$6,Settings!$C$7)*1)</f>
        <v/>
      </c>
      <c r="Q369" s="7">
        <f>IF($A369="","",P369*K369)</f>
        <v/>
      </c>
      <c r="R369" s="7">
        <f>IF($A369="","",K369-Q369)</f>
        <v/>
      </c>
      <c r="S369" s="7">
        <f>IF($A369="","",R369-F369)</f>
        <v/>
      </c>
      <c r="T369">
        <f>IF($A369="","",IF(COUNTIF($A$2:$A369,$A369)=1,1,0))</f>
        <v/>
      </c>
      <c r="U369">
        <f>IF($T369=1,SUMPRODUCT(--($W$2:$W$501&lt;$W369))+1,"")</f>
        <v/>
      </c>
      <c r="V369">
        <f>IF($A369="","",1)</f>
        <v/>
      </c>
      <c r="W369">
        <f>IF($T369=1,IFERROR(VALUE(MID($A369,2,20)),1000000000)+ROW()/100000,"")</f>
        <v/>
      </c>
    </row>
    <row r="370">
      <c r="F370" s="7">
        <f>IF($A370="","",E370*K370/100)</f>
        <v/>
      </c>
      <c r="J370" s="7" t="n"/>
      <c r="K370" s="7" t="n"/>
      <c r="L370" s="7" t="n"/>
      <c r="O370" s="11" t="n"/>
      <c r="P370">
        <f>IF($A370="","",IF($V370=1,Settings!$C$6,Settings!$C$7)*1)</f>
        <v/>
      </c>
      <c r="Q370" s="7">
        <f>IF($A370="","",P370*K370)</f>
        <v/>
      </c>
      <c r="R370" s="7">
        <f>IF($A370="","",K370-Q370)</f>
        <v/>
      </c>
      <c r="S370" s="7">
        <f>IF($A370="","",R370-F370)</f>
        <v/>
      </c>
      <c r="T370">
        <f>IF($A370="","",IF(COUNTIF($A$2:$A370,$A370)=1,1,0))</f>
        <v/>
      </c>
      <c r="U370">
        <f>IF($T370=1,SUMPRODUCT(--($W$2:$W$501&lt;$W370))+1,"")</f>
        <v/>
      </c>
      <c r="V370">
        <f>IF($A370="","",1)</f>
        <v/>
      </c>
      <c r="W370">
        <f>IF($T370=1,IFERROR(VALUE(MID($A370,2,20)),1000000000)+ROW()/100000,"")</f>
        <v/>
      </c>
    </row>
    <row r="371">
      <c r="F371" s="7">
        <f>IF($A371="","",E371*K371/100)</f>
        <v/>
      </c>
      <c r="J371" s="7" t="n"/>
      <c r="K371" s="7" t="n"/>
      <c r="L371" s="7" t="n"/>
      <c r="O371" s="11" t="n"/>
      <c r="P371">
        <f>IF($A371="","",IF($V371=1,Settings!$C$6,Settings!$C$7)*1)</f>
        <v/>
      </c>
      <c r="Q371" s="7">
        <f>IF($A371="","",P371*K371)</f>
        <v/>
      </c>
      <c r="R371" s="7">
        <f>IF($A371="","",K371-Q371)</f>
        <v/>
      </c>
      <c r="S371" s="7">
        <f>IF($A371="","",R371-F371)</f>
        <v/>
      </c>
      <c r="T371">
        <f>IF($A371="","",IF(COUNTIF($A$2:$A371,$A371)=1,1,0))</f>
        <v/>
      </c>
      <c r="U371">
        <f>IF($T371=1,SUMPRODUCT(--($W$2:$W$501&lt;$W371))+1,"")</f>
        <v/>
      </c>
      <c r="V371">
        <f>IF($A371="","",1)</f>
        <v/>
      </c>
      <c r="W371">
        <f>IF($T371=1,IFERROR(VALUE(MID($A371,2,20)),1000000000)+ROW()/100000,"")</f>
        <v/>
      </c>
    </row>
    <row r="372">
      <c r="F372" s="7">
        <f>IF($A372="","",E372*K372/100)</f>
        <v/>
      </c>
      <c r="J372" s="7" t="n"/>
      <c r="K372" s="7" t="n"/>
      <c r="L372" s="7" t="n"/>
      <c r="O372" s="11" t="n"/>
      <c r="P372">
        <f>IF($A372="","",IF($V372=1,Settings!$C$6,Settings!$C$7)*1)</f>
        <v/>
      </c>
      <c r="Q372" s="7">
        <f>IF($A372="","",P372*K372)</f>
        <v/>
      </c>
      <c r="R372" s="7">
        <f>IF($A372="","",K372-Q372)</f>
        <v/>
      </c>
      <c r="S372" s="7">
        <f>IF($A372="","",R372-F372)</f>
        <v/>
      </c>
      <c r="T372">
        <f>IF($A372="","",IF(COUNTIF($A$2:$A372,$A372)=1,1,0))</f>
        <v/>
      </c>
      <c r="U372">
        <f>IF($T372=1,SUMPRODUCT(--($W$2:$W$501&lt;$W372))+1,"")</f>
        <v/>
      </c>
      <c r="V372">
        <f>IF($A372="","",1)</f>
        <v/>
      </c>
      <c r="W372">
        <f>IF($T372=1,IFERROR(VALUE(MID($A372,2,20)),1000000000)+ROW()/100000,"")</f>
        <v/>
      </c>
    </row>
    <row r="373">
      <c r="F373" s="7">
        <f>IF($A373="","",E373*K373/100)</f>
        <v/>
      </c>
      <c r="J373" s="7" t="n"/>
      <c r="K373" s="7" t="n"/>
      <c r="L373" s="7" t="n"/>
      <c r="O373" s="11" t="n"/>
      <c r="P373">
        <f>IF($A373="","",IF($V373=1,Settings!$C$6,Settings!$C$7)*1)</f>
        <v/>
      </c>
      <c r="Q373" s="7">
        <f>IF($A373="","",P373*K373)</f>
        <v/>
      </c>
      <c r="R373" s="7">
        <f>IF($A373="","",K373-Q373)</f>
        <v/>
      </c>
      <c r="S373" s="7">
        <f>IF($A373="","",R373-F373)</f>
        <v/>
      </c>
      <c r="T373">
        <f>IF($A373="","",IF(COUNTIF($A$2:$A373,$A373)=1,1,0))</f>
        <v/>
      </c>
      <c r="U373">
        <f>IF($T373=1,SUMPRODUCT(--($W$2:$W$501&lt;$W373))+1,"")</f>
        <v/>
      </c>
      <c r="V373">
        <f>IF($A373="","",1)</f>
        <v/>
      </c>
      <c r="W373">
        <f>IF($T373=1,IFERROR(VALUE(MID($A373,2,20)),1000000000)+ROW()/100000,"")</f>
        <v/>
      </c>
    </row>
    <row r="374">
      <c r="F374" s="7">
        <f>IF($A374="","",E374*K374/100)</f>
        <v/>
      </c>
      <c r="J374" s="7" t="n"/>
      <c r="K374" s="7" t="n"/>
      <c r="L374" s="7" t="n"/>
      <c r="O374" s="11" t="n"/>
      <c r="P374">
        <f>IF($A374="","",IF($V374=1,Settings!$C$6,Settings!$C$7)*1)</f>
        <v/>
      </c>
      <c r="Q374" s="7">
        <f>IF($A374="","",P374*K374)</f>
        <v/>
      </c>
      <c r="R374" s="7">
        <f>IF($A374="","",K374-Q374)</f>
        <v/>
      </c>
      <c r="S374" s="7">
        <f>IF($A374="","",R374-F374)</f>
        <v/>
      </c>
      <c r="T374">
        <f>IF($A374="","",IF(COUNTIF($A$2:$A374,$A374)=1,1,0))</f>
        <v/>
      </c>
      <c r="U374">
        <f>IF($T374=1,SUMPRODUCT(--($W$2:$W$501&lt;$W374))+1,"")</f>
        <v/>
      </c>
      <c r="V374">
        <f>IF($A374="","",1)</f>
        <v/>
      </c>
      <c r="W374">
        <f>IF($T374=1,IFERROR(VALUE(MID($A374,2,20)),1000000000)+ROW()/100000,"")</f>
        <v/>
      </c>
    </row>
    <row r="375">
      <c r="F375" s="7">
        <f>IF($A375="","",E375*K375/100)</f>
        <v/>
      </c>
      <c r="J375" s="7" t="n"/>
      <c r="K375" s="7" t="n"/>
      <c r="L375" s="7" t="n"/>
      <c r="O375" s="11" t="n"/>
      <c r="P375">
        <f>IF($A375="","",IF($V375=1,Settings!$C$6,Settings!$C$7)*1)</f>
        <v/>
      </c>
      <c r="Q375" s="7">
        <f>IF($A375="","",P375*K375)</f>
        <v/>
      </c>
      <c r="R375" s="7">
        <f>IF($A375="","",K375-Q375)</f>
        <v/>
      </c>
      <c r="S375" s="7">
        <f>IF($A375="","",R375-F375)</f>
        <v/>
      </c>
      <c r="T375">
        <f>IF($A375="","",IF(COUNTIF($A$2:$A375,$A375)=1,1,0))</f>
        <v/>
      </c>
      <c r="U375">
        <f>IF($T375=1,SUMPRODUCT(--($W$2:$W$501&lt;$W375))+1,"")</f>
        <v/>
      </c>
      <c r="V375">
        <f>IF($A375="","",1)</f>
        <v/>
      </c>
      <c r="W375">
        <f>IF($T375=1,IFERROR(VALUE(MID($A375,2,20)),1000000000)+ROW()/100000,"")</f>
        <v/>
      </c>
    </row>
    <row r="376">
      <c r="F376" s="7">
        <f>IF($A376="","",E376*K376/100)</f>
        <v/>
      </c>
      <c r="J376" s="7" t="n"/>
      <c r="K376" s="7" t="n"/>
      <c r="L376" s="7" t="n"/>
      <c r="O376" s="11" t="n"/>
      <c r="P376">
        <f>IF($A376="","",IF($V376=1,Settings!$C$6,Settings!$C$7)*1)</f>
        <v/>
      </c>
      <c r="Q376" s="7">
        <f>IF($A376="","",P376*K376)</f>
        <v/>
      </c>
      <c r="R376" s="7">
        <f>IF($A376="","",K376-Q376)</f>
        <v/>
      </c>
      <c r="S376" s="7">
        <f>IF($A376="","",R376-F376)</f>
        <v/>
      </c>
      <c r="T376">
        <f>IF($A376="","",IF(COUNTIF($A$2:$A376,$A376)=1,1,0))</f>
        <v/>
      </c>
      <c r="U376">
        <f>IF($T376=1,SUMPRODUCT(--($W$2:$W$501&lt;$W376))+1,"")</f>
        <v/>
      </c>
      <c r="V376">
        <f>IF($A376="","",1)</f>
        <v/>
      </c>
      <c r="W376">
        <f>IF($T376=1,IFERROR(VALUE(MID($A376,2,20)),1000000000)+ROW()/100000,"")</f>
        <v/>
      </c>
    </row>
    <row r="377">
      <c r="F377" s="7">
        <f>IF($A377="","",E377*K377/100)</f>
        <v/>
      </c>
      <c r="J377" s="7" t="n"/>
      <c r="K377" s="7" t="n"/>
      <c r="L377" s="7" t="n"/>
      <c r="O377" s="11" t="n"/>
      <c r="P377">
        <f>IF($A377="","",IF($V377=1,Settings!$C$6,Settings!$C$7)*1)</f>
        <v/>
      </c>
      <c r="Q377" s="7">
        <f>IF($A377="","",P377*K377)</f>
        <v/>
      </c>
      <c r="R377" s="7">
        <f>IF($A377="","",K377-Q377)</f>
        <v/>
      </c>
      <c r="S377" s="7">
        <f>IF($A377="","",R377-F377)</f>
        <v/>
      </c>
      <c r="T377">
        <f>IF($A377="","",IF(COUNTIF($A$2:$A377,$A377)=1,1,0))</f>
        <v/>
      </c>
      <c r="U377">
        <f>IF($T377=1,SUMPRODUCT(--($W$2:$W$501&lt;$W377))+1,"")</f>
        <v/>
      </c>
      <c r="V377">
        <f>IF($A377="","",1)</f>
        <v/>
      </c>
      <c r="W377">
        <f>IF($T377=1,IFERROR(VALUE(MID($A377,2,20)),1000000000)+ROW()/100000,"")</f>
        <v/>
      </c>
    </row>
    <row r="378">
      <c r="F378" s="7">
        <f>IF($A378="","",E378*K378/100)</f>
        <v/>
      </c>
      <c r="J378" s="7" t="n"/>
      <c r="K378" s="7" t="n"/>
      <c r="L378" s="7" t="n"/>
      <c r="O378" s="11" t="n"/>
      <c r="P378">
        <f>IF($A378="","",IF($V378=1,Settings!$C$6,Settings!$C$7)*1)</f>
        <v/>
      </c>
      <c r="Q378" s="7">
        <f>IF($A378="","",P378*K378)</f>
        <v/>
      </c>
      <c r="R378" s="7">
        <f>IF($A378="","",K378-Q378)</f>
        <v/>
      </c>
      <c r="S378" s="7">
        <f>IF($A378="","",R378-F378)</f>
        <v/>
      </c>
      <c r="T378">
        <f>IF($A378="","",IF(COUNTIF($A$2:$A378,$A378)=1,1,0))</f>
        <v/>
      </c>
      <c r="U378">
        <f>IF($T378=1,SUMPRODUCT(--($W$2:$W$501&lt;$W378))+1,"")</f>
        <v/>
      </c>
      <c r="V378">
        <f>IF($A378="","",1)</f>
        <v/>
      </c>
      <c r="W378">
        <f>IF($T378=1,IFERROR(VALUE(MID($A378,2,20)),1000000000)+ROW()/100000,"")</f>
        <v/>
      </c>
    </row>
    <row r="379">
      <c r="F379" s="7">
        <f>IF($A379="","",E379*K379/100)</f>
        <v/>
      </c>
      <c r="J379" s="7" t="n"/>
      <c r="K379" s="7" t="n"/>
      <c r="L379" s="7" t="n"/>
      <c r="O379" s="11" t="n"/>
      <c r="P379">
        <f>IF($A379="","",IF($V379=1,Settings!$C$6,Settings!$C$7)*1)</f>
        <v/>
      </c>
      <c r="Q379" s="7">
        <f>IF($A379="","",P379*K379)</f>
        <v/>
      </c>
      <c r="R379" s="7">
        <f>IF($A379="","",K379-Q379)</f>
        <v/>
      </c>
      <c r="S379" s="7">
        <f>IF($A379="","",R379-F379)</f>
        <v/>
      </c>
      <c r="T379">
        <f>IF($A379="","",IF(COUNTIF($A$2:$A379,$A379)=1,1,0))</f>
        <v/>
      </c>
      <c r="U379">
        <f>IF($T379=1,SUMPRODUCT(--($W$2:$W$501&lt;$W379))+1,"")</f>
        <v/>
      </c>
      <c r="V379">
        <f>IF($A379="","",1)</f>
        <v/>
      </c>
      <c r="W379">
        <f>IF($T379=1,IFERROR(VALUE(MID($A379,2,20)),1000000000)+ROW()/100000,"")</f>
        <v/>
      </c>
    </row>
    <row r="380">
      <c r="F380" s="7">
        <f>IF($A380="","",E380*K380/100)</f>
        <v/>
      </c>
      <c r="J380" s="7" t="n"/>
      <c r="K380" s="7" t="n"/>
      <c r="L380" s="7" t="n"/>
      <c r="O380" s="11" t="n"/>
      <c r="P380">
        <f>IF($A380="","",IF($V380=1,Settings!$C$6,Settings!$C$7)*1)</f>
        <v/>
      </c>
      <c r="Q380" s="7">
        <f>IF($A380="","",P380*K380)</f>
        <v/>
      </c>
      <c r="R380" s="7">
        <f>IF($A380="","",K380-Q380)</f>
        <v/>
      </c>
      <c r="S380" s="7">
        <f>IF($A380="","",R380-F380)</f>
        <v/>
      </c>
      <c r="T380">
        <f>IF($A380="","",IF(COUNTIF($A$2:$A380,$A380)=1,1,0))</f>
        <v/>
      </c>
      <c r="U380">
        <f>IF($T380=1,SUMPRODUCT(--($W$2:$W$501&lt;$W380))+1,"")</f>
        <v/>
      </c>
      <c r="V380">
        <f>IF($A380="","",1)</f>
        <v/>
      </c>
      <c r="W380">
        <f>IF($T380=1,IFERROR(VALUE(MID($A380,2,20)),1000000000)+ROW()/100000,"")</f>
        <v/>
      </c>
    </row>
    <row r="381">
      <c r="F381" s="7">
        <f>IF($A381="","",E381*K381/100)</f>
        <v/>
      </c>
      <c r="J381" s="7" t="n"/>
      <c r="K381" s="7" t="n"/>
      <c r="L381" s="7" t="n"/>
      <c r="O381" s="11" t="n"/>
      <c r="P381">
        <f>IF($A381="","",IF($V381=1,Settings!$C$6,Settings!$C$7)*1)</f>
        <v/>
      </c>
      <c r="Q381" s="7">
        <f>IF($A381="","",P381*K381)</f>
        <v/>
      </c>
      <c r="R381" s="7">
        <f>IF($A381="","",K381-Q381)</f>
        <v/>
      </c>
      <c r="S381" s="7">
        <f>IF($A381="","",R381-F381)</f>
        <v/>
      </c>
      <c r="T381">
        <f>IF($A381="","",IF(COUNTIF($A$2:$A381,$A381)=1,1,0))</f>
        <v/>
      </c>
      <c r="U381">
        <f>IF($T381=1,SUMPRODUCT(--($W$2:$W$501&lt;$W381))+1,"")</f>
        <v/>
      </c>
      <c r="V381">
        <f>IF($A381="","",1)</f>
        <v/>
      </c>
      <c r="W381">
        <f>IF($T381=1,IFERROR(VALUE(MID($A381,2,20)),1000000000)+ROW()/100000,"")</f>
        <v/>
      </c>
    </row>
    <row r="382">
      <c r="F382" s="7">
        <f>IF($A382="","",E382*K382/100)</f>
        <v/>
      </c>
      <c r="J382" s="7" t="n"/>
      <c r="K382" s="7" t="n"/>
      <c r="L382" s="7" t="n"/>
      <c r="O382" s="11" t="n"/>
      <c r="P382">
        <f>IF($A382="","",IF($V382=1,Settings!$C$6,Settings!$C$7)*1)</f>
        <v/>
      </c>
      <c r="Q382" s="7">
        <f>IF($A382="","",P382*K382)</f>
        <v/>
      </c>
      <c r="R382" s="7">
        <f>IF($A382="","",K382-Q382)</f>
        <v/>
      </c>
      <c r="S382" s="7">
        <f>IF($A382="","",R382-F382)</f>
        <v/>
      </c>
      <c r="T382">
        <f>IF($A382="","",IF(COUNTIF($A$2:$A382,$A382)=1,1,0))</f>
        <v/>
      </c>
      <c r="U382">
        <f>IF($T382=1,SUMPRODUCT(--($W$2:$W$501&lt;$W382))+1,"")</f>
        <v/>
      </c>
      <c r="V382">
        <f>IF($A382="","",1)</f>
        <v/>
      </c>
      <c r="W382">
        <f>IF($T382=1,IFERROR(VALUE(MID($A382,2,20)),1000000000)+ROW()/100000,"")</f>
        <v/>
      </c>
    </row>
    <row r="383">
      <c r="F383" s="7">
        <f>IF($A383="","",E383*K383/100)</f>
        <v/>
      </c>
      <c r="J383" s="7" t="n"/>
      <c r="K383" s="7" t="n"/>
      <c r="L383" s="7" t="n"/>
      <c r="O383" s="11" t="n"/>
      <c r="P383">
        <f>IF($A383="","",IF($V383=1,Settings!$C$6,Settings!$C$7)*1)</f>
        <v/>
      </c>
      <c r="Q383" s="7">
        <f>IF($A383="","",P383*K383)</f>
        <v/>
      </c>
      <c r="R383" s="7">
        <f>IF($A383="","",K383-Q383)</f>
        <v/>
      </c>
      <c r="S383" s="7">
        <f>IF($A383="","",R383-F383)</f>
        <v/>
      </c>
      <c r="T383">
        <f>IF($A383="","",IF(COUNTIF($A$2:$A383,$A383)=1,1,0))</f>
        <v/>
      </c>
      <c r="U383">
        <f>IF($T383=1,SUMPRODUCT(--($W$2:$W$501&lt;$W383))+1,"")</f>
        <v/>
      </c>
      <c r="V383">
        <f>IF($A383="","",1)</f>
        <v/>
      </c>
      <c r="W383">
        <f>IF($T383=1,IFERROR(VALUE(MID($A383,2,20)),1000000000)+ROW()/100000,"")</f>
        <v/>
      </c>
    </row>
    <row r="384">
      <c r="F384" s="7">
        <f>IF($A384="","",E384*K384/100)</f>
        <v/>
      </c>
      <c r="J384" s="7" t="n"/>
      <c r="K384" s="7" t="n"/>
      <c r="L384" s="7" t="n"/>
      <c r="O384" s="11" t="n"/>
      <c r="P384">
        <f>IF($A384="","",IF($V384=1,Settings!$C$6,Settings!$C$7)*1)</f>
        <v/>
      </c>
      <c r="Q384" s="7">
        <f>IF($A384="","",P384*K384)</f>
        <v/>
      </c>
      <c r="R384" s="7">
        <f>IF($A384="","",K384-Q384)</f>
        <v/>
      </c>
      <c r="S384" s="7">
        <f>IF($A384="","",R384-F384)</f>
        <v/>
      </c>
      <c r="T384">
        <f>IF($A384="","",IF(COUNTIF($A$2:$A384,$A384)=1,1,0))</f>
        <v/>
      </c>
      <c r="U384">
        <f>IF($T384=1,SUMPRODUCT(--($W$2:$W$501&lt;$W384))+1,"")</f>
        <v/>
      </c>
      <c r="V384">
        <f>IF($A384="","",1)</f>
        <v/>
      </c>
      <c r="W384">
        <f>IF($T384=1,IFERROR(VALUE(MID($A384,2,20)),1000000000)+ROW()/100000,"")</f>
        <v/>
      </c>
    </row>
    <row r="385">
      <c r="F385" s="7">
        <f>IF($A385="","",E385*K385/100)</f>
        <v/>
      </c>
      <c r="J385" s="7" t="n"/>
      <c r="K385" s="7" t="n"/>
      <c r="L385" s="7" t="n"/>
      <c r="O385" s="11" t="n"/>
      <c r="P385">
        <f>IF($A385="","",IF($V385=1,Settings!$C$6,Settings!$C$7)*1)</f>
        <v/>
      </c>
      <c r="Q385" s="7">
        <f>IF($A385="","",P385*K385)</f>
        <v/>
      </c>
      <c r="R385" s="7">
        <f>IF($A385="","",K385-Q385)</f>
        <v/>
      </c>
      <c r="S385" s="7">
        <f>IF($A385="","",R385-F385)</f>
        <v/>
      </c>
      <c r="T385">
        <f>IF($A385="","",IF(COUNTIF($A$2:$A385,$A385)=1,1,0))</f>
        <v/>
      </c>
      <c r="U385">
        <f>IF($T385=1,SUMPRODUCT(--($W$2:$W$501&lt;$W385))+1,"")</f>
        <v/>
      </c>
      <c r="V385">
        <f>IF($A385="","",1)</f>
        <v/>
      </c>
      <c r="W385">
        <f>IF($T385=1,IFERROR(VALUE(MID($A385,2,20)),1000000000)+ROW()/100000,"")</f>
        <v/>
      </c>
    </row>
    <row r="386">
      <c r="F386" s="7">
        <f>IF($A386="","",E386*K386/100)</f>
        <v/>
      </c>
      <c r="J386" s="7" t="n"/>
      <c r="K386" s="7" t="n"/>
      <c r="L386" s="7" t="n"/>
      <c r="O386" s="11" t="n"/>
      <c r="P386">
        <f>IF($A386="","",IF($V386=1,Settings!$C$6,Settings!$C$7)*1)</f>
        <v/>
      </c>
      <c r="Q386" s="7">
        <f>IF($A386="","",P386*K386)</f>
        <v/>
      </c>
      <c r="R386" s="7">
        <f>IF($A386="","",K386-Q386)</f>
        <v/>
      </c>
      <c r="S386" s="7">
        <f>IF($A386="","",R386-F386)</f>
        <v/>
      </c>
      <c r="T386">
        <f>IF($A386="","",IF(COUNTIF($A$2:$A386,$A386)=1,1,0))</f>
        <v/>
      </c>
      <c r="U386">
        <f>IF($T386=1,SUMPRODUCT(--($W$2:$W$501&lt;$W386))+1,"")</f>
        <v/>
      </c>
      <c r="V386">
        <f>IF($A386="","",1)</f>
        <v/>
      </c>
      <c r="W386">
        <f>IF($T386=1,IFERROR(VALUE(MID($A386,2,20)),1000000000)+ROW()/100000,"")</f>
        <v/>
      </c>
    </row>
    <row r="387">
      <c r="F387" s="7">
        <f>IF($A387="","",E387*K387/100)</f>
        <v/>
      </c>
      <c r="J387" s="7" t="n"/>
      <c r="K387" s="7" t="n"/>
      <c r="L387" s="7" t="n"/>
      <c r="O387" s="11" t="n"/>
      <c r="P387">
        <f>IF($A387="","",IF($V387=1,Settings!$C$6,Settings!$C$7)*1)</f>
        <v/>
      </c>
      <c r="Q387" s="7">
        <f>IF($A387="","",P387*K387)</f>
        <v/>
      </c>
      <c r="R387" s="7">
        <f>IF($A387="","",K387-Q387)</f>
        <v/>
      </c>
      <c r="S387" s="7">
        <f>IF($A387="","",R387-F387)</f>
        <v/>
      </c>
      <c r="T387">
        <f>IF($A387="","",IF(COUNTIF($A$2:$A387,$A387)=1,1,0))</f>
        <v/>
      </c>
      <c r="U387">
        <f>IF($T387=1,SUMPRODUCT(--($W$2:$W$501&lt;$W387))+1,"")</f>
        <v/>
      </c>
      <c r="V387">
        <f>IF($A387="","",1)</f>
        <v/>
      </c>
      <c r="W387">
        <f>IF($T387=1,IFERROR(VALUE(MID($A387,2,20)),1000000000)+ROW()/100000,"")</f>
        <v/>
      </c>
    </row>
    <row r="388">
      <c r="F388" s="7">
        <f>IF($A388="","",E388*K388/100)</f>
        <v/>
      </c>
      <c r="J388" s="7" t="n"/>
      <c r="K388" s="7" t="n"/>
      <c r="L388" s="7" t="n"/>
      <c r="O388" s="11" t="n"/>
      <c r="P388">
        <f>IF($A388="","",IF($V388=1,Settings!$C$6,Settings!$C$7)*1)</f>
        <v/>
      </c>
      <c r="Q388" s="7">
        <f>IF($A388="","",P388*K388)</f>
        <v/>
      </c>
      <c r="R388" s="7">
        <f>IF($A388="","",K388-Q388)</f>
        <v/>
      </c>
      <c r="S388" s="7">
        <f>IF($A388="","",R388-F388)</f>
        <v/>
      </c>
      <c r="T388">
        <f>IF($A388="","",IF(COUNTIF($A$2:$A388,$A388)=1,1,0))</f>
        <v/>
      </c>
      <c r="U388">
        <f>IF($T388=1,SUMPRODUCT(--($W$2:$W$501&lt;$W388))+1,"")</f>
        <v/>
      </c>
      <c r="V388">
        <f>IF($A388="","",1)</f>
        <v/>
      </c>
      <c r="W388">
        <f>IF($T388=1,IFERROR(VALUE(MID($A388,2,20)),1000000000)+ROW()/100000,"")</f>
        <v/>
      </c>
    </row>
    <row r="389">
      <c r="F389" s="7">
        <f>IF($A389="","",E389*K389/100)</f>
        <v/>
      </c>
      <c r="J389" s="7" t="n"/>
      <c r="K389" s="7" t="n"/>
      <c r="L389" s="7" t="n"/>
      <c r="O389" s="11" t="n"/>
      <c r="P389">
        <f>IF($A389="","",IF($V389=1,Settings!$C$6,Settings!$C$7)*1)</f>
        <v/>
      </c>
      <c r="Q389" s="7">
        <f>IF($A389="","",P389*K389)</f>
        <v/>
      </c>
      <c r="R389" s="7">
        <f>IF($A389="","",K389-Q389)</f>
        <v/>
      </c>
      <c r="S389" s="7">
        <f>IF($A389="","",R389-F389)</f>
        <v/>
      </c>
      <c r="T389">
        <f>IF($A389="","",IF(COUNTIF($A$2:$A389,$A389)=1,1,0))</f>
        <v/>
      </c>
      <c r="U389">
        <f>IF($T389=1,SUMPRODUCT(--($W$2:$W$501&lt;$W389))+1,"")</f>
        <v/>
      </c>
      <c r="V389">
        <f>IF($A389="","",1)</f>
        <v/>
      </c>
      <c r="W389">
        <f>IF($T389=1,IFERROR(VALUE(MID($A389,2,20)),1000000000)+ROW()/100000,"")</f>
        <v/>
      </c>
    </row>
    <row r="390">
      <c r="F390" s="7">
        <f>IF($A390="","",E390*K390/100)</f>
        <v/>
      </c>
      <c r="J390" s="7" t="n"/>
      <c r="K390" s="7" t="n"/>
      <c r="L390" s="7" t="n"/>
      <c r="O390" s="11" t="n"/>
      <c r="P390">
        <f>IF($A390="","",IF($V390=1,Settings!$C$6,Settings!$C$7)*1)</f>
        <v/>
      </c>
      <c r="Q390" s="7">
        <f>IF($A390="","",P390*K390)</f>
        <v/>
      </c>
      <c r="R390" s="7">
        <f>IF($A390="","",K390-Q390)</f>
        <v/>
      </c>
      <c r="S390" s="7">
        <f>IF($A390="","",R390-F390)</f>
        <v/>
      </c>
      <c r="T390">
        <f>IF($A390="","",IF(COUNTIF($A$2:$A390,$A390)=1,1,0))</f>
        <v/>
      </c>
      <c r="U390">
        <f>IF($T390=1,SUMPRODUCT(--($W$2:$W$501&lt;$W390))+1,"")</f>
        <v/>
      </c>
      <c r="V390">
        <f>IF($A390="","",1)</f>
        <v/>
      </c>
      <c r="W390">
        <f>IF($T390=1,IFERROR(VALUE(MID($A390,2,20)),1000000000)+ROW()/100000,"")</f>
        <v/>
      </c>
    </row>
    <row r="391">
      <c r="F391" s="7">
        <f>IF($A391="","",E391*K391/100)</f>
        <v/>
      </c>
      <c r="J391" s="7" t="n"/>
      <c r="K391" s="7" t="n"/>
      <c r="L391" s="7" t="n"/>
      <c r="O391" s="11" t="n"/>
      <c r="P391">
        <f>IF($A391="","",IF($V391=1,Settings!$C$6,Settings!$C$7)*1)</f>
        <v/>
      </c>
      <c r="Q391" s="7">
        <f>IF($A391="","",P391*K391)</f>
        <v/>
      </c>
      <c r="R391" s="7">
        <f>IF($A391="","",K391-Q391)</f>
        <v/>
      </c>
      <c r="S391" s="7">
        <f>IF($A391="","",R391-F391)</f>
        <v/>
      </c>
      <c r="T391">
        <f>IF($A391="","",IF(COUNTIF($A$2:$A391,$A391)=1,1,0))</f>
        <v/>
      </c>
      <c r="U391">
        <f>IF($T391=1,SUMPRODUCT(--($W$2:$W$501&lt;$W391))+1,"")</f>
        <v/>
      </c>
      <c r="V391">
        <f>IF($A391="","",1)</f>
        <v/>
      </c>
      <c r="W391">
        <f>IF($T391=1,IFERROR(VALUE(MID($A391,2,20)),1000000000)+ROW()/100000,"")</f>
        <v/>
      </c>
    </row>
    <row r="392">
      <c r="F392" s="7">
        <f>IF($A392="","",E392*K392/100)</f>
        <v/>
      </c>
      <c r="J392" s="7" t="n"/>
      <c r="K392" s="7" t="n"/>
      <c r="L392" s="7" t="n"/>
      <c r="O392" s="11" t="n"/>
      <c r="P392">
        <f>IF($A392="","",IF($V392=1,Settings!$C$6,Settings!$C$7)*1)</f>
        <v/>
      </c>
      <c r="Q392" s="7">
        <f>IF($A392="","",P392*K392)</f>
        <v/>
      </c>
      <c r="R392" s="7">
        <f>IF($A392="","",K392-Q392)</f>
        <v/>
      </c>
      <c r="S392" s="7">
        <f>IF($A392="","",R392-F392)</f>
        <v/>
      </c>
      <c r="T392">
        <f>IF($A392="","",IF(COUNTIF($A$2:$A392,$A392)=1,1,0))</f>
        <v/>
      </c>
      <c r="U392">
        <f>IF($T392=1,SUMPRODUCT(--($W$2:$W$501&lt;$W392))+1,"")</f>
        <v/>
      </c>
      <c r="V392">
        <f>IF($A392="","",1)</f>
        <v/>
      </c>
      <c r="W392">
        <f>IF($T392=1,IFERROR(VALUE(MID($A392,2,20)),1000000000)+ROW()/100000,"")</f>
        <v/>
      </c>
    </row>
    <row r="393">
      <c r="F393" s="7">
        <f>IF($A393="","",E393*K393/100)</f>
        <v/>
      </c>
      <c r="J393" s="7" t="n"/>
      <c r="K393" s="7" t="n"/>
      <c r="L393" s="7" t="n"/>
      <c r="O393" s="11" t="n"/>
      <c r="P393">
        <f>IF($A393="","",IF($V393=1,Settings!$C$6,Settings!$C$7)*1)</f>
        <v/>
      </c>
      <c r="Q393" s="7">
        <f>IF($A393="","",P393*K393)</f>
        <v/>
      </c>
      <c r="R393" s="7">
        <f>IF($A393="","",K393-Q393)</f>
        <v/>
      </c>
      <c r="S393" s="7">
        <f>IF($A393="","",R393-F393)</f>
        <v/>
      </c>
      <c r="T393">
        <f>IF($A393="","",IF(COUNTIF($A$2:$A393,$A393)=1,1,0))</f>
        <v/>
      </c>
      <c r="U393">
        <f>IF($T393=1,SUMPRODUCT(--($W$2:$W$501&lt;$W393))+1,"")</f>
        <v/>
      </c>
      <c r="V393">
        <f>IF($A393="","",1)</f>
        <v/>
      </c>
      <c r="W393">
        <f>IF($T393=1,IFERROR(VALUE(MID($A393,2,20)),1000000000)+ROW()/100000,"")</f>
        <v/>
      </c>
    </row>
    <row r="394">
      <c r="F394" s="7">
        <f>IF($A394="","",E394*K394/100)</f>
        <v/>
      </c>
      <c r="J394" s="7" t="n"/>
      <c r="K394" s="7" t="n"/>
      <c r="L394" s="7" t="n"/>
      <c r="O394" s="11" t="n"/>
      <c r="P394">
        <f>IF($A394="","",IF($V394=1,Settings!$C$6,Settings!$C$7)*1)</f>
        <v/>
      </c>
      <c r="Q394" s="7">
        <f>IF($A394="","",P394*K394)</f>
        <v/>
      </c>
      <c r="R394" s="7">
        <f>IF($A394="","",K394-Q394)</f>
        <v/>
      </c>
      <c r="S394" s="7">
        <f>IF($A394="","",R394-F394)</f>
        <v/>
      </c>
      <c r="T394">
        <f>IF($A394="","",IF(COUNTIF($A$2:$A394,$A394)=1,1,0))</f>
        <v/>
      </c>
      <c r="U394">
        <f>IF($T394=1,SUMPRODUCT(--($W$2:$W$501&lt;$W394))+1,"")</f>
        <v/>
      </c>
      <c r="V394">
        <f>IF($A394="","",1)</f>
        <v/>
      </c>
      <c r="W394">
        <f>IF($T394=1,IFERROR(VALUE(MID($A394,2,20)),1000000000)+ROW()/100000,"")</f>
        <v/>
      </c>
    </row>
    <row r="395">
      <c r="F395" s="7">
        <f>IF($A395="","",E395*K395/100)</f>
        <v/>
      </c>
      <c r="J395" s="7" t="n"/>
      <c r="K395" s="7" t="n"/>
      <c r="L395" s="7" t="n"/>
      <c r="O395" s="11" t="n"/>
      <c r="P395">
        <f>IF($A395="","",IF($V395=1,Settings!$C$6,Settings!$C$7)*1)</f>
        <v/>
      </c>
      <c r="Q395" s="7">
        <f>IF($A395="","",P395*K395)</f>
        <v/>
      </c>
      <c r="R395" s="7">
        <f>IF($A395="","",K395-Q395)</f>
        <v/>
      </c>
      <c r="S395" s="7">
        <f>IF($A395="","",R395-F395)</f>
        <v/>
      </c>
      <c r="T395">
        <f>IF($A395="","",IF(COUNTIF($A$2:$A395,$A395)=1,1,0))</f>
        <v/>
      </c>
      <c r="U395">
        <f>IF($T395=1,SUMPRODUCT(--($W$2:$W$501&lt;$W395))+1,"")</f>
        <v/>
      </c>
      <c r="V395">
        <f>IF($A395="","",1)</f>
        <v/>
      </c>
      <c r="W395">
        <f>IF($T395=1,IFERROR(VALUE(MID($A395,2,20)),1000000000)+ROW()/100000,"")</f>
        <v/>
      </c>
    </row>
    <row r="396">
      <c r="F396" s="7">
        <f>IF($A396="","",E396*K396/100)</f>
        <v/>
      </c>
      <c r="J396" s="7" t="n"/>
      <c r="K396" s="7" t="n"/>
      <c r="L396" s="7" t="n"/>
      <c r="O396" s="11" t="n"/>
      <c r="P396">
        <f>IF($A396="","",IF($V396=1,Settings!$C$6,Settings!$C$7)*1)</f>
        <v/>
      </c>
      <c r="Q396" s="7">
        <f>IF($A396="","",P396*K396)</f>
        <v/>
      </c>
      <c r="R396" s="7">
        <f>IF($A396="","",K396-Q396)</f>
        <v/>
      </c>
      <c r="S396" s="7">
        <f>IF($A396="","",R396-F396)</f>
        <v/>
      </c>
      <c r="T396">
        <f>IF($A396="","",IF(COUNTIF($A$2:$A396,$A396)=1,1,0))</f>
        <v/>
      </c>
      <c r="U396">
        <f>IF($T396=1,SUMPRODUCT(--($W$2:$W$501&lt;$W396))+1,"")</f>
        <v/>
      </c>
      <c r="V396">
        <f>IF($A396="","",1)</f>
        <v/>
      </c>
      <c r="W396">
        <f>IF($T396=1,IFERROR(VALUE(MID($A396,2,20)),1000000000)+ROW()/100000,"")</f>
        <v/>
      </c>
    </row>
    <row r="397">
      <c r="F397" s="7">
        <f>IF($A397="","",E397*K397/100)</f>
        <v/>
      </c>
      <c r="J397" s="7" t="n"/>
      <c r="K397" s="7" t="n"/>
      <c r="L397" s="7" t="n"/>
      <c r="O397" s="11" t="n"/>
      <c r="P397">
        <f>IF($A397="","",IF($V397=1,Settings!$C$6,Settings!$C$7)*1)</f>
        <v/>
      </c>
      <c r="Q397" s="7">
        <f>IF($A397="","",P397*K397)</f>
        <v/>
      </c>
      <c r="R397" s="7">
        <f>IF($A397="","",K397-Q397)</f>
        <v/>
      </c>
      <c r="S397" s="7">
        <f>IF($A397="","",R397-F397)</f>
        <v/>
      </c>
      <c r="T397">
        <f>IF($A397="","",IF(COUNTIF($A$2:$A397,$A397)=1,1,0))</f>
        <v/>
      </c>
      <c r="U397">
        <f>IF($T397=1,SUMPRODUCT(--($W$2:$W$501&lt;$W397))+1,"")</f>
        <v/>
      </c>
      <c r="V397">
        <f>IF($A397="","",1)</f>
        <v/>
      </c>
      <c r="W397">
        <f>IF($T397=1,IFERROR(VALUE(MID($A397,2,20)),1000000000)+ROW()/100000,"")</f>
        <v/>
      </c>
    </row>
    <row r="398">
      <c r="F398" s="7">
        <f>IF($A398="","",E398*K398/100)</f>
        <v/>
      </c>
      <c r="J398" s="7" t="n"/>
      <c r="K398" s="7" t="n"/>
      <c r="L398" s="7" t="n"/>
      <c r="O398" s="11" t="n"/>
      <c r="P398">
        <f>IF($A398="","",IF($V398=1,Settings!$C$6,Settings!$C$7)*1)</f>
        <v/>
      </c>
      <c r="Q398" s="7">
        <f>IF($A398="","",P398*K398)</f>
        <v/>
      </c>
      <c r="R398" s="7">
        <f>IF($A398="","",K398-Q398)</f>
        <v/>
      </c>
      <c r="S398" s="7">
        <f>IF($A398="","",R398-F398)</f>
        <v/>
      </c>
      <c r="T398">
        <f>IF($A398="","",IF(COUNTIF($A$2:$A398,$A398)=1,1,0))</f>
        <v/>
      </c>
      <c r="U398">
        <f>IF($T398=1,SUMPRODUCT(--($W$2:$W$501&lt;$W398))+1,"")</f>
        <v/>
      </c>
      <c r="V398">
        <f>IF($A398="","",1)</f>
        <v/>
      </c>
      <c r="W398">
        <f>IF($T398=1,IFERROR(VALUE(MID($A398,2,20)),1000000000)+ROW()/100000,"")</f>
        <v/>
      </c>
    </row>
    <row r="399">
      <c r="F399" s="7">
        <f>IF($A399="","",E399*K399/100)</f>
        <v/>
      </c>
      <c r="J399" s="7" t="n"/>
      <c r="K399" s="7" t="n"/>
      <c r="L399" s="7" t="n"/>
      <c r="O399" s="11" t="n"/>
      <c r="P399">
        <f>IF($A399="","",IF($V399=1,Settings!$C$6,Settings!$C$7)*1)</f>
        <v/>
      </c>
      <c r="Q399" s="7">
        <f>IF($A399="","",P399*K399)</f>
        <v/>
      </c>
      <c r="R399" s="7">
        <f>IF($A399="","",K399-Q399)</f>
        <v/>
      </c>
      <c r="S399" s="7">
        <f>IF($A399="","",R399-F399)</f>
        <v/>
      </c>
      <c r="T399">
        <f>IF($A399="","",IF(COUNTIF($A$2:$A399,$A399)=1,1,0))</f>
        <v/>
      </c>
      <c r="U399">
        <f>IF($T399=1,SUMPRODUCT(--($W$2:$W$501&lt;$W399))+1,"")</f>
        <v/>
      </c>
      <c r="V399">
        <f>IF($A399="","",1)</f>
        <v/>
      </c>
      <c r="W399">
        <f>IF($T399=1,IFERROR(VALUE(MID($A399,2,20)),1000000000)+ROW()/100000,"")</f>
        <v/>
      </c>
    </row>
    <row r="400">
      <c r="F400" s="7">
        <f>IF($A400="","",E400*K400/100)</f>
        <v/>
      </c>
      <c r="J400" s="7" t="n"/>
      <c r="K400" s="7" t="n"/>
      <c r="L400" s="7" t="n"/>
      <c r="O400" s="11" t="n"/>
      <c r="P400">
        <f>IF($A400="","",IF($V400=1,Settings!$C$6,Settings!$C$7)*1)</f>
        <v/>
      </c>
      <c r="Q400" s="7">
        <f>IF($A400="","",P400*K400)</f>
        <v/>
      </c>
      <c r="R400" s="7">
        <f>IF($A400="","",K400-Q400)</f>
        <v/>
      </c>
      <c r="S400" s="7">
        <f>IF($A400="","",R400-F400)</f>
        <v/>
      </c>
      <c r="T400">
        <f>IF($A400="","",IF(COUNTIF($A$2:$A400,$A400)=1,1,0))</f>
        <v/>
      </c>
      <c r="U400">
        <f>IF($T400=1,SUMPRODUCT(--($W$2:$W$501&lt;$W400))+1,"")</f>
        <v/>
      </c>
      <c r="V400">
        <f>IF($A400="","",1)</f>
        <v/>
      </c>
      <c r="W400">
        <f>IF($T400=1,IFERROR(VALUE(MID($A400,2,20)),1000000000)+ROW()/100000,"")</f>
        <v/>
      </c>
    </row>
    <row r="401">
      <c r="F401" s="7">
        <f>IF($A401="","",E401*K401/100)</f>
        <v/>
      </c>
      <c r="J401" s="7" t="n"/>
      <c r="K401" s="7" t="n"/>
      <c r="L401" s="7" t="n"/>
      <c r="O401" s="11" t="n"/>
      <c r="P401">
        <f>IF($A401="","",IF($V401=1,Settings!$C$6,Settings!$C$7)*1)</f>
        <v/>
      </c>
      <c r="Q401" s="7">
        <f>IF($A401="","",P401*K401)</f>
        <v/>
      </c>
      <c r="R401" s="7">
        <f>IF($A401="","",K401-Q401)</f>
        <v/>
      </c>
      <c r="S401" s="7">
        <f>IF($A401="","",R401-F401)</f>
        <v/>
      </c>
      <c r="T401">
        <f>IF($A401="","",IF(COUNTIF($A$2:$A401,$A401)=1,1,0))</f>
        <v/>
      </c>
      <c r="U401">
        <f>IF($T401=1,SUMPRODUCT(--($W$2:$W$501&lt;$W401))+1,"")</f>
        <v/>
      </c>
      <c r="V401">
        <f>IF($A401="","",1)</f>
        <v/>
      </c>
      <c r="W401">
        <f>IF($T401=1,IFERROR(VALUE(MID($A401,2,20)),1000000000)+ROW()/100000,"")</f>
        <v/>
      </c>
    </row>
    <row r="402">
      <c r="F402" s="7">
        <f>IF($A402="","",E402*K402/100)</f>
        <v/>
      </c>
      <c r="J402" s="7" t="n"/>
      <c r="K402" s="7" t="n"/>
      <c r="L402" s="7" t="n"/>
      <c r="O402" s="11" t="n"/>
      <c r="P402">
        <f>IF($A402="","",IF($V402=1,Settings!$C$6,Settings!$C$7)*1)</f>
        <v/>
      </c>
      <c r="Q402" s="7">
        <f>IF($A402="","",P402*K402)</f>
        <v/>
      </c>
      <c r="R402" s="7">
        <f>IF($A402="","",K402-Q402)</f>
        <v/>
      </c>
      <c r="S402" s="7">
        <f>IF($A402="","",R402-F402)</f>
        <v/>
      </c>
      <c r="T402">
        <f>IF($A402="","",IF(COUNTIF($A$2:$A402,$A402)=1,1,0))</f>
        <v/>
      </c>
      <c r="U402">
        <f>IF($T402=1,SUMPRODUCT(--($W$2:$W$501&lt;$W402))+1,"")</f>
        <v/>
      </c>
      <c r="V402">
        <f>IF($A402="","",1)</f>
        <v/>
      </c>
      <c r="W402">
        <f>IF($T402=1,IFERROR(VALUE(MID($A402,2,20)),1000000000)+ROW()/100000,"")</f>
        <v/>
      </c>
    </row>
    <row r="403">
      <c r="F403" s="7">
        <f>IF($A403="","",E403*K403/100)</f>
        <v/>
      </c>
      <c r="J403" s="7" t="n"/>
      <c r="K403" s="7" t="n"/>
      <c r="L403" s="7" t="n"/>
      <c r="O403" s="11" t="n"/>
      <c r="P403">
        <f>IF($A403="","",IF($V403=1,Settings!$C$6,Settings!$C$7)*1)</f>
        <v/>
      </c>
      <c r="Q403" s="7">
        <f>IF($A403="","",P403*K403)</f>
        <v/>
      </c>
      <c r="R403" s="7">
        <f>IF($A403="","",K403-Q403)</f>
        <v/>
      </c>
      <c r="S403" s="7">
        <f>IF($A403="","",R403-F403)</f>
        <v/>
      </c>
      <c r="T403">
        <f>IF($A403="","",IF(COUNTIF($A$2:$A403,$A403)=1,1,0))</f>
        <v/>
      </c>
      <c r="U403">
        <f>IF($T403=1,SUMPRODUCT(--($W$2:$W$501&lt;$W403))+1,"")</f>
        <v/>
      </c>
      <c r="V403">
        <f>IF($A403="","",1)</f>
        <v/>
      </c>
      <c r="W403">
        <f>IF($T403=1,IFERROR(VALUE(MID($A403,2,20)),1000000000)+ROW()/100000,"")</f>
        <v/>
      </c>
    </row>
    <row r="404">
      <c r="F404" s="7">
        <f>IF($A404="","",E404*K404/100)</f>
        <v/>
      </c>
      <c r="J404" s="7" t="n"/>
      <c r="K404" s="7" t="n"/>
      <c r="L404" s="7" t="n"/>
      <c r="O404" s="11" t="n"/>
      <c r="P404">
        <f>IF($A404="","",IF($V404=1,Settings!$C$6,Settings!$C$7)*1)</f>
        <v/>
      </c>
      <c r="Q404" s="7">
        <f>IF($A404="","",P404*K404)</f>
        <v/>
      </c>
      <c r="R404" s="7">
        <f>IF($A404="","",K404-Q404)</f>
        <v/>
      </c>
      <c r="S404" s="7">
        <f>IF($A404="","",R404-F404)</f>
        <v/>
      </c>
      <c r="T404">
        <f>IF($A404="","",IF(COUNTIF($A$2:$A404,$A404)=1,1,0))</f>
        <v/>
      </c>
      <c r="U404">
        <f>IF($T404=1,SUMPRODUCT(--($W$2:$W$501&lt;$W404))+1,"")</f>
        <v/>
      </c>
      <c r="V404">
        <f>IF($A404="","",1)</f>
        <v/>
      </c>
      <c r="W404">
        <f>IF($T404=1,IFERROR(VALUE(MID($A404,2,20)),1000000000)+ROW()/100000,"")</f>
        <v/>
      </c>
    </row>
    <row r="405">
      <c r="F405" s="7">
        <f>IF($A405="","",E405*K405/100)</f>
        <v/>
      </c>
      <c r="J405" s="7" t="n"/>
      <c r="K405" s="7" t="n"/>
      <c r="L405" s="7" t="n"/>
      <c r="O405" s="11" t="n"/>
      <c r="P405">
        <f>IF($A405="","",IF($V405=1,Settings!$C$6,Settings!$C$7)*1)</f>
        <v/>
      </c>
      <c r="Q405" s="7">
        <f>IF($A405="","",P405*K405)</f>
        <v/>
      </c>
      <c r="R405" s="7">
        <f>IF($A405="","",K405-Q405)</f>
        <v/>
      </c>
      <c r="S405" s="7">
        <f>IF($A405="","",R405-F405)</f>
        <v/>
      </c>
      <c r="T405">
        <f>IF($A405="","",IF(COUNTIF($A$2:$A405,$A405)=1,1,0))</f>
        <v/>
      </c>
      <c r="U405">
        <f>IF($T405=1,SUMPRODUCT(--($W$2:$W$501&lt;$W405))+1,"")</f>
        <v/>
      </c>
      <c r="V405">
        <f>IF($A405="","",1)</f>
        <v/>
      </c>
      <c r="W405">
        <f>IF($T405=1,IFERROR(VALUE(MID($A405,2,20)),1000000000)+ROW()/100000,"")</f>
        <v/>
      </c>
    </row>
    <row r="406">
      <c r="F406" s="7">
        <f>IF($A406="","",E406*K406/100)</f>
        <v/>
      </c>
      <c r="J406" s="7" t="n"/>
      <c r="K406" s="7" t="n"/>
      <c r="L406" s="7" t="n"/>
      <c r="O406" s="11" t="n"/>
      <c r="P406">
        <f>IF($A406="","",IF($V406=1,Settings!$C$6,Settings!$C$7)*1)</f>
        <v/>
      </c>
      <c r="Q406" s="7">
        <f>IF($A406="","",P406*K406)</f>
        <v/>
      </c>
      <c r="R406" s="7">
        <f>IF($A406="","",K406-Q406)</f>
        <v/>
      </c>
      <c r="S406" s="7">
        <f>IF($A406="","",R406-F406)</f>
        <v/>
      </c>
      <c r="T406">
        <f>IF($A406="","",IF(COUNTIF($A$2:$A406,$A406)=1,1,0))</f>
        <v/>
      </c>
      <c r="U406">
        <f>IF($T406=1,SUMPRODUCT(--($W$2:$W$501&lt;$W406))+1,"")</f>
        <v/>
      </c>
      <c r="V406">
        <f>IF($A406="","",1)</f>
        <v/>
      </c>
      <c r="W406">
        <f>IF($T406=1,IFERROR(VALUE(MID($A406,2,20)),1000000000)+ROW()/100000,"")</f>
        <v/>
      </c>
    </row>
    <row r="407">
      <c r="F407" s="7">
        <f>IF($A407="","",E407*K407/100)</f>
        <v/>
      </c>
      <c r="J407" s="7" t="n"/>
      <c r="K407" s="7" t="n"/>
      <c r="L407" s="7" t="n"/>
      <c r="O407" s="11" t="n"/>
      <c r="P407">
        <f>IF($A407="","",IF($V407=1,Settings!$C$6,Settings!$C$7)*1)</f>
        <v/>
      </c>
      <c r="Q407" s="7">
        <f>IF($A407="","",P407*K407)</f>
        <v/>
      </c>
      <c r="R407" s="7">
        <f>IF($A407="","",K407-Q407)</f>
        <v/>
      </c>
      <c r="S407" s="7">
        <f>IF($A407="","",R407-F407)</f>
        <v/>
      </c>
      <c r="T407">
        <f>IF($A407="","",IF(COUNTIF($A$2:$A407,$A407)=1,1,0))</f>
        <v/>
      </c>
      <c r="U407">
        <f>IF($T407=1,SUMPRODUCT(--($W$2:$W$501&lt;$W407))+1,"")</f>
        <v/>
      </c>
      <c r="V407">
        <f>IF($A407="","",1)</f>
        <v/>
      </c>
      <c r="W407">
        <f>IF($T407=1,IFERROR(VALUE(MID($A407,2,20)),1000000000)+ROW()/100000,"")</f>
        <v/>
      </c>
    </row>
    <row r="408">
      <c r="F408" s="7">
        <f>IF($A408="","",E408*K408/100)</f>
        <v/>
      </c>
      <c r="J408" s="7" t="n"/>
      <c r="K408" s="7" t="n"/>
      <c r="L408" s="7" t="n"/>
      <c r="O408" s="11" t="n"/>
      <c r="P408">
        <f>IF($A408="","",IF($V408=1,Settings!$C$6,Settings!$C$7)*1)</f>
        <v/>
      </c>
      <c r="Q408" s="7">
        <f>IF($A408="","",P408*K408)</f>
        <v/>
      </c>
      <c r="R408" s="7">
        <f>IF($A408="","",K408-Q408)</f>
        <v/>
      </c>
      <c r="S408" s="7">
        <f>IF($A408="","",R408-F408)</f>
        <v/>
      </c>
      <c r="T408">
        <f>IF($A408="","",IF(COUNTIF($A$2:$A408,$A408)=1,1,0))</f>
        <v/>
      </c>
      <c r="U408">
        <f>IF($T408=1,SUMPRODUCT(--($W$2:$W$501&lt;$W408))+1,"")</f>
        <v/>
      </c>
      <c r="V408">
        <f>IF($A408="","",1)</f>
        <v/>
      </c>
      <c r="W408">
        <f>IF($T408=1,IFERROR(VALUE(MID($A408,2,20)),1000000000)+ROW()/100000,"")</f>
        <v/>
      </c>
    </row>
    <row r="409">
      <c r="F409" s="7">
        <f>IF($A409="","",E409*K409/100)</f>
        <v/>
      </c>
      <c r="J409" s="7" t="n"/>
      <c r="K409" s="7" t="n"/>
      <c r="L409" s="7" t="n"/>
      <c r="O409" s="11" t="n"/>
      <c r="P409">
        <f>IF($A409="","",IF($V409=1,Settings!$C$6,Settings!$C$7)*1)</f>
        <v/>
      </c>
      <c r="Q409" s="7">
        <f>IF($A409="","",P409*K409)</f>
        <v/>
      </c>
      <c r="R409" s="7">
        <f>IF($A409="","",K409-Q409)</f>
        <v/>
      </c>
      <c r="S409" s="7">
        <f>IF($A409="","",R409-F409)</f>
        <v/>
      </c>
      <c r="T409">
        <f>IF($A409="","",IF(COUNTIF($A$2:$A409,$A409)=1,1,0))</f>
        <v/>
      </c>
      <c r="U409">
        <f>IF($T409=1,SUMPRODUCT(--($W$2:$W$501&lt;$W409))+1,"")</f>
        <v/>
      </c>
      <c r="V409">
        <f>IF($A409="","",1)</f>
        <v/>
      </c>
      <c r="W409">
        <f>IF($T409=1,IFERROR(VALUE(MID($A409,2,20)),1000000000)+ROW()/100000,"")</f>
        <v/>
      </c>
    </row>
    <row r="410">
      <c r="F410" s="7">
        <f>IF($A410="","",E410*K410/100)</f>
        <v/>
      </c>
      <c r="J410" s="7" t="n"/>
      <c r="K410" s="7" t="n"/>
      <c r="L410" s="7" t="n"/>
      <c r="O410" s="11" t="n"/>
      <c r="P410">
        <f>IF($A410="","",IF($V410=1,Settings!$C$6,Settings!$C$7)*1)</f>
        <v/>
      </c>
      <c r="Q410" s="7">
        <f>IF($A410="","",P410*K410)</f>
        <v/>
      </c>
      <c r="R410" s="7">
        <f>IF($A410="","",K410-Q410)</f>
        <v/>
      </c>
      <c r="S410" s="7">
        <f>IF($A410="","",R410-F410)</f>
        <v/>
      </c>
      <c r="T410">
        <f>IF($A410="","",IF(COUNTIF($A$2:$A410,$A410)=1,1,0))</f>
        <v/>
      </c>
      <c r="U410">
        <f>IF($T410=1,SUMPRODUCT(--($W$2:$W$501&lt;$W410))+1,"")</f>
        <v/>
      </c>
      <c r="V410">
        <f>IF($A410="","",1)</f>
        <v/>
      </c>
      <c r="W410">
        <f>IF($T410=1,IFERROR(VALUE(MID($A410,2,20)),1000000000)+ROW()/100000,"")</f>
        <v/>
      </c>
    </row>
    <row r="411">
      <c r="F411" s="7">
        <f>IF($A411="","",E411*K411/100)</f>
        <v/>
      </c>
      <c r="J411" s="7" t="n"/>
      <c r="K411" s="7" t="n"/>
      <c r="L411" s="7" t="n"/>
      <c r="O411" s="11" t="n"/>
      <c r="P411">
        <f>IF($A411="","",IF($V411=1,Settings!$C$6,Settings!$C$7)*1)</f>
        <v/>
      </c>
      <c r="Q411" s="7">
        <f>IF($A411="","",P411*K411)</f>
        <v/>
      </c>
      <c r="R411" s="7">
        <f>IF($A411="","",K411-Q411)</f>
        <v/>
      </c>
      <c r="S411" s="7">
        <f>IF($A411="","",R411-F411)</f>
        <v/>
      </c>
      <c r="T411">
        <f>IF($A411="","",IF(COUNTIF($A$2:$A411,$A411)=1,1,0))</f>
        <v/>
      </c>
      <c r="U411">
        <f>IF($T411=1,SUMPRODUCT(--($W$2:$W$501&lt;$W411))+1,"")</f>
        <v/>
      </c>
      <c r="V411">
        <f>IF($A411="","",1)</f>
        <v/>
      </c>
      <c r="W411">
        <f>IF($T411=1,IFERROR(VALUE(MID($A411,2,20)),1000000000)+ROW()/100000,"")</f>
        <v/>
      </c>
    </row>
    <row r="412">
      <c r="F412" s="7">
        <f>IF($A412="","",E412*K412/100)</f>
        <v/>
      </c>
      <c r="J412" s="7" t="n"/>
      <c r="K412" s="7" t="n"/>
      <c r="L412" s="7" t="n"/>
      <c r="O412" s="11" t="n"/>
      <c r="P412">
        <f>IF($A412="","",IF($V412=1,Settings!$C$6,Settings!$C$7)*1)</f>
        <v/>
      </c>
      <c r="Q412" s="7">
        <f>IF($A412="","",P412*K412)</f>
        <v/>
      </c>
      <c r="R412" s="7">
        <f>IF($A412="","",K412-Q412)</f>
        <v/>
      </c>
      <c r="S412" s="7">
        <f>IF($A412="","",R412-F412)</f>
        <v/>
      </c>
      <c r="T412">
        <f>IF($A412="","",IF(COUNTIF($A$2:$A412,$A412)=1,1,0))</f>
        <v/>
      </c>
      <c r="U412">
        <f>IF($T412=1,SUMPRODUCT(--($W$2:$W$501&lt;$W412))+1,"")</f>
        <v/>
      </c>
      <c r="V412">
        <f>IF($A412="","",1)</f>
        <v/>
      </c>
      <c r="W412">
        <f>IF($T412=1,IFERROR(VALUE(MID($A412,2,20)),1000000000)+ROW()/100000,"")</f>
        <v/>
      </c>
    </row>
    <row r="413">
      <c r="F413" s="7">
        <f>IF($A413="","",E413*K413/100)</f>
        <v/>
      </c>
      <c r="J413" s="7" t="n"/>
      <c r="K413" s="7" t="n"/>
      <c r="L413" s="7" t="n"/>
      <c r="O413" s="11" t="n"/>
      <c r="P413">
        <f>IF($A413="","",IF($V413=1,Settings!$C$6,Settings!$C$7)*1)</f>
        <v/>
      </c>
      <c r="Q413" s="7">
        <f>IF($A413="","",P413*K413)</f>
        <v/>
      </c>
      <c r="R413" s="7">
        <f>IF($A413="","",K413-Q413)</f>
        <v/>
      </c>
      <c r="S413" s="7">
        <f>IF($A413="","",R413-F413)</f>
        <v/>
      </c>
      <c r="T413">
        <f>IF($A413="","",IF(COUNTIF($A$2:$A413,$A413)=1,1,0))</f>
        <v/>
      </c>
      <c r="U413">
        <f>IF($T413=1,SUMPRODUCT(--($W$2:$W$501&lt;$W413))+1,"")</f>
        <v/>
      </c>
      <c r="V413">
        <f>IF($A413="","",1)</f>
        <v/>
      </c>
      <c r="W413">
        <f>IF($T413=1,IFERROR(VALUE(MID($A413,2,20)),1000000000)+ROW()/100000,"")</f>
        <v/>
      </c>
    </row>
    <row r="414">
      <c r="F414" s="7">
        <f>IF($A414="","",E414*K414/100)</f>
        <v/>
      </c>
      <c r="J414" s="7" t="n"/>
      <c r="K414" s="7" t="n"/>
      <c r="L414" s="7" t="n"/>
      <c r="O414" s="11" t="n"/>
      <c r="P414">
        <f>IF($A414="","",IF($V414=1,Settings!$C$6,Settings!$C$7)*1)</f>
        <v/>
      </c>
      <c r="Q414" s="7">
        <f>IF($A414="","",P414*K414)</f>
        <v/>
      </c>
      <c r="R414" s="7">
        <f>IF($A414="","",K414-Q414)</f>
        <v/>
      </c>
      <c r="S414" s="7">
        <f>IF($A414="","",R414-F414)</f>
        <v/>
      </c>
      <c r="T414">
        <f>IF($A414="","",IF(COUNTIF($A$2:$A414,$A414)=1,1,0))</f>
        <v/>
      </c>
      <c r="U414">
        <f>IF($T414=1,SUMPRODUCT(--($W$2:$W$501&lt;$W414))+1,"")</f>
        <v/>
      </c>
      <c r="V414">
        <f>IF($A414="","",1)</f>
        <v/>
      </c>
      <c r="W414">
        <f>IF($T414=1,IFERROR(VALUE(MID($A414,2,20)),1000000000)+ROW()/100000,"")</f>
        <v/>
      </c>
    </row>
    <row r="415">
      <c r="F415" s="7">
        <f>IF($A415="","",E415*K415/100)</f>
        <v/>
      </c>
      <c r="J415" s="7" t="n"/>
      <c r="K415" s="7" t="n"/>
      <c r="L415" s="7" t="n"/>
      <c r="O415" s="11" t="n"/>
      <c r="P415">
        <f>IF($A415="","",IF($V415=1,Settings!$C$6,Settings!$C$7)*1)</f>
        <v/>
      </c>
      <c r="Q415" s="7">
        <f>IF($A415="","",P415*K415)</f>
        <v/>
      </c>
      <c r="R415" s="7">
        <f>IF($A415="","",K415-Q415)</f>
        <v/>
      </c>
      <c r="S415" s="7">
        <f>IF($A415="","",R415-F415)</f>
        <v/>
      </c>
      <c r="T415">
        <f>IF($A415="","",IF(COUNTIF($A$2:$A415,$A415)=1,1,0))</f>
        <v/>
      </c>
      <c r="U415">
        <f>IF($T415=1,SUMPRODUCT(--($W$2:$W$501&lt;$W415))+1,"")</f>
        <v/>
      </c>
      <c r="V415">
        <f>IF($A415="","",1)</f>
        <v/>
      </c>
      <c r="W415">
        <f>IF($T415=1,IFERROR(VALUE(MID($A415,2,20)),1000000000)+ROW()/100000,"")</f>
        <v/>
      </c>
    </row>
    <row r="416">
      <c r="F416" s="7">
        <f>IF($A416="","",E416*K416/100)</f>
        <v/>
      </c>
      <c r="J416" s="7" t="n"/>
      <c r="K416" s="7" t="n"/>
      <c r="L416" s="7" t="n"/>
      <c r="O416" s="11" t="n"/>
      <c r="P416">
        <f>IF($A416="","",IF($V416=1,Settings!$C$6,Settings!$C$7)*1)</f>
        <v/>
      </c>
      <c r="Q416" s="7">
        <f>IF($A416="","",P416*K416)</f>
        <v/>
      </c>
      <c r="R416" s="7">
        <f>IF($A416="","",K416-Q416)</f>
        <v/>
      </c>
      <c r="S416" s="7">
        <f>IF($A416="","",R416-F416)</f>
        <v/>
      </c>
      <c r="T416">
        <f>IF($A416="","",IF(COUNTIF($A$2:$A416,$A416)=1,1,0))</f>
        <v/>
      </c>
      <c r="U416">
        <f>IF($T416=1,SUMPRODUCT(--($W$2:$W$501&lt;$W416))+1,"")</f>
        <v/>
      </c>
      <c r="V416">
        <f>IF($A416="","",1)</f>
        <v/>
      </c>
      <c r="W416">
        <f>IF($T416=1,IFERROR(VALUE(MID($A416,2,20)),1000000000)+ROW()/100000,"")</f>
        <v/>
      </c>
    </row>
    <row r="417">
      <c r="F417" s="7">
        <f>IF($A417="","",E417*K417/100)</f>
        <v/>
      </c>
      <c r="J417" s="7" t="n"/>
      <c r="K417" s="7" t="n"/>
      <c r="L417" s="7" t="n"/>
      <c r="O417" s="11" t="n"/>
      <c r="P417">
        <f>IF($A417="","",IF($V417=1,Settings!$C$6,Settings!$C$7)*1)</f>
        <v/>
      </c>
      <c r="Q417" s="7">
        <f>IF($A417="","",P417*K417)</f>
        <v/>
      </c>
      <c r="R417" s="7">
        <f>IF($A417="","",K417-Q417)</f>
        <v/>
      </c>
      <c r="S417" s="7">
        <f>IF($A417="","",R417-F417)</f>
        <v/>
      </c>
      <c r="T417">
        <f>IF($A417="","",IF(COUNTIF($A$2:$A417,$A417)=1,1,0))</f>
        <v/>
      </c>
      <c r="U417">
        <f>IF($T417=1,SUMPRODUCT(--($W$2:$W$501&lt;$W417))+1,"")</f>
        <v/>
      </c>
      <c r="V417">
        <f>IF($A417="","",1)</f>
        <v/>
      </c>
      <c r="W417">
        <f>IF($T417=1,IFERROR(VALUE(MID($A417,2,20)),1000000000)+ROW()/100000,"")</f>
        <v/>
      </c>
    </row>
    <row r="418">
      <c r="F418" s="7">
        <f>IF($A418="","",E418*K418/100)</f>
        <v/>
      </c>
      <c r="J418" s="7" t="n"/>
      <c r="K418" s="7" t="n"/>
      <c r="L418" s="7" t="n"/>
      <c r="O418" s="11" t="n"/>
      <c r="P418">
        <f>IF($A418="","",IF($V418=1,Settings!$C$6,Settings!$C$7)*1)</f>
        <v/>
      </c>
      <c r="Q418" s="7">
        <f>IF($A418="","",P418*K418)</f>
        <v/>
      </c>
      <c r="R418" s="7">
        <f>IF($A418="","",K418-Q418)</f>
        <v/>
      </c>
      <c r="S418" s="7">
        <f>IF($A418="","",R418-F418)</f>
        <v/>
      </c>
      <c r="T418">
        <f>IF($A418="","",IF(COUNTIF($A$2:$A418,$A418)=1,1,0))</f>
        <v/>
      </c>
      <c r="U418">
        <f>IF($T418=1,SUMPRODUCT(--($W$2:$W$501&lt;$W418))+1,"")</f>
        <v/>
      </c>
      <c r="V418">
        <f>IF($A418="","",1)</f>
        <v/>
      </c>
      <c r="W418">
        <f>IF($T418=1,IFERROR(VALUE(MID($A418,2,20)),1000000000)+ROW()/100000,"")</f>
        <v/>
      </c>
    </row>
    <row r="419">
      <c r="F419" s="7">
        <f>IF($A419="","",E419*K419/100)</f>
        <v/>
      </c>
      <c r="J419" s="7" t="n"/>
      <c r="K419" s="7" t="n"/>
      <c r="L419" s="7" t="n"/>
      <c r="O419" s="11" t="n"/>
      <c r="P419">
        <f>IF($A419="","",IF($V419=1,Settings!$C$6,Settings!$C$7)*1)</f>
        <v/>
      </c>
      <c r="Q419" s="7">
        <f>IF($A419="","",P419*K419)</f>
        <v/>
      </c>
      <c r="R419" s="7">
        <f>IF($A419="","",K419-Q419)</f>
        <v/>
      </c>
      <c r="S419" s="7">
        <f>IF($A419="","",R419-F419)</f>
        <v/>
      </c>
      <c r="T419">
        <f>IF($A419="","",IF(COUNTIF($A$2:$A419,$A419)=1,1,0))</f>
        <v/>
      </c>
      <c r="U419">
        <f>IF($T419=1,SUMPRODUCT(--($W$2:$W$501&lt;$W419))+1,"")</f>
        <v/>
      </c>
      <c r="V419">
        <f>IF($A419="","",1)</f>
        <v/>
      </c>
      <c r="W419">
        <f>IF($T419=1,IFERROR(VALUE(MID($A419,2,20)),1000000000)+ROW()/100000,"")</f>
        <v/>
      </c>
    </row>
    <row r="420">
      <c r="F420" s="7">
        <f>IF($A420="","",E420*K420/100)</f>
        <v/>
      </c>
      <c r="J420" s="7" t="n"/>
      <c r="K420" s="7" t="n"/>
      <c r="L420" s="7" t="n"/>
      <c r="O420" s="11" t="n"/>
      <c r="P420">
        <f>IF($A420="","",IF($V420=1,Settings!$C$6,Settings!$C$7)*1)</f>
        <v/>
      </c>
      <c r="Q420" s="7">
        <f>IF($A420="","",P420*K420)</f>
        <v/>
      </c>
      <c r="R420" s="7">
        <f>IF($A420="","",K420-Q420)</f>
        <v/>
      </c>
      <c r="S420" s="7">
        <f>IF($A420="","",R420-F420)</f>
        <v/>
      </c>
      <c r="T420">
        <f>IF($A420="","",IF(COUNTIF($A$2:$A420,$A420)=1,1,0))</f>
        <v/>
      </c>
      <c r="U420">
        <f>IF($T420=1,SUMPRODUCT(--($W$2:$W$501&lt;$W420))+1,"")</f>
        <v/>
      </c>
      <c r="V420">
        <f>IF($A420="","",1)</f>
        <v/>
      </c>
      <c r="W420">
        <f>IF($T420=1,IFERROR(VALUE(MID($A420,2,20)),1000000000)+ROW()/100000,"")</f>
        <v/>
      </c>
    </row>
    <row r="421">
      <c r="F421" s="7">
        <f>IF($A421="","",E421*K421/100)</f>
        <v/>
      </c>
      <c r="J421" s="7" t="n"/>
      <c r="K421" s="7" t="n"/>
      <c r="L421" s="7" t="n"/>
      <c r="O421" s="11" t="n"/>
      <c r="P421">
        <f>IF($A421="","",IF($V421=1,Settings!$C$6,Settings!$C$7)*1)</f>
        <v/>
      </c>
      <c r="Q421" s="7">
        <f>IF($A421="","",P421*K421)</f>
        <v/>
      </c>
      <c r="R421" s="7">
        <f>IF($A421="","",K421-Q421)</f>
        <v/>
      </c>
      <c r="S421" s="7">
        <f>IF($A421="","",R421-F421)</f>
        <v/>
      </c>
      <c r="T421">
        <f>IF($A421="","",IF(COUNTIF($A$2:$A421,$A421)=1,1,0))</f>
        <v/>
      </c>
      <c r="U421">
        <f>IF($T421=1,SUMPRODUCT(--($W$2:$W$501&lt;$W421))+1,"")</f>
        <v/>
      </c>
      <c r="V421">
        <f>IF($A421="","",1)</f>
        <v/>
      </c>
      <c r="W421">
        <f>IF($T421=1,IFERROR(VALUE(MID($A421,2,20)),1000000000)+ROW()/100000,"")</f>
        <v/>
      </c>
    </row>
    <row r="422">
      <c r="F422" s="7">
        <f>IF($A422="","",E422*K422/100)</f>
        <v/>
      </c>
      <c r="J422" s="7" t="n"/>
      <c r="K422" s="7" t="n"/>
      <c r="L422" s="7" t="n"/>
      <c r="O422" s="11" t="n"/>
      <c r="P422">
        <f>IF($A422="","",IF($V422=1,Settings!$C$6,Settings!$C$7)*1)</f>
        <v/>
      </c>
      <c r="Q422" s="7">
        <f>IF($A422="","",P422*K422)</f>
        <v/>
      </c>
      <c r="R422" s="7">
        <f>IF($A422="","",K422-Q422)</f>
        <v/>
      </c>
      <c r="S422" s="7">
        <f>IF($A422="","",R422-F422)</f>
        <v/>
      </c>
      <c r="T422">
        <f>IF($A422="","",IF(COUNTIF($A$2:$A422,$A422)=1,1,0))</f>
        <v/>
      </c>
      <c r="U422">
        <f>IF($T422=1,SUMPRODUCT(--($W$2:$W$501&lt;$W422))+1,"")</f>
        <v/>
      </c>
      <c r="V422">
        <f>IF($A422="","",1)</f>
        <v/>
      </c>
      <c r="W422">
        <f>IF($T422=1,IFERROR(VALUE(MID($A422,2,20)),1000000000)+ROW()/100000,"")</f>
        <v/>
      </c>
    </row>
    <row r="423">
      <c r="F423" s="7">
        <f>IF($A423="","",E423*K423/100)</f>
        <v/>
      </c>
      <c r="J423" s="7" t="n"/>
      <c r="K423" s="7" t="n"/>
      <c r="L423" s="7" t="n"/>
      <c r="O423" s="11" t="n"/>
      <c r="P423">
        <f>IF($A423="","",IF($V423=1,Settings!$C$6,Settings!$C$7)*1)</f>
        <v/>
      </c>
      <c r="Q423" s="7">
        <f>IF($A423="","",P423*K423)</f>
        <v/>
      </c>
      <c r="R423" s="7">
        <f>IF($A423="","",K423-Q423)</f>
        <v/>
      </c>
      <c r="S423" s="7">
        <f>IF($A423="","",R423-F423)</f>
        <v/>
      </c>
      <c r="T423">
        <f>IF($A423="","",IF(COUNTIF($A$2:$A423,$A423)=1,1,0))</f>
        <v/>
      </c>
      <c r="U423">
        <f>IF($T423=1,SUMPRODUCT(--($W$2:$W$501&lt;$W423))+1,"")</f>
        <v/>
      </c>
      <c r="V423">
        <f>IF($A423="","",1)</f>
        <v/>
      </c>
      <c r="W423">
        <f>IF($T423=1,IFERROR(VALUE(MID($A423,2,20)),1000000000)+ROW()/100000,"")</f>
        <v/>
      </c>
    </row>
    <row r="424">
      <c r="F424" s="7">
        <f>IF($A424="","",E424*K424/100)</f>
        <v/>
      </c>
      <c r="J424" s="7" t="n"/>
      <c r="K424" s="7" t="n"/>
      <c r="L424" s="7" t="n"/>
      <c r="O424" s="11" t="n"/>
      <c r="P424">
        <f>IF($A424="","",IF($V424=1,Settings!$C$6,Settings!$C$7)*1)</f>
        <v/>
      </c>
      <c r="Q424" s="7">
        <f>IF($A424="","",P424*K424)</f>
        <v/>
      </c>
      <c r="R424" s="7">
        <f>IF($A424="","",K424-Q424)</f>
        <v/>
      </c>
      <c r="S424" s="7">
        <f>IF($A424="","",R424-F424)</f>
        <v/>
      </c>
      <c r="T424">
        <f>IF($A424="","",IF(COUNTIF($A$2:$A424,$A424)=1,1,0))</f>
        <v/>
      </c>
      <c r="U424">
        <f>IF($T424=1,SUMPRODUCT(--($W$2:$W$501&lt;$W424))+1,"")</f>
        <v/>
      </c>
      <c r="V424">
        <f>IF($A424="","",1)</f>
        <v/>
      </c>
      <c r="W424">
        <f>IF($T424=1,IFERROR(VALUE(MID($A424,2,20)),1000000000)+ROW()/100000,"")</f>
        <v/>
      </c>
    </row>
    <row r="425">
      <c r="F425" s="7">
        <f>IF($A425="","",E425*K425/100)</f>
        <v/>
      </c>
      <c r="J425" s="7" t="n"/>
      <c r="K425" s="7" t="n"/>
      <c r="L425" s="7" t="n"/>
      <c r="O425" s="11" t="n"/>
      <c r="P425">
        <f>IF($A425="","",IF($V425=1,Settings!$C$6,Settings!$C$7)*1)</f>
        <v/>
      </c>
      <c r="Q425" s="7">
        <f>IF($A425="","",P425*K425)</f>
        <v/>
      </c>
      <c r="R425" s="7">
        <f>IF($A425="","",K425-Q425)</f>
        <v/>
      </c>
      <c r="S425" s="7">
        <f>IF($A425="","",R425-F425)</f>
        <v/>
      </c>
      <c r="T425">
        <f>IF($A425="","",IF(COUNTIF($A$2:$A425,$A425)=1,1,0))</f>
        <v/>
      </c>
      <c r="U425">
        <f>IF($T425=1,SUMPRODUCT(--($W$2:$W$501&lt;$W425))+1,"")</f>
        <v/>
      </c>
      <c r="V425">
        <f>IF($A425="","",1)</f>
        <v/>
      </c>
      <c r="W425">
        <f>IF($T425=1,IFERROR(VALUE(MID($A425,2,20)),1000000000)+ROW()/100000,"")</f>
        <v/>
      </c>
    </row>
    <row r="426">
      <c r="F426" s="7">
        <f>IF($A426="","",E426*K426/100)</f>
        <v/>
      </c>
      <c r="J426" s="7" t="n"/>
      <c r="K426" s="7" t="n"/>
      <c r="L426" s="7" t="n"/>
      <c r="O426" s="11" t="n"/>
      <c r="P426">
        <f>IF($A426="","",IF($V426=1,Settings!$C$6,Settings!$C$7)*1)</f>
        <v/>
      </c>
      <c r="Q426" s="7">
        <f>IF($A426="","",P426*K426)</f>
        <v/>
      </c>
      <c r="R426" s="7">
        <f>IF($A426="","",K426-Q426)</f>
        <v/>
      </c>
      <c r="S426" s="7">
        <f>IF($A426="","",R426-F426)</f>
        <v/>
      </c>
      <c r="T426">
        <f>IF($A426="","",IF(COUNTIF($A$2:$A426,$A426)=1,1,0))</f>
        <v/>
      </c>
      <c r="U426">
        <f>IF($T426=1,SUMPRODUCT(--($W$2:$W$501&lt;$W426))+1,"")</f>
        <v/>
      </c>
      <c r="V426">
        <f>IF($A426="","",1)</f>
        <v/>
      </c>
      <c r="W426">
        <f>IF($T426=1,IFERROR(VALUE(MID($A426,2,20)),1000000000)+ROW()/100000,"")</f>
        <v/>
      </c>
    </row>
    <row r="427">
      <c r="F427" s="7">
        <f>IF($A427="","",E427*K427/100)</f>
        <v/>
      </c>
      <c r="J427" s="7" t="n"/>
      <c r="K427" s="7" t="n"/>
      <c r="L427" s="7" t="n"/>
      <c r="O427" s="11" t="n"/>
      <c r="P427">
        <f>IF($A427="","",IF($V427=1,Settings!$C$6,Settings!$C$7)*1)</f>
        <v/>
      </c>
      <c r="Q427" s="7">
        <f>IF($A427="","",P427*K427)</f>
        <v/>
      </c>
      <c r="R427" s="7">
        <f>IF($A427="","",K427-Q427)</f>
        <v/>
      </c>
      <c r="S427" s="7">
        <f>IF($A427="","",R427-F427)</f>
        <v/>
      </c>
      <c r="T427">
        <f>IF($A427="","",IF(COUNTIF($A$2:$A427,$A427)=1,1,0))</f>
        <v/>
      </c>
      <c r="U427">
        <f>IF($T427=1,SUMPRODUCT(--($W$2:$W$501&lt;$W427))+1,"")</f>
        <v/>
      </c>
      <c r="V427">
        <f>IF($A427="","",1)</f>
        <v/>
      </c>
      <c r="W427">
        <f>IF($T427=1,IFERROR(VALUE(MID($A427,2,20)),1000000000)+ROW()/100000,"")</f>
        <v/>
      </c>
    </row>
    <row r="428">
      <c r="F428" s="7">
        <f>IF($A428="","",E428*K428/100)</f>
        <v/>
      </c>
      <c r="J428" s="7" t="n"/>
      <c r="K428" s="7" t="n"/>
      <c r="L428" s="7" t="n"/>
      <c r="O428" s="11" t="n"/>
      <c r="P428">
        <f>IF($A428="","",IF($V428=1,Settings!$C$6,Settings!$C$7)*1)</f>
        <v/>
      </c>
      <c r="Q428" s="7">
        <f>IF($A428="","",P428*K428)</f>
        <v/>
      </c>
      <c r="R428" s="7">
        <f>IF($A428="","",K428-Q428)</f>
        <v/>
      </c>
      <c r="S428" s="7">
        <f>IF($A428="","",R428-F428)</f>
        <v/>
      </c>
      <c r="T428">
        <f>IF($A428="","",IF(COUNTIF($A$2:$A428,$A428)=1,1,0))</f>
        <v/>
      </c>
      <c r="U428">
        <f>IF($T428=1,SUMPRODUCT(--($W$2:$W$501&lt;$W428))+1,"")</f>
        <v/>
      </c>
      <c r="V428">
        <f>IF($A428="","",1)</f>
        <v/>
      </c>
      <c r="W428">
        <f>IF($T428=1,IFERROR(VALUE(MID($A428,2,20)),1000000000)+ROW()/100000,"")</f>
        <v/>
      </c>
    </row>
    <row r="429">
      <c r="F429" s="7">
        <f>IF($A429="","",E429*K429/100)</f>
        <v/>
      </c>
      <c r="J429" s="7" t="n"/>
      <c r="K429" s="7" t="n"/>
      <c r="L429" s="7" t="n"/>
      <c r="O429" s="11" t="n"/>
      <c r="P429">
        <f>IF($A429="","",IF($V429=1,Settings!$C$6,Settings!$C$7)*1)</f>
        <v/>
      </c>
      <c r="Q429" s="7">
        <f>IF($A429="","",P429*K429)</f>
        <v/>
      </c>
      <c r="R429" s="7">
        <f>IF($A429="","",K429-Q429)</f>
        <v/>
      </c>
      <c r="S429" s="7">
        <f>IF($A429="","",R429-F429)</f>
        <v/>
      </c>
      <c r="T429">
        <f>IF($A429="","",IF(COUNTIF($A$2:$A429,$A429)=1,1,0))</f>
        <v/>
      </c>
      <c r="U429">
        <f>IF($T429=1,SUMPRODUCT(--($W$2:$W$501&lt;$W429))+1,"")</f>
        <v/>
      </c>
      <c r="V429">
        <f>IF($A429="","",1)</f>
        <v/>
      </c>
      <c r="W429">
        <f>IF($T429=1,IFERROR(VALUE(MID($A429,2,20)),1000000000)+ROW()/100000,"")</f>
        <v/>
      </c>
    </row>
    <row r="430">
      <c r="F430" s="7">
        <f>IF($A430="","",E430*K430/100)</f>
        <v/>
      </c>
      <c r="J430" s="7" t="n"/>
      <c r="K430" s="7" t="n"/>
      <c r="L430" s="7" t="n"/>
      <c r="O430" s="11" t="n"/>
      <c r="P430">
        <f>IF($A430="","",IF($V430=1,Settings!$C$6,Settings!$C$7)*1)</f>
        <v/>
      </c>
      <c r="Q430" s="7">
        <f>IF($A430="","",P430*K430)</f>
        <v/>
      </c>
      <c r="R430" s="7">
        <f>IF($A430="","",K430-Q430)</f>
        <v/>
      </c>
      <c r="S430" s="7">
        <f>IF($A430="","",R430-F430)</f>
        <v/>
      </c>
      <c r="T430">
        <f>IF($A430="","",IF(COUNTIF($A$2:$A430,$A430)=1,1,0))</f>
        <v/>
      </c>
      <c r="U430">
        <f>IF($T430=1,SUMPRODUCT(--($W$2:$W$501&lt;$W430))+1,"")</f>
        <v/>
      </c>
      <c r="V430">
        <f>IF($A430="","",1)</f>
        <v/>
      </c>
      <c r="W430">
        <f>IF($T430=1,IFERROR(VALUE(MID($A430,2,20)),1000000000)+ROW()/100000,"")</f>
        <v/>
      </c>
    </row>
    <row r="431">
      <c r="F431" s="7">
        <f>IF($A431="","",E431*K431/100)</f>
        <v/>
      </c>
      <c r="J431" s="7" t="n"/>
      <c r="K431" s="7" t="n"/>
      <c r="L431" s="7" t="n"/>
      <c r="O431" s="11" t="n"/>
      <c r="P431">
        <f>IF($A431="","",IF($V431=1,Settings!$C$6,Settings!$C$7)*1)</f>
        <v/>
      </c>
      <c r="Q431" s="7">
        <f>IF($A431="","",P431*K431)</f>
        <v/>
      </c>
      <c r="R431" s="7">
        <f>IF($A431="","",K431-Q431)</f>
        <v/>
      </c>
      <c r="S431" s="7">
        <f>IF($A431="","",R431-F431)</f>
        <v/>
      </c>
      <c r="T431">
        <f>IF($A431="","",IF(COUNTIF($A$2:$A431,$A431)=1,1,0))</f>
        <v/>
      </c>
      <c r="U431">
        <f>IF($T431=1,SUMPRODUCT(--($W$2:$W$501&lt;$W431))+1,"")</f>
        <v/>
      </c>
      <c r="V431">
        <f>IF($A431="","",1)</f>
        <v/>
      </c>
      <c r="W431">
        <f>IF($T431=1,IFERROR(VALUE(MID($A431,2,20)),1000000000)+ROW()/100000,"")</f>
        <v/>
      </c>
    </row>
    <row r="432">
      <c r="F432" s="7">
        <f>IF($A432="","",E432*K432/100)</f>
        <v/>
      </c>
      <c r="J432" s="7" t="n"/>
      <c r="K432" s="7" t="n"/>
      <c r="L432" s="7" t="n"/>
      <c r="O432" s="11" t="n"/>
      <c r="P432">
        <f>IF($A432="","",IF($V432=1,Settings!$C$6,Settings!$C$7)*1)</f>
        <v/>
      </c>
      <c r="Q432" s="7">
        <f>IF($A432="","",P432*K432)</f>
        <v/>
      </c>
      <c r="R432" s="7">
        <f>IF($A432="","",K432-Q432)</f>
        <v/>
      </c>
      <c r="S432" s="7">
        <f>IF($A432="","",R432-F432)</f>
        <v/>
      </c>
      <c r="T432">
        <f>IF($A432="","",IF(COUNTIF($A$2:$A432,$A432)=1,1,0))</f>
        <v/>
      </c>
      <c r="U432">
        <f>IF($T432=1,SUMPRODUCT(--($W$2:$W$501&lt;$W432))+1,"")</f>
        <v/>
      </c>
      <c r="V432">
        <f>IF($A432="","",1)</f>
        <v/>
      </c>
      <c r="W432">
        <f>IF($T432=1,IFERROR(VALUE(MID($A432,2,20)),1000000000)+ROW()/100000,"")</f>
        <v/>
      </c>
    </row>
    <row r="433">
      <c r="F433" s="7">
        <f>IF($A433="","",E433*K433/100)</f>
        <v/>
      </c>
      <c r="J433" s="7" t="n"/>
      <c r="K433" s="7" t="n"/>
      <c r="L433" s="7" t="n"/>
      <c r="O433" s="11" t="n"/>
      <c r="P433">
        <f>IF($A433="","",IF($V433=1,Settings!$C$6,Settings!$C$7)*1)</f>
        <v/>
      </c>
      <c r="Q433" s="7">
        <f>IF($A433="","",P433*K433)</f>
        <v/>
      </c>
      <c r="R433" s="7">
        <f>IF($A433="","",K433-Q433)</f>
        <v/>
      </c>
      <c r="S433" s="7">
        <f>IF($A433="","",R433-F433)</f>
        <v/>
      </c>
      <c r="T433">
        <f>IF($A433="","",IF(COUNTIF($A$2:$A433,$A433)=1,1,0))</f>
        <v/>
      </c>
      <c r="U433">
        <f>IF($T433=1,SUMPRODUCT(--($W$2:$W$501&lt;$W433))+1,"")</f>
        <v/>
      </c>
      <c r="V433">
        <f>IF($A433="","",1)</f>
        <v/>
      </c>
      <c r="W433">
        <f>IF($T433=1,IFERROR(VALUE(MID($A433,2,20)),1000000000)+ROW()/100000,"")</f>
        <v/>
      </c>
    </row>
    <row r="434">
      <c r="F434" s="7">
        <f>IF($A434="","",E434*K434/100)</f>
        <v/>
      </c>
      <c r="J434" s="7" t="n"/>
      <c r="K434" s="7" t="n"/>
      <c r="L434" s="7" t="n"/>
      <c r="O434" s="11" t="n"/>
      <c r="P434">
        <f>IF($A434="","",IF($V434=1,Settings!$C$6,Settings!$C$7)*1)</f>
        <v/>
      </c>
      <c r="Q434" s="7">
        <f>IF($A434="","",P434*K434)</f>
        <v/>
      </c>
      <c r="R434" s="7">
        <f>IF($A434="","",K434-Q434)</f>
        <v/>
      </c>
      <c r="S434" s="7">
        <f>IF($A434="","",R434-F434)</f>
        <v/>
      </c>
      <c r="T434">
        <f>IF($A434="","",IF(COUNTIF($A$2:$A434,$A434)=1,1,0))</f>
        <v/>
      </c>
      <c r="U434">
        <f>IF($T434=1,SUMPRODUCT(--($W$2:$W$501&lt;$W434))+1,"")</f>
        <v/>
      </c>
      <c r="V434">
        <f>IF($A434="","",1)</f>
        <v/>
      </c>
      <c r="W434">
        <f>IF($T434=1,IFERROR(VALUE(MID($A434,2,20)),1000000000)+ROW()/100000,"")</f>
        <v/>
      </c>
    </row>
    <row r="435">
      <c r="F435" s="7">
        <f>IF($A435="","",E435*K435/100)</f>
        <v/>
      </c>
      <c r="J435" s="7" t="n"/>
      <c r="K435" s="7" t="n"/>
      <c r="L435" s="7" t="n"/>
      <c r="O435" s="11" t="n"/>
      <c r="P435">
        <f>IF($A435="","",IF($V435=1,Settings!$C$6,Settings!$C$7)*1)</f>
        <v/>
      </c>
      <c r="Q435" s="7">
        <f>IF($A435="","",P435*K435)</f>
        <v/>
      </c>
      <c r="R435" s="7">
        <f>IF($A435="","",K435-Q435)</f>
        <v/>
      </c>
      <c r="S435" s="7">
        <f>IF($A435="","",R435-F435)</f>
        <v/>
      </c>
      <c r="T435">
        <f>IF($A435="","",IF(COUNTIF($A$2:$A435,$A435)=1,1,0))</f>
        <v/>
      </c>
      <c r="U435">
        <f>IF($T435=1,SUMPRODUCT(--($W$2:$W$501&lt;$W435))+1,"")</f>
        <v/>
      </c>
      <c r="V435">
        <f>IF($A435="","",1)</f>
        <v/>
      </c>
      <c r="W435">
        <f>IF($T435=1,IFERROR(VALUE(MID($A435,2,20)),1000000000)+ROW()/100000,"")</f>
        <v/>
      </c>
    </row>
    <row r="436">
      <c r="F436" s="7">
        <f>IF($A436="","",E436*K436/100)</f>
        <v/>
      </c>
      <c r="J436" s="7" t="n"/>
      <c r="K436" s="7" t="n"/>
      <c r="L436" s="7" t="n"/>
      <c r="O436" s="11" t="n"/>
      <c r="P436">
        <f>IF($A436="","",IF($V436=1,Settings!$C$6,Settings!$C$7)*1)</f>
        <v/>
      </c>
      <c r="Q436" s="7">
        <f>IF($A436="","",P436*K436)</f>
        <v/>
      </c>
      <c r="R436" s="7">
        <f>IF($A436="","",K436-Q436)</f>
        <v/>
      </c>
      <c r="S436" s="7">
        <f>IF($A436="","",R436-F436)</f>
        <v/>
      </c>
      <c r="T436">
        <f>IF($A436="","",IF(COUNTIF($A$2:$A436,$A436)=1,1,0))</f>
        <v/>
      </c>
      <c r="U436">
        <f>IF($T436=1,SUMPRODUCT(--($W$2:$W$501&lt;$W436))+1,"")</f>
        <v/>
      </c>
      <c r="V436">
        <f>IF($A436="","",1)</f>
        <v/>
      </c>
      <c r="W436">
        <f>IF($T436=1,IFERROR(VALUE(MID($A436,2,20)),1000000000)+ROW()/100000,"")</f>
        <v/>
      </c>
    </row>
    <row r="437">
      <c r="F437" s="7">
        <f>IF($A437="","",E437*K437/100)</f>
        <v/>
      </c>
      <c r="J437" s="7" t="n"/>
      <c r="K437" s="7" t="n"/>
      <c r="L437" s="7" t="n"/>
      <c r="O437" s="11" t="n"/>
      <c r="P437">
        <f>IF($A437="","",IF($V437=1,Settings!$C$6,Settings!$C$7)*1)</f>
        <v/>
      </c>
      <c r="Q437" s="7">
        <f>IF($A437="","",P437*K437)</f>
        <v/>
      </c>
      <c r="R437" s="7">
        <f>IF($A437="","",K437-Q437)</f>
        <v/>
      </c>
      <c r="S437" s="7">
        <f>IF($A437="","",R437-F437)</f>
        <v/>
      </c>
      <c r="T437">
        <f>IF($A437="","",IF(COUNTIF($A$2:$A437,$A437)=1,1,0))</f>
        <v/>
      </c>
      <c r="U437">
        <f>IF($T437=1,SUMPRODUCT(--($W$2:$W$501&lt;$W437))+1,"")</f>
        <v/>
      </c>
      <c r="V437">
        <f>IF($A437="","",1)</f>
        <v/>
      </c>
      <c r="W437">
        <f>IF($T437=1,IFERROR(VALUE(MID($A437,2,20)),1000000000)+ROW()/100000,"")</f>
        <v/>
      </c>
    </row>
    <row r="438">
      <c r="F438" s="7">
        <f>IF($A438="","",E438*K438/100)</f>
        <v/>
      </c>
      <c r="J438" s="7" t="n"/>
      <c r="K438" s="7" t="n"/>
      <c r="L438" s="7" t="n"/>
      <c r="O438" s="11" t="n"/>
      <c r="P438">
        <f>IF($A438="","",IF($V438=1,Settings!$C$6,Settings!$C$7)*1)</f>
        <v/>
      </c>
      <c r="Q438" s="7">
        <f>IF($A438="","",P438*K438)</f>
        <v/>
      </c>
      <c r="R438" s="7">
        <f>IF($A438="","",K438-Q438)</f>
        <v/>
      </c>
      <c r="S438" s="7">
        <f>IF($A438="","",R438-F438)</f>
        <v/>
      </c>
      <c r="T438">
        <f>IF($A438="","",IF(COUNTIF($A$2:$A438,$A438)=1,1,0))</f>
        <v/>
      </c>
      <c r="U438">
        <f>IF($T438=1,SUMPRODUCT(--($W$2:$W$501&lt;$W438))+1,"")</f>
        <v/>
      </c>
      <c r="V438">
        <f>IF($A438="","",1)</f>
        <v/>
      </c>
      <c r="W438">
        <f>IF($T438=1,IFERROR(VALUE(MID($A438,2,20)),1000000000)+ROW()/100000,"")</f>
        <v/>
      </c>
    </row>
    <row r="439">
      <c r="F439" s="7">
        <f>IF($A439="","",E439*K439/100)</f>
        <v/>
      </c>
      <c r="J439" s="7" t="n"/>
      <c r="K439" s="7" t="n"/>
      <c r="L439" s="7" t="n"/>
      <c r="O439" s="11" t="n"/>
      <c r="P439">
        <f>IF($A439="","",IF($V439=1,Settings!$C$6,Settings!$C$7)*1)</f>
        <v/>
      </c>
      <c r="Q439" s="7">
        <f>IF($A439="","",P439*K439)</f>
        <v/>
      </c>
      <c r="R439" s="7">
        <f>IF($A439="","",K439-Q439)</f>
        <v/>
      </c>
      <c r="S439" s="7">
        <f>IF($A439="","",R439-F439)</f>
        <v/>
      </c>
      <c r="T439">
        <f>IF($A439="","",IF(COUNTIF($A$2:$A439,$A439)=1,1,0))</f>
        <v/>
      </c>
      <c r="U439">
        <f>IF($T439=1,SUMPRODUCT(--($W$2:$W$501&lt;$W439))+1,"")</f>
        <v/>
      </c>
      <c r="V439">
        <f>IF($A439="","",1)</f>
        <v/>
      </c>
      <c r="W439">
        <f>IF($T439=1,IFERROR(VALUE(MID($A439,2,20)),1000000000)+ROW()/100000,"")</f>
        <v/>
      </c>
    </row>
    <row r="440">
      <c r="F440" s="7">
        <f>IF($A440="","",E440*K440/100)</f>
        <v/>
      </c>
      <c r="J440" s="7" t="n"/>
      <c r="K440" s="7" t="n"/>
      <c r="L440" s="7" t="n"/>
      <c r="O440" s="11" t="n"/>
      <c r="P440">
        <f>IF($A440="","",IF($V440=1,Settings!$C$6,Settings!$C$7)*1)</f>
        <v/>
      </c>
      <c r="Q440" s="7">
        <f>IF($A440="","",P440*K440)</f>
        <v/>
      </c>
      <c r="R440" s="7">
        <f>IF($A440="","",K440-Q440)</f>
        <v/>
      </c>
      <c r="S440" s="7">
        <f>IF($A440="","",R440-F440)</f>
        <v/>
      </c>
      <c r="T440">
        <f>IF($A440="","",IF(COUNTIF($A$2:$A440,$A440)=1,1,0))</f>
        <v/>
      </c>
      <c r="U440">
        <f>IF($T440=1,SUMPRODUCT(--($W$2:$W$501&lt;$W440))+1,"")</f>
        <v/>
      </c>
      <c r="V440">
        <f>IF($A440="","",1)</f>
        <v/>
      </c>
      <c r="W440">
        <f>IF($T440=1,IFERROR(VALUE(MID($A440,2,20)),1000000000)+ROW()/100000,"")</f>
        <v/>
      </c>
    </row>
    <row r="441">
      <c r="F441" s="7">
        <f>IF($A441="","",E441*K441/100)</f>
        <v/>
      </c>
      <c r="J441" s="7" t="n"/>
      <c r="K441" s="7" t="n"/>
      <c r="L441" s="7" t="n"/>
      <c r="O441" s="11" t="n"/>
      <c r="P441">
        <f>IF($A441="","",IF($V441=1,Settings!$C$6,Settings!$C$7)*1)</f>
        <v/>
      </c>
      <c r="Q441" s="7">
        <f>IF($A441="","",P441*K441)</f>
        <v/>
      </c>
      <c r="R441" s="7">
        <f>IF($A441="","",K441-Q441)</f>
        <v/>
      </c>
      <c r="S441" s="7">
        <f>IF($A441="","",R441-F441)</f>
        <v/>
      </c>
      <c r="T441">
        <f>IF($A441="","",IF(COUNTIF($A$2:$A441,$A441)=1,1,0))</f>
        <v/>
      </c>
      <c r="U441">
        <f>IF($T441=1,SUMPRODUCT(--($W$2:$W$501&lt;$W441))+1,"")</f>
        <v/>
      </c>
      <c r="V441">
        <f>IF($A441="","",1)</f>
        <v/>
      </c>
      <c r="W441">
        <f>IF($T441=1,IFERROR(VALUE(MID($A441,2,20)),1000000000)+ROW()/100000,"")</f>
        <v/>
      </c>
    </row>
    <row r="442">
      <c r="F442" s="7">
        <f>IF($A442="","",E442*K442/100)</f>
        <v/>
      </c>
      <c r="J442" s="7" t="n"/>
      <c r="K442" s="7" t="n"/>
      <c r="L442" s="7" t="n"/>
      <c r="O442" s="11" t="n"/>
      <c r="P442">
        <f>IF($A442="","",IF($V442=1,Settings!$C$6,Settings!$C$7)*1)</f>
        <v/>
      </c>
      <c r="Q442" s="7">
        <f>IF($A442="","",P442*K442)</f>
        <v/>
      </c>
      <c r="R442" s="7">
        <f>IF($A442="","",K442-Q442)</f>
        <v/>
      </c>
      <c r="S442" s="7">
        <f>IF($A442="","",R442-F442)</f>
        <v/>
      </c>
      <c r="T442">
        <f>IF($A442="","",IF(COUNTIF($A$2:$A442,$A442)=1,1,0))</f>
        <v/>
      </c>
      <c r="U442">
        <f>IF($T442=1,SUMPRODUCT(--($W$2:$W$501&lt;$W442))+1,"")</f>
        <v/>
      </c>
      <c r="V442">
        <f>IF($A442="","",1)</f>
        <v/>
      </c>
      <c r="W442">
        <f>IF($T442=1,IFERROR(VALUE(MID($A442,2,20)),1000000000)+ROW()/100000,"")</f>
        <v/>
      </c>
    </row>
    <row r="443">
      <c r="F443" s="7">
        <f>IF($A443="","",E443*K443/100)</f>
        <v/>
      </c>
      <c r="J443" s="7" t="n"/>
      <c r="K443" s="7" t="n"/>
      <c r="L443" s="7" t="n"/>
      <c r="O443" s="11" t="n"/>
      <c r="P443">
        <f>IF($A443="","",IF($V443=1,Settings!$C$6,Settings!$C$7)*1)</f>
        <v/>
      </c>
      <c r="Q443" s="7">
        <f>IF($A443="","",P443*K443)</f>
        <v/>
      </c>
      <c r="R443" s="7">
        <f>IF($A443="","",K443-Q443)</f>
        <v/>
      </c>
      <c r="S443" s="7">
        <f>IF($A443="","",R443-F443)</f>
        <v/>
      </c>
      <c r="T443">
        <f>IF($A443="","",IF(COUNTIF($A$2:$A443,$A443)=1,1,0))</f>
        <v/>
      </c>
      <c r="U443">
        <f>IF($T443=1,SUMPRODUCT(--($W$2:$W$501&lt;$W443))+1,"")</f>
        <v/>
      </c>
      <c r="V443">
        <f>IF($A443="","",1)</f>
        <v/>
      </c>
      <c r="W443">
        <f>IF($T443=1,IFERROR(VALUE(MID($A443,2,20)),1000000000)+ROW()/100000,"")</f>
        <v/>
      </c>
    </row>
    <row r="444">
      <c r="F444" s="7">
        <f>IF($A444="","",E444*K444/100)</f>
        <v/>
      </c>
      <c r="J444" s="7" t="n"/>
      <c r="K444" s="7" t="n"/>
      <c r="L444" s="7" t="n"/>
      <c r="O444" s="11" t="n"/>
      <c r="P444">
        <f>IF($A444="","",IF($V444=1,Settings!$C$6,Settings!$C$7)*1)</f>
        <v/>
      </c>
      <c r="Q444" s="7">
        <f>IF($A444="","",P444*K444)</f>
        <v/>
      </c>
      <c r="R444" s="7">
        <f>IF($A444="","",K444-Q444)</f>
        <v/>
      </c>
      <c r="S444" s="7">
        <f>IF($A444="","",R444-F444)</f>
        <v/>
      </c>
      <c r="T444">
        <f>IF($A444="","",IF(COUNTIF($A$2:$A444,$A444)=1,1,0))</f>
        <v/>
      </c>
      <c r="U444">
        <f>IF($T444=1,SUMPRODUCT(--($W$2:$W$501&lt;$W444))+1,"")</f>
        <v/>
      </c>
      <c r="V444">
        <f>IF($A444="","",1)</f>
        <v/>
      </c>
      <c r="W444">
        <f>IF($T444=1,IFERROR(VALUE(MID($A444,2,20)),1000000000)+ROW()/100000,"")</f>
        <v/>
      </c>
    </row>
    <row r="445">
      <c r="F445" s="7">
        <f>IF($A445="","",E445*K445/100)</f>
        <v/>
      </c>
      <c r="J445" s="7" t="n"/>
      <c r="K445" s="7" t="n"/>
      <c r="L445" s="7" t="n"/>
      <c r="O445" s="11" t="n"/>
      <c r="P445">
        <f>IF($A445="","",IF($V445=1,Settings!$C$6,Settings!$C$7)*1)</f>
        <v/>
      </c>
      <c r="Q445" s="7">
        <f>IF($A445="","",P445*K445)</f>
        <v/>
      </c>
      <c r="R445" s="7">
        <f>IF($A445="","",K445-Q445)</f>
        <v/>
      </c>
      <c r="S445" s="7">
        <f>IF($A445="","",R445-F445)</f>
        <v/>
      </c>
      <c r="T445">
        <f>IF($A445="","",IF(COUNTIF($A$2:$A445,$A445)=1,1,0))</f>
        <v/>
      </c>
      <c r="U445">
        <f>IF($T445=1,SUMPRODUCT(--($W$2:$W$501&lt;$W445))+1,"")</f>
        <v/>
      </c>
      <c r="V445">
        <f>IF($A445="","",1)</f>
        <v/>
      </c>
      <c r="W445">
        <f>IF($T445=1,IFERROR(VALUE(MID($A445,2,20)),1000000000)+ROW()/100000,"")</f>
        <v/>
      </c>
    </row>
    <row r="446">
      <c r="F446" s="7">
        <f>IF($A446="","",E446*K446/100)</f>
        <v/>
      </c>
      <c r="J446" s="7" t="n"/>
      <c r="K446" s="7" t="n"/>
      <c r="L446" s="7" t="n"/>
      <c r="O446" s="11" t="n"/>
      <c r="P446">
        <f>IF($A446="","",IF($V446=1,Settings!$C$6,Settings!$C$7)*1)</f>
        <v/>
      </c>
      <c r="Q446" s="7">
        <f>IF($A446="","",P446*K446)</f>
        <v/>
      </c>
      <c r="R446" s="7">
        <f>IF($A446="","",K446-Q446)</f>
        <v/>
      </c>
      <c r="S446" s="7">
        <f>IF($A446="","",R446-F446)</f>
        <v/>
      </c>
      <c r="T446">
        <f>IF($A446="","",IF(COUNTIF($A$2:$A446,$A446)=1,1,0))</f>
        <v/>
      </c>
      <c r="U446">
        <f>IF($T446=1,SUMPRODUCT(--($W$2:$W$501&lt;$W446))+1,"")</f>
        <v/>
      </c>
      <c r="V446">
        <f>IF($A446="","",1)</f>
        <v/>
      </c>
      <c r="W446">
        <f>IF($T446=1,IFERROR(VALUE(MID($A446,2,20)),1000000000)+ROW()/100000,"")</f>
        <v/>
      </c>
    </row>
    <row r="447">
      <c r="F447" s="7">
        <f>IF($A447="","",E447*K447/100)</f>
        <v/>
      </c>
      <c r="J447" s="7" t="n"/>
      <c r="K447" s="7" t="n"/>
      <c r="L447" s="7" t="n"/>
      <c r="O447" s="11" t="n"/>
      <c r="P447">
        <f>IF($A447="","",IF($V447=1,Settings!$C$6,Settings!$C$7)*1)</f>
        <v/>
      </c>
      <c r="Q447" s="7">
        <f>IF($A447="","",P447*K447)</f>
        <v/>
      </c>
      <c r="R447" s="7">
        <f>IF($A447="","",K447-Q447)</f>
        <v/>
      </c>
      <c r="S447" s="7">
        <f>IF($A447="","",R447-F447)</f>
        <v/>
      </c>
      <c r="T447">
        <f>IF($A447="","",IF(COUNTIF($A$2:$A447,$A447)=1,1,0))</f>
        <v/>
      </c>
      <c r="U447">
        <f>IF($T447=1,SUMPRODUCT(--($W$2:$W$501&lt;$W447))+1,"")</f>
        <v/>
      </c>
      <c r="V447">
        <f>IF($A447="","",1)</f>
        <v/>
      </c>
      <c r="W447">
        <f>IF($T447=1,IFERROR(VALUE(MID($A447,2,20)),1000000000)+ROW()/100000,"")</f>
        <v/>
      </c>
    </row>
    <row r="448">
      <c r="F448" s="7">
        <f>IF($A448="","",E448*K448/100)</f>
        <v/>
      </c>
      <c r="J448" s="7" t="n"/>
      <c r="K448" s="7" t="n"/>
      <c r="L448" s="7" t="n"/>
      <c r="O448" s="11" t="n"/>
      <c r="P448">
        <f>IF($A448="","",IF($V448=1,Settings!$C$6,Settings!$C$7)*1)</f>
        <v/>
      </c>
      <c r="Q448" s="7">
        <f>IF($A448="","",P448*K448)</f>
        <v/>
      </c>
      <c r="R448" s="7">
        <f>IF($A448="","",K448-Q448)</f>
        <v/>
      </c>
      <c r="S448" s="7">
        <f>IF($A448="","",R448-F448)</f>
        <v/>
      </c>
      <c r="T448">
        <f>IF($A448="","",IF(COUNTIF($A$2:$A448,$A448)=1,1,0))</f>
        <v/>
      </c>
      <c r="U448">
        <f>IF($T448=1,SUMPRODUCT(--($W$2:$W$501&lt;$W448))+1,"")</f>
        <v/>
      </c>
      <c r="V448">
        <f>IF($A448="","",1)</f>
        <v/>
      </c>
      <c r="W448">
        <f>IF($T448=1,IFERROR(VALUE(MID($A448,2,20)),1000000000)+ROW()/100000,"")</f>
        <v/>
      </c>
    </row>
    <row r="449">
      <c r="F449" s="7">
        <f>IF($A449="","",E449*K449/100)</f>
        <v/>
      </c>
      <c r="J449" s="7" t="n"/>
      <c r="K449" s="7" t="n"/>
      <c r="L449" s="7" t="n"/>
      <c r="O449" s="11" t="n"/>
      <c r="P449">
        <f>IF($A449="","",IF($V449=1,Settings!$C$6,Settings!$C$7)*1)</f>
        <v/>
      </c>
      <c r="Q449" s="7">
        <f>IF($A449="","",P449*K449)</f>
        <v/>
      </c>
      <c r="R449" s="7">
        <f>IF($A449="","",K449-Q449)</f>
        <v/>
      </c>
      <c r="S449" s="7">
        <f>IF($A449="","",R449-F449)</f>
        <v/>
      </c>
      <c r="T449">
        <f>IF($A449="","",IF(COUNTIF($A$2:$A449,$A449)=1,1,0))</f>
        <v/>
      </c>
      <c r="U449">
        <f>IF($T449=1,SUMPRODUCT(--($W$2:$W$501&lt;$W449))+1,"")</f>
        <v/>
      </c>
      <c r="V449">
        <f>IF($A449="","",1)</f>
        <v/>
      </c>
      <c r="W449">
        <f>IF($T449=1,IFERROR(VALUE(MID($A449,2,20)),1000000000)+ROW()/100000,"")</f>
        <v/>
      </c>
    </row>
    <row r="450">
      <c r="F450" s="7">
        <f>IF($A450="","",E450*K450/100)</f>
        <v/>
      </c>
      <c r="J450" s="7" t="n"/>
      <c r="K450" s="7" t="n"/>
      <c r="L450" s="7" t="n"/>
      <c r="O450" s="11" t="n"/>
      <c r="P450">
        <f>IF($A450="","",IF($V450=1,Settings!$C$6,Settings!$C$7)*1)</f>
        <v/>
      </c>
      <c r="Q450" s="7">
        <f>IF($A450="","",P450*K450)</f>
        <v/>
      </c>
      <c r="R450" s="7">
        <f>IF($A450="","",K450-Q450)</f>
        <v/>
      </c>
      <c r="S450" s="7">
        <f>IF($A450="","",R450-F450)</f>
        <v/>
      </c>
      <c r="T450">
        <f>IF($A450="","",IF(COUNTIF($A$2:$A450,$A450)=1,1,0))</f>
        <v/>
      </c>
      <c r="U450">
        <f>IF($T450=1,SUMPRODUCT(--($W$2:$W$501&lt;$W450))+1,"")</f>
        <v/>
      </c>
      <c r="V450">
        <f>IF($A450="","",1)</f>
        <v/>
      </c>
      <c r="W450">
        <f>IF($T450=1,IFERROR(VALUE(MID($A450,2,20)),1000000000)+ROW()/100000,"")</f>
        <v/>
      </c>
    </row>
    <row r="451">
      <c r="F451" s="7">
        <f>IF($A451="","",E451*K451/100)</f>
        <v/>
      </c>
      <c r="J451" s="7" t="n"/>
      <c r="K451" s="7" t="n"/>
      <c r="L451" s="7" t="n"/>
      <c r="O451" s="11" t="n"/>
      <c r="P451">
        <f>IF($A451="","",IF($V451=1,Settings!$C$6,Settings!$C$7)*1)</f>
        <v/>
      </c>
      <c r="Q451" s="7">
        <f>IF($A451="","",P451*K451)</f>
        <v/>
      </c>
      <c r="R451" s="7">
        <f>IF($A451="","",K451-Q451)</f>
        <v/>
      </c>
      <c r="S451" s="7">
        <f>IF($A451="","",R451-F451)</f>
        <v/>
      </c>
      <c r="T451">
        <f>IF($A451="","",IF(COUNTIF($A$2:$A451,$A451)=1,1,0))</f>
        <v/>
      </c>
      <c r="U451">
        <f>IF($T451=1,SUMPRODUCT(--($W$2:$W$501&lt;$W451))+1,"")</f>
        <v/>
      </c>
      <c r="V451">
        <f>IF($A451="","",1)</f>
        <v/>
      </c>
      <c r="W451">
        <f>IF($T451=1,IFERROR(VALUE(MID($A451,2,20)),1000000000)+ROW()/100000,"")</f>
        <v/>
      </c>
    </row>
    <row r="452">
      <c r="F452" s="7">
        <f>IF($A452="","",E452*K452/100)</f>
        <v/>
      </c>
      <c r="J452" s="7" t="n"/>
      <c r="K452" s="7" t="n"/>
      <c r="L452" s="7" t="n"/>
      <c r="O452" s="11" t="n"/>
      <c r="P452">
        <f>IF($A452="","",IF($V452=1,Settings!$C$6,Settings!$C$7)*1)</f>
        <v/>
      </c>
      <c r="Q452" s="7">
        <f>IF($A452="","",P452*K452)</f>
        <v/>
      </c>
      <c r="R452" s="7">
        <f>IF($A452="","",K452-Q452)</f>
        <v/>
      </c>
      <c r="S452" s="7">
        <f>IF($A452="","",R452-F452)</f>
        <v/>
      </c>
      <c r="T452">
        <f>IF($A452="","",IF(COUNTIF($A$2:$A452,$A452)=1,1,0))</f>
        <v/>
      </c>
      <c r="U452">
        <f>IF($T452=1,SUMPRODUCT(--($W$2:$W$501&lt;$W452))+1,"")</f>
        <v/>
      </c>
      <c r="V452">
        <f>IF($A452="","",1)</f>
        <v/>
      </c>
      <c r="W452">
        <f>IF($T452=1,IFERROR(VALUE(MID($A452,2,20)),1000000000)+ROW()/100000,"")</f>
        <v/>
      </c>
    </row>
    <row r="453">
      <c r="F453" s="7">
        <f>IF($A453="","",E453*K453/100)</f>
        <v/>
      </c>
      <c r="J453" s="7" t="n"/>
      <c r="K453" s="7" t="n"/>
      <c r="L453" s="7" t="n"/>
      <c r="O453" s="11" t="n"/>
      <c r="P453">
        <f>IF($A453="","",IF($V453=1,Settings!$C$6,Settings!$C$7)*1)</f>
        <v/>
      </c>
      <c r="Q453" s="7">
        <f>IF($A453="","",P453*K453)</f>
        <v/>
      </c>
      <c r="R453" s="7">
        <f>IF($A453="","",K453-Q453)</f>
        <v/>
      </c>
      <c r="S453" s="7">
        <f>IF($A453="","",R453-F453)</f>
        <v/>
      </c>
      <c r="T453">
        <f>IF($A453="","",IF(COUNTIF($A$2:$A453,$A453)=1,1,0))</f>
        <v/>
      </c>
      <c r="U453">
        <f>IF($T453=1,SUMPRODUCT(--($W$2:$W$501&lt;$W453))+1,"")</f>
        <v/>
      </c>
      <c r="V453">
        <f>IF($A453="","",1)</f>
        <v/>
      </c>
      <c r="W453">
        <f>IF($T453=1,IFERROR(VALUE(MID($A453,2,20)),1000000000)+ROW()/100000,"")</f>
        <v/>
      </c>
    </row>
    <row r="454">
      <c r="F454" s="7">
        <f>IF($A454="","",E454*K454/100)</f>
        <v/>
      </c>
      <c r="J454" s="7" t="n"/>
      <c r="K454" s="7" t="n"/>
      <c r="L454" s="7" t="n"/>
      <c r="O454" s="11" t="n"/>
      <c r="P454">
        <f>IF($A454="","",IF($V454=1,Settings!$C$6,Settings!$C$7)*1)</f>
        <v/>
      </c>
      <c r="Q454" s="7">
        <f>IF($A454="","",P454*K454)</f>
        <v/>
      </c>
      <c r="R454" s="7">
        <f>IF($A454="","",K454-Q454)</f>
        <v/>
      </c>
      <c r="S454" s="7">
        <f>IF($A454="","",R454-F454)</f>
        <v/>
      </c>
      <c r="T454">
        <f>IF($A454="","",IF(COUNTIF($A$2:$A454,$A454)=1,1,0))</f>
        <v/>
      </c>
      <c r="U454">
        <f>IF($T454=1,SUMPRODUCT(--($W$2:$W$501&lt;$W454))+1,"")</f>
        <v/>
      </c>
      <c r="V454">
        <f>IF($A454="","",1)</f>
        <v/>
      </c>
      <c r="W454">
        <f>IF($T454=1,IFERROR(VALUE(MID($A454,2,20)),1000000000)+ROW()/100000,"")</f>
        <v/>
      </c>
    </row>
    <row r="455">
      <c r="F455" s="7">
        <f>IF($A455="","",E455*K455/100)</f>
        <v/>
      </c>
      <c r="J455" s="7" t="n"/>
      <c r="K455" s="7" t="n"/>
      <c r="L455" s="7" t="n"/>
      <c r="O455" s="11" t="n"/>
      <c r="P455">
        <f>IF($A455="","",IF($V455=1,Settings!$C$6,Settings!$C$7)*1)</f>
        <v/>
      </c>
      <c r="Q455" s="7">
        <f>IF($A455="","",P455*K455)</f>
        <v/>
      </c>
      <c r="R455" s="7">
        <f>IF($A455="","",K455-Q455)</f>
        <v/>
      </c>
      <c r="S455" s="7">
        <f>IF($A455="","",R455-F455)</f>
        <v/>
      </c>
      <c r="T455">
        <f>IF($A455="","",IF(COUNTIF($A$2:$A455,$A455)=1,1,0))</f>
        <v/>
      </c>
      <c r="U455">
        <f>IF($T455=1,SUMPRODUCT(--($W$2:$W$501&lt;$W455))+1,"")</f>
        <v/>
      </c>
      <c r="V455">
        <f>IF($A455="","",1)</f>
        <v/>
      </c>
      <c r="W455">
        <f>IF($T455=1,IFERROR(VALUE(MID($A455,2,20)),1000000000)+ROW()/100000,"")</f>
        <v/>
      </c>
    </row>
    <row r="456">
      <c r="F456" s="7">
        <f>IF($A456="","",E456*K456/100)</f>
        <v/>
      </c>
      <c r="J456" s="7" t="n"/>
      <c r="K456" s="7" t="n"/>
      <c r="L456" s="7" t="n"/>
      <c r="O456" s="11" t="n"/>
      <c r="P456">
        <f>IF($A456="","",IF($V456=1,Settings!$C$6,Settings!$C$7)*1)</f>
        <v/>
      </c>
      <c r="Q456" s="7">
        <f>IF($A456="","",P456*K456)</f>
        <v/>
      </c>
      <c r="R456" s="7">
        <f>IF($A456="","",K456-Q456)</f>
        <v/>
      </c>
      <c r="S456" s="7">
        <f>IF($A456="","",R456-F456)</f>
        <v/>
      </c>
      <c r="T456">
        <f>IF($A456="","",IF(COUNTIF($A$2:$A456,$A456)=1,1,0))</f>
        <v/>
      </c>
      <c r="U456">
        <f>IF($T456=1,SUMPRODUCT(--($W$2:$W$501&lt;$W456))+1,"")</f>
        <v/>
      </c>
      <c r="V456">
        <f>IF($A456="","",1)</f>
        <v/>
      </c>
      <c r="W456">
        <f>IF($T456=1,IFERROR(VALUE(MID($A456,2,20)),1000000000)+ROW()/100000,"")</f>
        <v/>
      </c>
    </row>
    <row r="457">
      <c r="F457" s="7">
        <f>IF($A457="","",E457*K457/100)</f>
        <v/>
      </c>
      <c r="J457" s="7" t="n"/>
      <c r="K457" s="7" t="n"/>
      <c r="L457" s="7" t="n"/>
      <c r="O457" s="11" t="n"/>
      <c r="P457">
        <f>IF($A457="","",IF($V457=1,Settings!$C$6,Settings!$C$7)*1)</f>
        <v/>
      </c>
      <c r="Q457" s="7">
        <f>IF($A457="","",P457*K457)</f>
        <v/>
      </c>
      <c r="R457" s="7">
        <f>IF($A457="","",K457-Q457)</f>
        <v/>
      </c>
      <c r="S457" s="7">
        <f>IF($A457="","",R457-F457)</f>
        <v/>
      </c>
      <c r="T457">
        <f>IF($A457="","",IF(COUNTIF($A$2:$A457,$A457)=1,1,0))</f>
        <v/>
      </c>
      <c r="U457">
        <f>IF($T457=1,SUMPRODUCT(--($W$2:$W$501&lt;$W457))+1,"")</f>
        <v/>
      </c>
      <c r="V457">
        <f>IF($A457="","",1)</f>
        <v/>
      </c>
      <c r="W457">
        <f>IF($T457=1,IFERROR(VALUE(MID($A457,2,20)),1000000000)+ROW()/100000,"")</f>
        <v/>
      </c>
    </row>
    <row r="458">
      <c r="F458" s="7">
        <f>IF($A458="","",E458*K458/100)</f>
        <v/>
      </c>
      <c r="J458" s="7" t="n"/>
      <c r="K458" s="7" t="n"/>
      <c r="L458" s="7" t="n"/>
      <c r="O458" s="11" t="n"/>
      <c r="P458">
        <f>IF($A458="","",IF($V458=1,Settings!$C$6,Settings!$C$7)*1)</f>
        <v/>
      </c>
      <c r="Q458" s="7">
        <f>IF($A458="","",P458*K458)</f>
        <v/>
      </c>
      <c r="R458" s="7">
        <f>IF($A458="","",K458-Q458)</f>
        <v/>
      </c>
      <c r="S458" s="7">
        <f>IF($A458="","",R458-F458)</f>
        <v/>
      </c>
      <c r="T458">
        <f>IF($A458="","",IF(COUNTIF($A$2:$A458,$A458)=1,1,0))</f>
        <v/>
      </c>
      <c r="U458">
        <f>IF($T458=1,SUMPRODUCT(--($W$2:$W$501&lt;$W458))+1,"")</f>
        <v/>
      </c>
      <c r="V458">
        <f>IF($A458="","",1)</f>
        <v/>
      </c>
      <c r="W458">
        <f>IF($T458=1,IFERROR(VALUE(MID($A458,2,20)),1000000000)+ROW()/100000,"")</f>
        <v/>
      </c>
    </row>
    <row r="459">
      <c r="F459" s="7">
        <f>IF($A459="","",E459*K459/100)</f>
        <v/>
      </c>
      <c r="J459" s="7" t="n"/>
      <c r="K459" s="7" t="n"/>
      <c r="L459" s="7" t="n"/>
      <c r="O459" s="11" t="n"/>
      <c r="P459">
        <f>IF($A459="","",IF($V459=1,Settings!$C$6,Settings!$C$7)*1)</f>
        <v/>
      </c>
      <c r="Q459" s="7">
        <f>IF($A459="","",P459*K459)</f>
        <v/>
      </c>
      <c r="R459" s="7">
        <f>IF($A459="","",K459-Q459)</f>
        <v/>
      </c>
      <c r="S459" s="7">
        <f>IF($A459="","",R459-F459)</f>
        <v/>
      </c>
      <c r="T459">
        <f>IF($A459="","",IF(COUNTIF($A$2:$A459,$A459)=1,1,0))</f>
        <v/>
      </c>
      <c r="U459">
        <f>IF($T459=1,SUMPRODUCT(--($W$2:$W$501&lt;$W459))+1,"")</f>
        <v/>
      </c>
      <c r="V459">
        <f>IF($A459="","",1)</f>
        <v/>
      </c>
      <c r="W459">
        <f>IF($T459=1,IFERROR(VALUE(MID($A459,2,20)),1000000000)+ROW()/100000,"")</f>
        <v/>
      </c>
    </row>
    <row r="460">
      <c r="F460" s="7">
        <f>IF($A460="","",E460*K460/100)</f>
        <v/>
      </c>
      <c r="J460" s="7" t="n"/>
      <c r="K460" s="7" t="n"/>
      <c r="L460" s="7" t="n"/>
      <c r="O460" s="11" t="n"/>
      <c r="P460">
        <f>IF($A460="","",IF($V460=1,Settings!$C$6,Settings!$C$7)*1)</f>
        <v/>
      </c>
      <c r="Q460" s="7">
        <f>IF($A460="","",P460*K460)</f>
        <v/>
      </c>
      <c r="R460" s="7">
        <f>IF($A460="","",K460-Q460)</f>
        <v/>
      </c>
      <c r="S460" s="7">
        <f>IF($A460="","",R460-F460)</f>
        <v/>
      </c>
      <c r="T460">
        <f>IF($A460="","",IF(COUNTIF($A$2:$A460,$A460)=1,1,0))</f>
        <v/>
      </c>
      <c r="U460">
        <f>IF($T460=1,SUMPRODUCT(--($W$2:$W$501&lt;$W460))+1,"")</f>
        <v/>
      </c>
      <c r="V460">
        <f>IF($A460="","",1)</f>
        <v/>
      </c>
      <c r="W460">
        <f>IF($T460=1,IFERROR(VALUE(MID($A460,2,20)),1000000000)+ROW()/100000,"")</f>
        <v/>
      </c>
    </row>
    <row r="461">
      <c r="F461" s="7">
        <f>IF($A461="","",E461*K461/100)</f>
        <v/>
      </c>
      <c r="J461" s="7" t="n"/>
      <c r="K461" s="7" t="n"/>
      <c r="L461" s="7" t="n"/>
      <c r="O461" s="11" t="n"/>
      <c r="P461">
        <f>IF($A461="","",IF($V461=1,Settings!$C$6,Settings!$C$7)*1)</f>
        <v/>
      </c>
      <c r="Q461" s="7">
        <f>IF($A461="","",P461*K461)</f>
        <v/>
      </c>
      <c r="R461" s="7">
        <f>IF($A461="","",K461-Q461)</f>
        <v/>
      </c>
      <c r="S461" s="7">
        <f>IF($A461="","",R461-F461)</f>
        <v/>
      </c>
      <c r="T461">
        <f>IF($A461="","",IF(COUNTIF($A$2:$A461,$A461)=1,1,0))</f>
        <v/>
      </c>
      <c r="U461">
        <f>IF($T461=1,SUMPRODUCT(--($W$2:$W$501&lt;$W461))+1,"")</f>
        <v/>
      </c>
      <c r="V461">
        <f>IF($A461="","",1)</f>
        <v/>
      </c>
      <c r="W461">
        <f>IF($T461=1,IFERROR(VALUE(MID($A461,2,20)),1000000000)+ROW()/100000,"")</f>
        <v/>
      </c>
    </row>
    <row r="462">
      <c r="F462" s="7">
        <f>IF($A462="","",E462*K462/100)</f>
        <v/>
      </c>
      <c r="J462" s="7" t="n"/>
      <c r="K462" s="7" t="n"/>
      <c r="L462" s="7" t="n"/>
      <c r="O462" s="11" t="n"/>
      <c r="P462">
        <f>IF($A462="","",IF($V462=1,Settings!$C$6,Settings!$C$7)*1)</f>
        <v/>
      </c>
      <c r="Q462" s="7">
        <f>IF($A462="","",P462*K462)</f>
        <v/>
      </c>
      <c r="R462" s="7">
        <f>IF($A462="","",K462-Q462)</f>
        <v/>
      </c>
      <c r="S462" s="7">
        <f>IF($A462="","",R462-F462)</f>
        <v/>
      </c>
      <c r="T462">
        <f>IF($A462="","",IF(COUNTIF($A$2:$A462,$A462)=1,1,0))</f>
        <v/>
      </c>
      <c r="U462">
        <f>IF($T462=1,SUMPRODUCT(--($W$2:$W$501&lt;$W462))+1,"")</f>
        <v/>
      </c>
      <c r="V462">
        <f>IF($A462="","",1)</f>
        <v/>
      </c>
      <c r="W462">
        <f>IF($T462=1,IFERROR(VALUE(MID($A462,2,20)),1000000000)+ROW()/100000,"")</f>
        <v/>
      </c>
    </row>
    <row r="463">
      <c r="F463" s="7">
        <f>IF($A463="","",E463*K463/100)</f>
        <v/>
      </c>
      <c r="J463" s="7" t="n"/>
      <c r="K463" s="7" t="n"/>
      <c r="L463" s="7" t="n"/>
      <c r="O463" s="11" t="n"/>
      <c r="P463">
        <f>IF($A463="","",IF($V463=1,Settings!$C$6,Settings!$C$7)*1)</f>
        <v/>
      </c>
      <c r="Q463" s="7">
        <f>IF($A463="","",P463*K463)</f>
        <v/>
      </c>
      <c r="R463" s="7">
        <f>IF($A463="","",K463-Q463)</f>
        <v/>
      </c>
      <c r="S463" s="7">
        <f>IF($A463="","",R463-F463)</f>
        <v/>
      </c>
      <c r="T463">
        <f>IF($A463="","",IF(COUNTIF($A$2:$A463,$A463)=1,1,0))</f>
        <v/>
      </c>
      <c r="U463">
        <f>IF($T463=1,SUMPRODUCT(--($W$2:$W$501&lt;$W463))+1,"")</f>
        <v/>
      </c>
      <c r="V463">
        <f>IF($A463="","",1)</f>
        <v/>
      </c>
      <c r="W463">
        <f>IF($T463=1,IFERROR(VALUE(MID($A463,2,20)),1000000000)+ROW()/100000,"")</f>
        <v/>
      </c>
    </row>
    <row r="464">
      <c r="F464" s="7">
        <f>IF($A464="","",E464*K464/100)</f>
        <v/>
      </c>
      <c r="J464" s="7" t="n"/>
      <c r="K464" s="7" t="n"/>
      <c r="L464" s="7" t="n"/>
      <c r="O464" s="11" t="n"/>
      <c r="P464">
        <f>IF($A464="","",IF($V464=1,Settings!$C$6,Settings!$C$7)*1)</f>
        <v/>
      </c>
      <c r="Q464" s="7">
        <f>IF($A464="","",P464*K464)</f>
        <v/>
      </c>
      <c r="R464" s="7">
        <f>IF($A464="","",K464-Q464)</f>
        <v/>
      </c>
      <c r="S464" s="7">
        <f>IF($A464="","",R464-F464)</f>
        <v/>
      </c>
      <c r="T464">
        <f>IF($A464="","",IF(COUNTIF($A$2:$A464,$A464)=1,1,0))</f>
        <v/>
      </c>
      <c r="U464">
        <f>IF($T464=1,SUMPRODUCT(--($W$2:$W$501&lt;$W464))+1,"")</f>
        <v/>
      </c>
      <c r="V464">
        <f>IF($A464="","",1)</f>
        <v/>
      </c>
      <c r="W464">
        <f>IF($T464=1,IFERROR(VALUE(MID($A464,2,20)),1000000000)+ROW()/100000,"")</f>
        <v/>
      </c>
    </row>
    <row r="465">
      <c r="F465" s="7">
        <f>IF($A465="","",E465*K465/100)</f>
        <v/>
      </c>
      <c r="J465" s="7" t="n"/>
      <c r="K465" s="7" t="n"/>
      <c r="L465" s="7" t="n"/>
      <c r="O465" s="11" t="n"/>
      <c r="P465">
        <f>IF($A465="","",IF($V465=1,Settings!$C$6,Settings!$C$7)*1)</f>
        <v/>
      </c>
      <c r="Q465" s="7">
        <f>IF($A465="","",P465*K465)</f>
        <v/>
      </c>
      <c r="R465" s="7">
        <f>IF($A465="","",K465-Q465)</f>
        <v/>
      </c>
      <c r="S465" s="7">
        <f>IF($A465="","",R465-F465)</f>
        <v/>
      </c>
      <c r="T465">
        <f>IF($A465="","",IF(COUNTIF($A$2:$A465,$A465)=1,1,0))</f>
        <v/>
      </c>
      <c r="U465">
        <f>IF($T465=1,SUMPRODUCT(--($W$2:$W$501&lt;$W465))+1,"")</f>
        <v/>
      </c>
      <c r="V465">
        <f>IF($A465="","",1)</f>
        <v/>
      </c>
      <c r="W465">
        <f>IF($T465=1,IFERROR(VALUE(MID($A465,2,20)),1000000000)+ROW()/100000,"")</f>
        <v/>
      </c>
    </row>
    <row r="466">
      <c r="F466" s="7">
        <f>IF($A466="","",E466*K466/100)</f>
        <v/>
      </c>
      <c r="J466" s="7" t="n"/>
      <c r="K466" s="7" t="n"/>
      <c r="L466" s="7" t="n"/>
      <c r="O466" s="11" t="n"/>
      <c r="P466">
        <f>IF($A466="","",IF($V466=1,Settings!$C$6,Settings!$C$7)*1)</f>
        <v/>
      </c>
      <c r="Q466" s="7">
        <f>IF($A466="","",P466*K466)</f>
        <v/>
      </c>
      <c r="R466" s="7">
        <f>IF($A466="","",K466-Q466)</f>
        <v/>
      </c>
      <c r="S466" s="7">
        <f>IF($A466="","",R466-F466)</f>
        <v/>
      </c>
      <c r="T466">
        <f>IF($A466="","",IF(COUNTIF($A$2:$A466,$A466)=1,1,0))</f>
        <v/>
      </c>
      <c r="U466">
        <f>IF($T466=1,SUMPRODUCT(--($W$2:$W$501&lt;$W466))+1,"")</f>
        <v/>
      </c>
      <c r="V466">
        <f>IF($A466="","",1)</f>
        <v/>
      </c>
      <c r="W466">
        <f>IF($T466=1,IFERROR(VALUE(MID($A466,2,20)),1000000000)+ROW()/100000,"")</f>
        <v/>
      </c>
    </row>
    <row r="467">
      <c r="F467" s="7">
        <f>IF($A467="","",E467*K467/100)</f>
        <v/>
      </c>
      <c r="J467" s="7" t="n"/>
      <c r="K467" s="7" t="n"/>
      <c r="L467" s="7" t="n"/>
      <c r="O467" s="11" t="n"/>
      <c r="P467">
        <f>IF($A467="","",IF($V467=1,Settings!$C$6,Settings!$C$7)*1)</f>
        <v/>
      </c>
      <c r="Q467" s="7">
        <f>IF($A467="","",P467*K467)</f>
        <v/>
      </c>
      <c r="R467" s="7">
        <f>IF($A467="","",K467-Q467)</f>
        <v/>
      </c>
      <c r="S467" s="7">
        <f>IF($A467="","",R467-F467)</f>
        <v/>
      </c>
      <c r="T467">
        <f>IF($A467="","",IF(COUNTIF($A$2:$A467,$A467)=1,1,0))</f>
        <v/>
      </c>
      <c r="U467">
        <f>IF($T467=1,SUMPRODUCT(--($W$2:$W$501&lt;$W467))+1,"")</f>
        <v/>
      </c>
      <c r="V467">
        <f>IF($A467="","",1)</f>
        <v/>
      </c>
      <c r="W467">
        <f>IF($T467=1,IFERROR(VALUE(MID($A467,2,20)),1000000000)+ROW()/100000,"")</f>
        <v/>
      </c>
    </row>
    <row r="468">
      <c r="F468" s="7">
        <f>IF($A468="","",E468*K468/100)</f>
        <v/>
      </c>
      <c r="J468" s="7" t="n"/>
      <c r="K468" s="7" t="n"/>
      <c r="L468" s="7" t="n"/>
      <c r="O468" s="11" t="n"/>
      <c r="P468">
        <f>IF($A468="","",IF($V468=1,Settings!$C$6,Settings!$C$7)*1)</f>
        <v/>
      </c>
      <c r="Q468" s="7">
        <f>IF($A468="","",P468*K468)</f>
        <v/>
      </c>
      <c r="R468" s="7">
        <f>IF($A468="","",K468-Q468)</f>
        <v/>
      </c>
      <c r="S468" s="7">
        <f>IF($A468="","",R468-F468)</f>
        <v/>
      </c>
      <c r="T468">
        <f>IF($A468="","",IF(COUNTIF($A$2:$A468,$A468)=1,1,0))</f>
        <v/>
      </c>
      <c r="U468">
        <f>IF($T468=1,SUMPRODUCT(--($W$2:$W$501&lt;$W468))+1,"")</f>
        <v/>
      </c>
      <c r="V468">
        <f>IF($A468="","",1)</f>
        <v/>
      </c>
      <c r="W468">
        <f>IF($T468=1,IFERROR(VALUE(MID($A468,2,20)),1000000000)+ROW()/100000,"")</f>
        <v/>
      </c>
    </row>
    <row r="469">
      <c r="F469" s="7">
        <f>IF($A469="","",E469*K469/100)</f>
        <v/>
      </c>
      <c r="J469" s="7" t="n"/>
      <c r="K469" s="7" t="n"/>
      <c r="L469" s="7" t="n"/>
      <c r="O469" s="11" t="n"/>
      <c r="P469">
        <f>IF($A469="","",IF($V469=1,Settings!$C$6,Settings!$C$7)*1)</f>
        <v/>
      </c>
      <c r="Q469" s="7">
        <f>IF($A469="","",P469*K469)</f>
        <v/>
      </c>
      <c r="R469" s="7">
        <f>IF($A469="","",K469-Q469)</f>
        <v/>
      </c>
      <c r="S469" s="7">
        <f>IF($A469="","",R469-F469)</f>
        <v/>
      </c>
      <c r="T469">
        <f>IF($A469="","",IF(COUNTIF($A$2:$A469,$A469)=1,1,0))</f>
        <v/>
      </c>
      <c r="U469">
        <f>IF($T469=1,SUMPRODUCT(--($W$2:$W$501&lt;$W469))+1,"")</f>
        <v/>
      </c>
      <c r="V469">
        <f>IF($A469="","",1)</f>
        <v/>
      </c>
      <c r="W469">
        <f>IF($T469=1,IFERROR(VALUE(MID($A469,2,20)),1000000000)+ROW()/100000,"")</f>
        <v/>
      </c>
    </row>
    <row r="470">
      <c r="F470" s="7">
        <f>IF($A470="","",E470*K470/100)</f>
        <v/>
      </c>
      <c r="J470" s="7" t="n"/>
      <c r="K470" s="7" t="n"/>
      <c r="L470" s="7" t="n"/>
      <c r="O470" s="11" t="n"/>
      <c r="P470">
        <f>IF($A470="","",IF($V470=1,Settings!$C$6,Settings!$C$7)*1)</f>
        <v/>
      </c>
      <c r="Q470" s="7">
        <f>IF($A470="","",P470*K470)</f>
        <v/>
      </c>
      <c r="R470" s="7">
        <f>IF($A470="","",K470-Q470)</f>
        <v/>
      </c>
      <c r="S470" s="7">
        <f>IF($A470="","",R470-F470)</f>
        <v/>
      </c>
      <c r="T470">
        <f>IF($A470="","",IF(COUNTIF($A$2:$A470,$A470)=1,1,0))</f>
        <v/>
      </c>
      <c r="U470">
        <f>IF($T470=1,SUMPRODUCT(--($W$2:$W$501&lt;$W470))+1,"")</f>
        <v/>
      </c>
      <c r="V470">
        <f>IF($A470="","",1)</f>
        <v/>
      </c>
      <c r="W470">
        <f>IF($T470=1,IFERROR(VALUE(MID($A470,2,20)),1000000000)+ROW()/100000,"")</f>
        <v/>
      </c>
    </row>
    <row r="471">
      <c r="F471" s="7">
        <f>IF($A471="","",E471*K471/100)</f>
        <v/>
      </c>
      <c r="J471" s="7" t="n"/>
      <c r="K471" s="7" t="n"/>
      <c r="L471" s="7" t="n"/>
      <c r="O471" s="11" t="n"/>
      <c r="P471">
        <f>IF($A471="","",IF($V471=1,Settings!$C$6,Settings!$C$7)*1)</f>
        <v/>
      </c>
      <c r="Q471" s="7">
        <f>IF($A471="","",P471*K471)</f>
        <v/>
      </c>
      <c r="R471" s="7">
        <f>IF($A471="","",K471-Q471)</f>
        <v/>
      </c>
      <c r="S471" s="7">
        <f>IF($A471="","",R471-F471)</f>
        <v/>
      </c>
      <c r="T471">
        <f>IF($A471="","",IF(COUNTIF($A$2:$A471,$A471)=1,1,0))</f>
        <v/>
      </c>
      <c r="U471">
        <f>IF($T471=1,SUMPRODUCT(--($W$2:$W$501&lt;$W471))+1,"")</f>
        <v/>
      </c>
      <c r="V471">
        <f>IF($A471="","",1)</f>
        <v/>
      </c>
      <c r="W471">
        <f>IF($T471=1,IFERROR(VALUE(MID($A471,2,20)),1000000000)+ROW()/100000,"")</f>
        <v/>
      </c>
    </row>
    <row r="472">
      <c r="F472" s="7">
        <f>IF($A472="","",E472*K472/100)</f>
        <v/>
      </c>
      <c r="J472" s="7" t="n"/>
      <c r="K472" s="7" t="n"/>
      <c r="L472" s="7" t="n"/>
      <c r="O472" s="11" t="n"/>
      <c r="P472">
        <f>IF($A472="","",IF($V472=1,Settings!$C$6,Settings!$C$7)*1)</f>
        <v/>
      </c>
      <c r="Q472" s="7">
        <f>IF($A472="","",P472*K472)</f>
        <v/>
      </c>
      <c r="R472" s="7">
        <f>IF($A472="","",K472-Q472)</f>
        <v/>
      </c>
      <c r="S472" s="7">
        <f>IF($A472="","",R472-F472)</f>
        <v/>
      </c>
      <c r="T472">
        <f>IF($A472="","",IF(COUNTIF($A$2:$A472,$A472)=1,1,0))</f>
        <v/>
      </c>
      <c r="U472">
        <f>IF($T472=1,SUMPRODUCT(--($W$2:$W$501&lt;$W472))+1,"")</f>
        <v/>
      </c>
      <c r="V472">
        <f>IF($A472="","",1)</f>
        <v/>
      </c>
      <c r="W472">
        <f>IF($T472=1,IFERROR(VALUE(MID($A472,2,20)),1000000000)+ROW()/100000,"")</f>
        <v/>
      </c>
    </row>
    <row r="473">
      <c r="F473" s="7">
        <f>IF($A473="","",E473*K473/100)</f>
        <v/>
      </c>
      <c r="J473" s="7" t="n"/>
      <c r="K473" s="7" t="n"/>
      <c r="L473" s="7" t="n"/>
      <c r="O473" s="11" t="n"/>
      <c r="P473">
        <f>IF($A473="","",IF($V473=1,Settings!$C$6,Settings!$C$7)*1)</f>
        <v/>
      </c>
      <c r="Q473" s="7">
        <f>IF($A473="","",P473*K473)</f>
        <v/>
      </c>
      <c r="R473" s="7">
        <f>IF($A473="","",K473-Q473)</f>
        <v/>
      </c>
      <c r="S473" s="7">
        <f>IF($A473="","",R473-F473)</f>
        <v/>
      </c>
      <c r="T473">
        <f>IF($A473="","",IF(COUNTIF($A$2:$A473,$A473)=1,1,0))</f>
        <v/>
      </c>
      <c r="U473">
        <f>IF($T473=1,SUMPRODUCT(--($W$2:$W$501&lt;$W473))+1,"")</f>
        <v/>
      </c>
      <c r="V473">
        <f>IF($A473="","",1)</f>
        <v/>
      </c>
      <c r="W473">
        <f>IF($T473=1,IFERROR(VALUE(MID($A473,2,20)),1000000000)+ROW()/100000,"")</f>
        <v/>
      </c>
    </row>
    <row r="474">
      <c r="F474" s="7">
        <f>IF($A474="","",E474*K474/100)</f>
        <v/>
      </c>
      <c r="J474" s="7" t="n"/>
      <c r="K474" s="7" t="n"/>
      <c r="L474" s="7" t="n"/>
      <c r="O474" s="11" t="n"/>
      <c r="P474">
        <f>IF($A474="","",IF($V474=1,Settings!$C$6,Settings!$C$7)*1)</f>
        <v/>
      </c>
      <c r="Q474" s="7">
        <f>IF($A474="","",P474*K474)</f>
        <v/>
      </c>
      <c r="R474" s="7">
        <f>IF($A474="","",K474-Q474)</f>
        <v/>
      </c>
      <c r="S474" s="7">
        <f>IF($A474="","",R474-F474)</f>
        <v/>
      </c>
      <c r="T474">
        <f>IF($A474="","",IF(COUNTIF($A$2:$A474,$A474)=1,1,0))</f>
        <v/>
      </c>
      <c r="U474">
        <f>IF($T474=1,SUMPRODUCT(--($W$2:$W$501&lt;$W474))+1,"")</f>
        <v/>
      </c>
      <c r="V474">
        <f>IF($A474="","",1)</f>
        <v/>
      </c>
      <c r="W474">
        <f>IF($T474=1,IFERROR(VALUE(MID($A474,2,20)),1000000000)+ROW()/100000,"")</f>
        <v/>
      </c>
    </row>
    <row r="475">
      <c r="F475" s="7">
        <f>IF($A475="","",E475*K475/100)</f>
        <v/>
      </c>
      <c r="J475" s="7" t="n"/>
      <c r="K475" s="7" t="n"/>
      <c r="L475" s="7" t="n"/>
      <c r="O475" s="11" t="n"/>
      <c r="P475">
        <f>IF($A475="","",IF($V475=1,Settings!$C$6,Settings!$C$7)*1)</f>
        <v/>
      </c>
      <c r="Q475" s="7">
        <f>IF($A475="","",P475*K475)</f>
        <v/>
      </c>
      <c r="R475" s="7">
        <f>IF($A475="","",K475-Q475)</f>
        <v/>
      </c>
      <c r="S475" s="7">
        <f>IF($A475="","",R475-F475)</f>
        <v/>
      </c>
      <c r="T475">
        <f>IF($A475="","",IF(COUNTIF($A$2:$A475,$A475)=1,1,0))</f>
        <v/>
      </c>
      <c r="U475">
        <f>IF($T475=1,SUMPRODUCT(--($W$2:$W$501&lt;$W475))+1,"")</f>
        <v/>
      </c>
      <c r="V475">
        <f>IF($A475="","",1)</f>
        <v/>
      </c>
      <c r="W475">
        <f>IF($T475=1,IFERROR(VALUE(MID($A475,2,20)),1000000000)+ROW()/100000,"")</f>
        <v/>
      </c>
    </row>
    <row r="476">
      <c r="F476" s="7">
        <f>IF($A476="","",E476*K476/100)</f>
        <v/>
      </c>
      <c r="J476" s="7" t="n"/>
      <c r="K476" s="7" t="n"/>
      <c r="L476" s="7" t="n"/>
      <c r="O476" s="11" t="n"/>
      <c r="P476">
        <f>IF($A476="","",IF($V476=1,Settings!$C$6,Settings!$C$7)*1)</f>
        <v/>
      </c>
      <c r="Q476" s="7">
        <f>IF($A476="","",P476*K476)</f>
        <v/>
      </c>
      <c r="R476" s="7">
        <f>IF($A476="","",K476-Q476)</f>
        <v/>
      </c>
      <c r="S476" s="7">
        <f>IF($A476="","",R476-F476)</f>
        <v/>
      </c>
      <c r="T476">
        <f>IF($A476="","",IF(COUNTIF($A$2:$A476,$A476)=1,1,0))</f>
        <v/>
      </c>
      <c r="U476">
        <f>IF($T476=1,SUMPRODUCT(--($W$2:$W$501&lt;$W476))+1,"")</f>
        <v/>
      </c>
      <c r="V476">
        <f>IF($A476="","",1)</f>
        <v/>
      </c>
      <c r="W476">
        <f>IF($T476=1,IFERROR(VALUE(MID($A476,2,20)),1000000000)+ROW()/100000,"")</f>
        <v/>
      </c>
    </row>
    <row r="477">
      <c r="F477" s="7">
        <f>IF($A477="","",E477*K477/100)</f>
        <v/>
      </c>
      <c r="J477" s="7" t="n"/>
      <c r="K477" s="7" t="n"/>
      <c r="L477" s="7" t="n"/>
      <c r="O477" s="11" t="n"/>
      <c r="P477">
        <f>IF($A477="","",IF($V477=1,Settings!$C$6,Settings!$C$7)*1)</f>
        <v/>
      </c>
      <c r="Q477" s="7">
        <f>IF($A477="","",P477*K477)</f>
        <v/>
      </c>
      <c r="R477" s="7">
        <f>IF($A477="","",K477-Q477)</f>
        <v/>
      </c>
      <c r="S477" s="7">
        <f>IF($A477="","",R477-F477)</f>
        <v/>
      </c>
      <c r="T477">
        <f>IF($A477="","",IF(COUNTIF($A$2:$A477,$A477)=1,1,0))</f>
        <v/>
      </c>
      <c r="U477">
        <f>IF($T477=1,SUMPRODUCT(--($W$2:$W$501&lt;$W477))+1,"")</f>
        <v/>
      </c>
      <c r="V477">
        <f>IF($A477="","",1)</f>
        <v/>
      </c>
      <c r="W477">
        <f>IF($T477=1,IFERROR(VALUE(MID($A477,2,20)),1000000000)+ROW()/100000,"")</f>
        <v/>
      </c>
    </row>
    <row r="478">
      <c r="F478" s="7">
        <f>IF($A478="","",E478*K478/100)</f>
        <v/>
      </c>
      <c r="J478" s="7" t="n"/>
      <c r="K478" s="7" t="n"/>
      <c r="L478" s="7" t="n"/>
      <c r="O478" s="11" t="n"/>
      <c r="P478">
        <f>IF($A478="","",IF($V478=1,Settings!$C$6,Settings!$C$7)*1)</f>
        <v/>
      </c>
      <c r="Q478" s="7">
        <f>IF($A478="","",P478*K478)</f>
        <v/>
      </c>
      <c r="R478" s="7">
        <f>IF($A478="","",K478-Q478)</f>
        <v/>
      </c>
      <c r="S478" s="7">
        <f>IF($A478="","",R478-F478)</f>
        <v/>
      </c>
      <c r="T478">
        <f>IF($A478="","",IF(COUNTIF($A$2:$A478,$A478)=1,1,0))</f>
        <v/>
      </c>
      <c r="U478">
        <f>IF($T478=1,SUMPRODUCT(--($W$2:$W$501&lt;$W478))+1,"")</f>
        <v/>
      </c>
      <c r="V478">
        <f>IF($A478="","",1)</f>
        <v/>
      </c>
      <c r="W478">
        <f>IF($T478=1,IFERROR(VALUE(MID($A478,2,20)),1000000000)+ROW()/100000,"")</f>
        <v/>
      </c>
    </row>
    <row r="479">
      <c r="F479" s="7">
        <f>IF($A479="","",E479*K479/100)</f>
        <v/>
      </c>
      <c r="J479" s="7" t="n"/>
      <c r="K479" s="7" t="n"/>
      <c r="L479" s="7" t="n"/>
      <c r="O479" s="11" t="n"/>
      <c r="P479">
        <f>IF($A479="","",IF($V479=1,Settings!$C$6,Settings!$C$7)*1)</f>
        <v/>
      </c>
      <c r="Q479" s="7">
        <f>IF($A479="","",P479*K479)</f>
        <v/>
      </c>
      <c r="R479" s="7">
        <f>IF($A479="","",K479-Q479)</f>
        <v/>
      </c>
      <c r="S479" s="7">
        <f>IF($A479="","",R479-F479)</f>
        <v/>
      </c>
      <c r="T479">
        <f>IF($A479="","",IF(COUNTIF($A$2:$A479,$A479)=1,1,0))</f>
        <v/>
      </c>
      <c r="U479">
        <f>IF($T479=1,SUMPRODUCT(--($W$2:$W$501&lt;$W479))+1,"")</f>
        <v/>
      </c>
      <c r="V479">
        <f>IF($A479="","",1)</f>
        <v/>
      </c>
      <c r="W479">
        <f>IF($T479=1,IFERROR(VALUE(MID($A479,2,20)),1000000000)+ROW()/100000,"")</f>
        <v/>
      </c>
    </row>
    <row r="480">
      <c r="F480" s="7">
        <f>IF($A480="","",E480*K480/100)</f>
        <v/>
      </c>
      <c r="J480" s="7" t="n"/>
      <c r="K480" s="7" t="n"/>
      <c r="L480" s="7" t="n"/>
      <c r="O480" s="11" t="n"/>
      <c r="P480">
        <f>IF($A480="","",IF($V480=1,Settings!$C$6,Settings!$C$7)*1)</f>
        <v/>
      </c>
      <c r="Q480" s="7">
        <f>IF($A480="","",P480*K480)</f>
        <v/>
      </c>
      <c r="R480" s="7">
        <f>IF($A480="","",K480-Q480)</f>
        <v/>
      </c>
      <c r="S480" s="7">
        <f>IF($A480="","",R480-F480)</f>
        <v/>
      </c>
      <c r="T480">
        <f>IF($A480="","",IF(COUNTIF($A$2:$A480,$A480)=1,1,0))</f>
        <v/>
      </c>
      <c r="U480">
        <f>IF($T480=1,SUMPRODUCT(--($W$2:$W$501&lt;$W480))+1,"")</f>
        <v/>
      </c>
      <c r="V480">
        <f>IF($A480="","",1)</f>
        <v/>
      </c>
      <c r="W480">
        <f>IF($T480=1,IFERROR(VALUE(MID($A480,2,20)),1000000000)+ROW()/100000,"")</f>
        <v/>
      </c>
    </row>
    <row r="481">
      <c r="F481" s="7">
        <f>IF($A481="","",E481*K481/100)</f>
        <v/>
      </c>
      <c r="J481" s="7" t="n"/>
      <c r="K481" s="7" t="n"/>
      <c r="L481" s="7" t="n"/>
      <c r="O481" s="11" t="n"/>
      <c r="P481">
        <f>IF($A481="","",IF($V481=1,Settings!$C$6,Settings!$C$7)*1)</f>
        <v/>
      </c>
      <c r="Q481" s="7">
        <f>IF($A481="","",P481*K481)</f>
        <v/>
      </c>
      <c r="R481" s="7">
        <f>IF($A481="","",K481-Q481)</f>
        <v/>
      </c>
      <c r="S481" s="7">
        <f>IF($A481="","",R481-F481)</f>
        <v/>
      </c>
      <c r="T481">
        <f>IF($A481="","",IF(COUNTIF($A$2:$A481,$A481)=1,1,0))</f>
        <v/>
      </c>
      <c r="U481">
        <f>IF($T481=1,SUMPRODUCT(--($W$2:$W$501&lt;$W481))+1,"")</f>
        <v/>
      </c>
      <c r="V481">
        <f>IF($A481="","",1)</f>
        <v/>
      </c>
      <c r="W481">
        <f>IF($T481=1,IFERROR(VALUE(MID($A481,2,20)),1000000000)+ROW()/100000,"")</f>
        <v/>
      </c>
    </row>
    <row r="482">
      <c r="F482" s="7">
        <f>IF($A482="","",E482*K482/100)</f>
        <v/>
      </c>
      <c r="J482" s="7" t="n"/>
      <c r="K482" s="7" t="n"/>
      <c r="L482" s="7" t="n"/>
      <c r="O482" s="11" t="n"/>
      <c r="P482">
        <f>IF($A482="","",IF($V482=1,Settings!$C$6,Settings!$C$7)*1)</f>
        <v/>
      </c>
      <c r="Q482" s="7">
        <f>IF($A482="","",P482*K482)</f>
        <v/>
      </c>
      <c r="R482" s="7">
        <f>IF($A482="","",K482-Q482)</f>
        <v/>
      </c>
      <c r="S482" s="7">
        <f>IF($A482="","",R482-F482)</f>
        <v/>
      </c>
      <c r="T482">
        <f>IF($A482="","",IF(COUNTIF($A$2:$A482,$A482)=1,1,0))</f>
        <v/>
      </c>
      <c r="U482">
        <f>IF($T482=1,SUMPRODUCT(--($W$2:$W$501&lt;$W482))+1,"")</f>
        <v/>
      </c>
      <c r="V482">
        <f>IF($A482="","",1)</f>
        <v/>
      </c>
      <c r="W482">
        <f>IF($T482=1,IFERROR(VALUE(MID($A482,2,20)),1000000000)+ROW()/100000,"")</f>
        <v/>
      </c>
    </row>
    <row r="483">
      <c r="F483" s="7">
        <f>IF($A483="","",E483*K483/100)</f>
        <v/>
      </c>
      <c r="J483" s="7" t="n"/>
      <c r="K483" s="7" t="n"/>
      <c r="L483" s="7" t="n"/>
      <c r="O483" s="11" t="n"/>
      <c r="P483">
        <f>IF($A483="","",IF($V483=1,Settings!$C$6,Settings!$C$7)*1)</f>
        <v/>
      </c>
      <c r="Q483" s="7">
        <f>IF($A483="","",P483*K483)</f>
        <v/>
      </c>
      <c r="R483" s="7">
        <f>IF($A483="","",K483-Q483)</f>
        <v/>
      </c>
      <c r="S483" s="7">
        <f>IF($A483="","",R483-F483)</f>
        <v/>
      </c>
      <c r="T483">
        <f>IF($A483="","",IF(COUNTIF($A$2:$A483,$A483)=1,1,0))</f>
        <v/>
      </c>
      <c r="U483">
        <f>IF($T483=1,SUMPRODUCT(--($W$2:$W$501&lt;$W483))+1,"")</f>
        <v/>
      </c>
      <c r="V483">
        <f>IF($A483="","",1)</f>
        <v/>
      </c>
      <c r="W483">
        <f>IF($T483=1,IFERROR(VALUE(MID($A483,2,20)),1000000000)+ROW()/100000,"")</f>
        <v/>
      </c>
    </row>
    <row r="484">
      <c r="F484" s="7">
        <f>IF($A484="","",E484*K484/100)</f>
        <v/>
      </c>
      <c r="J484" s="7" t="n"/>
      <c r="K484" s="7" t="n"/>
      <c r="L484" s="7" t="n"/>
      <c r="O484" s="11" t="n"/>
      <c r="P484">
        <f>IF($A484="","",IF($V484=1,Settings!$C$6,Settings!$C$7)*1)</f>
        <v/>
      </c>
      <c r="Q484" s="7">
        <f>IF($A484="","",P484*K484)</f>
        <v/>
      </c>
      <c r="R484" s="7">
        <f>IF($A484="","",K484-Q484)</f>
        <v/>
      </c>
      <c r="S484" s="7">
        <f>IF($A484="","",R484-F484)</f>
        <v/>
      </c>
      <c r="T484">
        <f>IF($A484="","",IF(COUNTIF($A$2:$A484,$A484)=1,1,0))</f>
        <v/>
      </c>
      <c r="U484">
        <f>IF($T484=1,SUMPRODUCT(--($W$2:$W$501&lt;$W484))+1,"")</f>
        <v/>
      </c>
      <c r="V484">
        <f>IF($A484="","",1)</f>
        <v/>
      </c>
      <c r="W484">
        <f>IF($T484=1,IFERROR(VALUE(MID($A484,2,20)),1000000000)+ROW()/100000,"")</f>
        <v/>
      </c>
    </row>
    <row r="485">
      <c r="F485" s="7">
        <f>IF($A485="","",E485*K485/100)</f>
        <v/>
      </c>
      <c r="J485" s="7" t="n"/>
      <c r="K485" s="7" t="n"/>
      <c r="L485" s="7" t="n"/>
      <c r="O485" s="11" t="n"/>
      <c r="P485">
        <f>IF($A485="","",IF($V485=1,Settings!$C$6,Settings!$C$7)*1)</f>
        <v/>
      </c>
      <c r="Q485" s="7">
        <f>IF($A485="","",P485*K485)</f>
        <v/>
      </c>
      <c r="R485" s="7">
        <f>IF($A485="","",K485-Q485)</f>
        <v/>
      </c>
      <c r="S485" s="7">
        <f>IF($A485="","",R485-F485)</f>
        <v/>
      </c>
      <c r="T485">
        <f>IF($A485="","",IF(COUNTIF($A$2:$A485,$A485)=1,1,0))</f>
        <v/>
      </c>
      <c r="U485">
        <f>IF($T485=1,SUMPRODUCT(--($W$2:$W$501&lt;$W485))+1,"")</f>
        <v/>
      </c>
      <c r="V485">
        <f>IF($A485="","",1)</f>
        <v/>
      </c>
      <c r="W485">
        <f>IF($T485=1,IFERROR(VALUE(MID($A485,2,20)),1000000000)+ROW()/100000,"")</f>
        <v/>
      </c>
    </row>
    <row r="486">
      <c r="F486" s="7">
        <f>IF($A486="","",E486*K486/100)</f>
        <v/>
      </c>
      <c r="J486" s="7" t="n"/>
      <c r="K486" s="7" t="n"/>
      <c r="L486" s="7" t="n"/>
      <c r="O486" s="11" t="n"/>
      <c r="P486">
        <f>IF($A486="","",IF($V486=1,Settings!$C$6,Settings!$C$7)*1)</f>
        <v/>
      </c>
      <c r="Q486" s="7">
        <f>IF($A486="","",P486*K486)</f>
        <v/>
      </c>
      <c r="R486" s="7">
        <f>IF($A486="","",K486-Q486)</f>
        <v/>
      </c>
      <c r="S486" s="7">
        <f>IF($A486="","",R486-F486)</f>
        <v/>
      </c>
      <c r="T486">
        <f>IF($A486="","",IF(COUNTIF($A$2:$A486,$A486)=1,1,0))</f>
        <v/>
      </c>
      <c r="U486">
        <f>IF($T486=1,SUMPRODUCT(--($W$2:$W$501&lt;$W486))+1,"")</f>
        <v/>
      </c>
      <c r="V486">
        <f>IF($A486="","",1)</f>
        <v/>
      </c>
      <c r="W486">
        <f>IF($T486=1,IFERROR(VALUE(MID($A486,2,20)),1000000000)+ROW()/100000,"")</f>
        <v/>
      </c>
    </row>
    <row r="487">
      <c r="F487" s="7">
        <f>IF($A487="","",E487*K487/100)</f>
        <v/>
      </c>
      <c r="J487" s="7" t="n"/>
      <c r="K487" s="7" t="n"/>
      <c r="L487" s="7" t="n"/>
      <c r="O487" s="11" t="n"/>
      <c r="P487">
        <f>IF($A487="","",IF($V487=1,Settings!$C$6,Settings!$C$7)*1)</f>
        <v/>
      </c>
      <c r="Q487" s="7">
        <f>IF($A487="","",P487*K487)</f>
        <v/>
      </c>
      <c r="R487" s="7">
        <f>IF($A487="","",K487-Q487)</f>
        <v/>
      </c>
      <c r="S487" s="7">
        <f>IF($A487="","",R487-F487)</f>
        <v/>
      </c>
      <c r="T487">
        <f>IF($A487="","",IF(COUNTIF($A$2:$A487,$A487)=1,1,0))</f>
        <v/>
      </c>
      <c r="U487">
        <f>IF($T487=1,SUMPRODUCT(--($W$2:$W$501&lt;$W487))+1,"")</f>
        <v/>
      </c>
      <c r="V487">
        <f>IF($A487="","",1)</f>
        <v/>
      </c>
      <c r="W487">
        <f>IF($T487=1,IFERROR(VALUE(MID($A487,2,20)),1000000000)+ROW()/100000,"")</f>
        <v/>
      </c>
    </row>
    <row r="488">
      <c r="F488" s="7">
        <f>IF($A488="","",E488*K488/100)</f>
        <v/>
      </c>
      <c r="J488" s="7" t="n"/>
      <c r="K488" s="7" t="n"/>
      <c r="L488" s="7" t="n"/>
      <c r="O488" s="11" t="n"/>
      <c r="P488">
        <f>IF($A488="","",IF($V488=1,Settings!$C$6,Settings!$C$7)*1)</f>
        <v/>
      </c>
      <c r="Q488" s="7">
        <f>IF($A488="","",P488*K488)</f>
        <v/>
      </c>
      <c r="R488" s="7">
        <f>IF($A488="","",K488-Q488)</f>
        <v/>
      </c>
      <c r="S488" s="7">
        <f>IF($A488="","",R488-F488)</f>
        <v/>
      </c>
      <c r="T488">
        <f>IF($A488="","",IF(COUNTIF($A$2:$A488,$A488)=1,1,0))</f>
        <v/>
      </c>
      <c r="U488">
        <f>IF($T488=1,SUMPRODUCT(--($W$2:$W$501&lt;$W488))+1,"")</f>
        <v/>
      </c>
      <c r="V488">
        <f>IF($A488="","",1)</f>
        <v/>
      </c>
      <c r="W488">
        <f>IF($T488=1,IFERROR(VALUE(MID($A488,2,20)),1000000000)+ROW()/100000,"")</f>
        <v/>
      </c>
    </row>
    <row r="489">
      <c r="F489" s="7">
        <f>IF($A489="","",E489*K489/100)</f>
        <v/>
      </c>
      <c r="J489" s="7" t="n"/>
      <c r="K489" s="7" t="n"/>
      <c r="L489" s="7" t="n"/>
      <c r="O489" s="11" t="n"/>
      <c r="P489">
        <f>IF($A489="","",IF($V489=1,Settings!$C$6,Settings!$C$7)*1)</f>
        <v/>
      </c>
      <c r="Q489" s="7">
        <f>IF($A489="","",P489*K489)</f>
        <v/>
      </c>
      <c r="R489" s="7">
        <f>IF($A489="","",K489-Q489)</f>
        <v/>
      </c>
      <c r="S489" s="7">
        <f>IF($A489="","",R489-F489)</f>
        <v/>
      </c>
      <c r="T489">
        <f>IF($A489="","",IF(COUNTIF($A$2:$A489,$A489)=1,1,0))</f>
        <v/>
      </c>
      <c r="U489">
        <f>IF($T489=1,SUMPRODUCT(--($W$2:$W$501&lt;$W489))+1,"")</f>
        <v/>
      </c>
      <c r="V489">
        <f>IF($A489="","",1)</f>
        <v/>
      </c>
      <c r="W489">
        <f>IF($T489=1,IFERROR(VALUE(MID($A489,2,20)),1000000000)+ROW()/100000,"")</f>
        <v/>
      </c>
    </row>
    <row r="490">
      <c r="F490" s="7">
        <f>IF($A490="","",E490*K490/100)</f>
        <v/>
      </c>
      <c r="J490" s="7" t="n"/>
      <c r="K490" s="7" t="n"/>
      <c r="L490" s="7" t="n"/>
      <c r="O490" s="11" t="n"/>
      <c r="P490">
        <f>IF($A490="","",IF($V490=1,Settings!$C$6,Settings!$C$7)*1)</f>
        <v/>
      </c>
      <c r="Q490" s="7">
        <f>IF($A490="","",P490*K490)</f>
        <v/>
      </c>
      <c r="R490" s="7">
        <f>IF($A490="","",K490-Q490)</f>
        <v/>
      </c>
      <c r="S490" s="7">
        <f>IF($A490="","",R490-F490)</f>
        <v/>
      </c>
      <c r="T490">
        <f>IF($A490="","",IF(COUNTIF($A$2:$A490,$A490)=1,1,0))</f>
        <v/>
      </c>
      <c r="U490">
        <f>IF($T490=1,SUMPRODUCT(--($W$2:$W$501&lt;$W490))+1,"")</f>
        <v/>
      </c>
      <c r="V490">
        <f>IF($A490="","",1)</f>
        <v/>
      </c>
      <c r="W490">
        <f>IF($T490=1,IFERROR(VALUE(MID($A490,2,20)),1000000000)+ROW()/100000,"")</f>
        <v/>
      </c>
    </row>
    <row r="491">
      <c r="F491" s="7">
        <f>IF($A491="","",E491*K491/100)</f>
        <v/>
      </c>
      <c r="J491" s="7" t="n"/>
      <c r="K491" s="7" t="n"/>
      <c r="L491" s="7" t="n"/>
      <c r="O491" s="11" t="n"/>
      <c r="P491">
        <f>IF($A491="","",IF($V491=1,Settings!$C$6,Settings!$C$7)*1)</f>
        <v/>
      </c>
      <c r="Q491" s="7">
        <f>IF($A491="","",P491*K491)</f>
        <v/>
      </c>
      <c r="R491" s="7">
        <f>IF($A491="","",K491-Q491)</f>
        <v/>
      </c>
      <c r="S491" s="7">
        <f>IF($A491="","",R491-F491)</f>
        <v/>
      </c>
      <c r="T491">
        <f>IF($A491="","",IF(COUNTIF($A$2:$A491,$A491)=1,1,0))</f>
        <v/>
      </c>
      <c r="U491">
        <f>IF($T491=1,SUMPRODUCT(--($W$2:$W$501&lt;$W491))+1,"")</f>
        <v/>
      </c>
      <c r="V491">
        <f>IF($A491="","",1)</f>
        <v/>
      </c>
      <c r="W491">
        <f>IF($T491=1,IFERROR(VALUE(MID($A491,2,20)),1000000000)+ROW()/100000,"")</f>
        <v/>
      </c>
    </row>
    <row r="492">
      <c r="F492" s="7">
        <f>IF($A492="","",E492*K492/100)</f>
        <v/>
      </c>
      <c r="J492" s="7" t="n"/>
      <c r="K492" s="7" t="n"/>
      <c r="L492" s="7" t="n"/>
      <c r="O492" s="11" t="n"/>
      <c r="P492">
        <f>IF($A492="","",IF($V492=1,Settings!$C$6,Settings!$C$7)*1)</f>
        <v/>
      </c>
      <c r="Q492" s="7">
        <f>IF($A492="","",P492*K492)</f>
        <v/>
      </c>
      <c r="R492" s="7">
        <f>IF($A492="","",K492-Q492)</f>
        <v/>
      </c>
      <c r="S492" s="7">
        <f>IF($A492="","",R492-F492)</f>
        <v/>
      </c>
      <c r="T492">
        <f>IF($A492="","",IF(COUNTIF($A$2:$A492,$A492)=1,1,0))</f>
        <v/>
      </c>
      <c r="U492">
        <f>IF($T492=1,SUMPRODUCT(--($W$2:$W$501&lt;$W492))+1,"")</f>
        <v/>
      </c>
      <c r="V492">
        <f>IF($A492="","",1)</f>
        <v/>
      </c>
      <c r="W492">
        <f>IF($T492=1,IFERROR(VALUE(MID($A492,2,20)),1000000000)+ROW()/100000,"")</f>
        <v/>
      </c>
    </row>
    <row r="493">
      <c r="F493" s="7">
        <f>IF($A493="","",E493*K493/100)</f>
        <v/>
      </c>
      <c r="J493" s="7" t="n"/>
      <c r="K493" s="7" t="n"/>
      <c r="L493" s="7" t="n"/>
      <c r="O493" s="11" t="n"/>
      <c r="P493">
        <f>IF($A493="","",IF($V493=1,Settings!$C$6,Settings!$C$7)*1)</f>
        <v/>
      </c>
      <c r="Q493" s="7">
        <f>IF($A493="","",P493*K493)</f>
        <v/>
      </c>
      <c r="R493" s="7">
        <f>IF($A493="","",K493-Q493)</f>
        <v/>
      </c>
      <c r="S493" s="7">
        <f>IF($A493="","",R493-F493)</f>
        <v/>
      </c>
      <c r="T493">
        <f>IF($A493="","",IF(COUNTIF($A$2:$A493,$A493)=1,1,0))</f>
        <v/>
      </c>
      <c r="U493">
        <f>IF($T493=1,SUMPRODUCT(--($W$2:$W$501&lt;$W493))+1,"")</f>
        <v/>
      </c>
      <c r="V493">
        <f>IF($A493="","",1)</f>
        <v/>
      </c>
      <c r="W493">
        <f>IF($T493=1,IFERROR(VALUE(MID($A493,2,20)),1000000000)+ROW()/100000,"")</f>
        <v/>
      </c>
    </row>
    <row r="494">
      <c r="F494" s="7">
        <f>IF($A494="","",E494*K494/100)</f>
        <v/>
      </c>
      <c r="J494" s="7" t="n"/>
      <c r="K494" s="7" t="n"/>
      <c r="L494" s="7" t="n"/>
      <c r="O494" s="11" t="n"/>
      <c r="P494">
        <f>IF($A494="","",IF($V494=1,Settings!$C$6,Settings!$C$7)*1)</f>
        <v/>
      </c>
      <c r="Q494" s="7">
        <f>IF($A494="","",P494*K494)</f>
        <v/>
      </c>
      <c r="R494" s="7">
        <f>IF($A494="","",K494-Q494)</f>
        <v/>
      </c>
      <c r="S494" s="7">
        <f>IF($A494="","",R494-F494)</f>
        <v/>
      </c>
      <c r="T494">
        <f>IF($A494="","",IF(COUNTIF($A$2:$A494,$A494)=1,1,0))</f>
        <v/>
      </c>
      <c r="U494">
        <f>IF($T494=1,SUMPRODUCT(--($W$2:$W$501&lt;$W494))+1,"")</f>
        <v/>
      </c>
      <c r="V494">
        <f>IF($A494="","",1)</f>
        <v/>
      </c>
      <c r="W494">
        <f>IF($T494=1,IFERROR(VALUE(MID($A494,2,20)),1000000000)+ROW()/100000,"")</f>
        <v/>
      </c>
    </row>
    <row r="495">
      <c r="F495" s="7">
        <f>IF($A495="","",E495*K495/100)</f>
        <v/>
      </c>
      <c r="J495" s="7" t="n"/>
      <c r="K495" s="7" t="n"/>
      <c r="L495" s="7" t="n"/>
      <c r="O495" s="11" t="n"/>
      <c r="P495">
        <f>IF($A495="","",IF($V495=1,Settings!$C$6,Settings!$C$7)*1)</f>
        <v/>
      </c>
      <c r="Q495" s="7">
        <f>IF($A495="","",P495*K495)</f>
        <v/>
      </c>
      <c r="R495" s="7">
        <f>IF($A495="","",K495-Q495)</f>
        <v/>
      </c>
      <c r="S495" s="7">
        <f>IF($A495="","",R495-F495)</f>
        <v/>
      </c>
      <c r="T495">
        <f>IF($A495="","",IF(COUNTIF($A$2:$A495,$A495)=1,1,0))</f>
        <v/>
      </c>
      <c r="U495">
        <f>IF($T495=1,SUMPRODUCT(--($W$2:$W$501&lt;$W495))+1,"")</f>
        <v/>
      </c>
      <c r="V495">
        <f>IF($A495="","",1)</f>
        <v/>
      </c>
      <c r="W495">
        <f>IF($T495=1,IFERROR(VALUE(MID($A495,2,20)),1000000000)+ROW()/100000,"")</f>
        <v/>
      </c>
    </row>
    <row r="496">
      <c r="F496" s="7">
        <f>IF($A496="","",E496*K496/100)</f>
        <v/>
      </c>
      <c r="J496" s="7" t="n"/>
      <c r="K496" s="7" t="n"/>
      <c r="L496" s="7" t="n"/>
      <c r="O496" s="11" t="n"/>
      <c r="P496">
        <f>IF($A496="","",IF($V496=1,Settings!$C$6,Settings!$C$7)*1)</f>
        <v/>
      </c>
      <c r="Q496" s="7">
        <f>IF($A496="","",P496*K496)</f>
        <v/>
      </c>
      <c r="R496" s="7">
        <f>IF($A496="","",K496-Q496)</f>
        <v/>
      </c>
      <c r="S496" s="7">
        <f>IF($A496="","",R496-F496)</f>
        <v/>
      </c>
      <c r="T496">
        <f>IF($A496="","",IF(COUNTIF($A$2:$A496,$A496)=1,1,0))</f>
        <v/>
      </c>
      <c r="U496">
        <f>IF($T496=1,SUMPRODUCT(--($W$2:$W$501&lt;$W496))+1,"")</f>
        <v/>
      </c>
      <c r="V496">
        <f>IF($A496="","",1)</f>
        <v/>
      </c>
      <c r="W496">
        <f>IF($T496=1,IFERROR(VALUE(MID($A496,2,20)),1000000000)+ROW()/100000,"")</f>
        <v/>
      </c>
    </row>
    <row r="497">
      <c r="F497" s="7">
        <f>IF($A497="","",E497*K497/100)</f>
        <v/>
      </c>
      <c r="J497" s="7" t="n"/>
      <c r="K497" s="7" t="n"/>
      <c r="L497" s="7" t="n"/>
      <c r="O497" s="11" t="n"/>
      <c r="P497">
        <f>IF($A497="","",IF($V497=1,Settings!$C$6,Settings!$C$7)*1)</f>
        <v/>
      </c>
      <c r="Q497" s="7">
        <f>IF($A497="","",P497*K497)</f>
        <v/>
      </c>
      <c r="R497" s="7">
        <f>IF($A497="","",K497-Q497)</f>
        <v/>
      </c>
      <c r="S497" s="7">
        <f>IF($A497="","",R497-F497)</f>
        <v/>
      </c>
      <c r="T497">
        <f>IF($A497="","",IF(COUNTIF($A$2:$A497,$A497)=1,1,0))</f>
        <v/>
      </c>
      <c r="U497">
        <f>IF($T497=1,SUMPRODUCT(--($W$2:$W$501&lt;$W497))+1,"")</f>
        <v/>
      </c>
      <c r="V497">
        <f>IF($A497="","",1)</f>
        <v/>
      </c>
      <c r="W497">
        <f>IF($T497=1,IFERROR(VALUE(MID($A497,2,20)),1000000000)+ROW()/100000,"")</f>
        <v/>
      </c>
    </row>
    <row r="498">
      <c r="F498" s="7">
        <f>IF($A498="","",E498*K498/100)</f>
        <v/>
      </c>
      <c r="J498" s="7" t="n"/>
      <c r="K498" s="7" t="n"/>
      <c r="L498" s="7" t="n"/>
      <c r="O498" s="11" t="n"/>
      <c r="P498">
        <f>IF($A498="","",IF($V498=1,Settings!$C$6,Settings!$C$7)*1)</f>
        <v/>
      </c>
      <c r="Q498" s="7">
        <f>IF($A498="","",P498*K498)</f>
        <v/>
      </c>
      <c r="R498" s="7">
        <f>IF($A498="","",K498-Q498)</f>
        <v/>
      </c>
      <c r="S498" s="7">
        <f>IF($A498="","",R498-F498)</f>
        <v/>
      </c>
      <c r="T498">
        <f>IF($A498="","",IF(COUNTIF($A$2:$A498,$A498)=1,1,0))</f>
        <v/>
      </c>
      <c r="U498">
        <f>IF($T498=1,SUMPRODUCT(--($W$2:$W$501&lt;$W498))+1,"")</f>
        <v/>
      </c>
      <c r="V498">
        <f>IF($A498="","",1)</f>
        <v/>
      </c>
      <c r="W498">
        <f>IF($T498=1,IFERROR(VALUE(MID($A498,2,20)),1000000000)+ROW()/100000,"")</f>
        <v/>
      </c>
    </row>
    <row r="499">
      <c r="F499" s="7">
        <f>IF($A499="","",E499*K499/100)</f>
        <v/>
      </c>
      <c r="J499" s="7" t="n"/>
      <c r="K499" s="7" t="n"/>
      <c r="L499" s="7" t="n"/>
      <c r="O499" s="11" t="n"/>
      <c r="P499">
        <f>IF($A499="","",IF($V499=1,Settings!$C$6,Settings!$C$7)*1)</f>
        <v/>
      </c>
      <c r="Q499" s="7">
        <f>IF($A499="","",P499*K499)</f>
        <v/>
      </c>
      <c r="R499" s="7">
        <f>IF($A499="","",K499-Q499)</f>
        <v/>
      </c>
      <c r="S499" s="7">
        <f>IF($A499="","",R499-F499)</f>
        <v/>
      </c>
      <c r="T499">
        <f>IF($A499="","",IF(COUNTIF($A$2:$A499,$A499)=1,1,0))</f>
        <v/>
      </c>
      <c r="U499">
        <f>IF($T499=1,SUMPRODUCT(--($W$2:$W$501&lt;$W499))+1,"")</f>
        <v/>
      </c>
      <c r="V499">
        <f>IF($A499="","",1)</f>
        <v/>
      </c>
      <c r="W499">
        <f>IF($T499=1,IFERROR(VALUE(MID($A499,2,20)),1000000000)+ROW()/100000,"")</f>
        <v/>
      </c>
    </row>
    <row r="500">
      <c r="F500" s="7">
        <f>IF($A500="","",E500*K500/100)</f>
        <v/>
      </c>
      <c r="J500" s="7" t="n"/>
      <c r="K500" s="7" t="n"/>
      <c r="L500" s="7" t="n"/>
      <c r="O500" s="11" t="n"/>
      <c r="P500">
        <f>IF($A500="","",IF($V500=1,Settings!$C$6,Settings!$C$7)*1)</f>
        <v/>
      </c>
      <c r="Q500" s="7">
        <f>IF($A500="","",P500*K500)</f>
        <v/>
      </c>
      <c r="R500" s="7">
        <f>IF($A500="","",K500-Q500)</f>
        <v/>
      </c>
      <c r="S500" s="7">
        <f>IF($A500="","",R500-F500)</f>
        <v/>
      </c>
      <c r="T500">
        <f>IF($A500="","",IF(COUNTIF($A$2:$A500,$A500)=1,1,0))</f>
        <v/>
      </c>
      <c r="U500">
        <f>IF($T500=1,SUMPRODUCT(--($W$2:$W$501&lt;$W500))+1,"")</f>
        <v/>
      </c>
      <c r="V500">
        <f>IF($A500="","",1)</f>
        <v/>
      </c>
      <c r="W500">
        <f>IF($T500=1,IFERROR(VALUE(MID($A500,2,20)),1000000000)+ROW()/100000,"")</f>
        <v/>
      </c>
    </row>
    <row r="501">
      <c r="F501" s="7">
        <f>IF($A501="","",E501*K501/100)</f>
        <v/>
      </c>
      <c r="J501" s="7" t="n"/>
      <c r="K501" s="7" t="n"/>
      <c r="L501" s="7" t="n"/>
      <c r="O501" s="11" t="n"/>
      <c r="P501">
        <f>IF($A501="","",IF($V501=1,Settings!$C$6,Settings!$C$7)*1)</f>
        <v/>
      </c>
      <c r="Q501" s="7">
        <f>IF($A501="","",P501*K501)</f>
        <v/>
      </c>
      <c r="R501" s="7">
        <f>IF($A501="","",K501-Q501)</f>
        <v/>
      </c>
      <c r="S501" s="7">
        <f>IF($A501="","",R501-F501)</f>
        <v/>
      </c>
      <c r="T501">
        <f>IF($A501="","",IF(COUNTIF($A$2:$A501,$A501)=1,1,0))</f>
        <v/>
      </c>
      <c r="U501">
        <f>IF($T501=1,SUMPRODUCT(--($W$2:$W$501&lt;$W501))+1,"")</f>
        <v/>
      </c>
      <c r="V501">
        <f>IF($A501="","",1)</f>
        <v/>
      </c>
      <c r="W501">
        <f>IF($T501=1,IFERROR(VALUE(MID($A501,2,20)),1000000000)+ROW()/100000,"")</f>
        <v/>
      </c>
    </row>
  </sheetData>
  <autoFilter ref="A1:W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6" customWidth="1" min="4" max="4"/>
    <col width="13" customWidth="1" min="5" max="5"/>
    <col width="12" customWidth="1" min="6" max="6"/>
    <col width="12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</cols>
  <sheetData>
    <row r="1" ht="32" customHeight="1">
      <c r="A1" s="8" t="inlineStr">
        <is>
          <t>Invoice</t>
        </is>
      </c>
      <c r="B1" s="9" t="inlineStr">
        <is>
          <t>Pos Reference</t>
        </is>
      </c>
      <c r="C1" s="9" t="inlineStr">
        <is>
          <t>Insurance Company</t>
        </is>
      </c>
      <c r="D1" s="9" t="inlineStr">
        <is>
          <t>Name</t>
        </is>
      </c>
      <c r="E1" s="9" t="inlineStr">
        <is>
          <t>Card Number</t>
        </is>
      </c>
      <c r="F1" s="9" t="inlineStr">
        <is>
          <t>Co Payment %</t>
        </is>
      </c>
      <c r="G1" s="9" t="inlineStr">
        <is>
          <t>Co val</t>
        </is>
      </c>
      <c r="H1" s="9" t="inlineStr">
        <is>
          <t>Create Date</t>
        </is>
      </c>
      <c r="I1" s="9" t="inlineStr">
        <is>
          <t>Imp %</t>
        </is>
      </c>
      <c r="J1" s="9" t="inlineStr">
        <is>
          <t>Imp</t>
        </is>
      </c>
      <c r="K1" s="9" t="inlineStr">
        <is>
          <t>Imp Val</t>
        </is>
      </c>
      <c r="L1" s="9" t="inlineStr">
        <is>
          <t>Local %</t>
        </is>
      </c>
      <c r="M1" s="9" t="inlineStr">
        <is>
          <t>Local</t>
        </is>
      </c>
      <c r="N1" s="9" t="inlineStr">
        <is>
          <t>Local val</t>
        </is>
      </c>
      <c r="O1" s="9" t="inlineStr">
        <is>
          <t>Total val</t>
        </is>
      </c>
      <c r="P1" s="9" t="inlineStr">
        <is>
          <t>Subtotal</t>
        </is>
      </c>
      <c r="Q1" s="9" t="inlineStr">
        <is>
          <t>Grand Total</t>
        </is>
      </c>
      <c r="R1" s="9" t="inlineStr">
        <is>
          <t>Net</t>
        </is>
      </c>
      <c r="S1" s="10" t="inlineStr">
        <is>
          <t>Src Row (helper)</t>
        </is>
      </c>
    </row>
    <row r="2">
      <c r="A2" s="12" t="n"/>
      <c r="B2">
        <f>IF($S2="","",INDEX('Per Line'!$A$2:$A$501,$S2)&amp;"")</f>
        <v/>
      </c>
      <c r="C2">
        <f>IF($S2="","",INDEX('Per Line'!$B$2:$B$501,$S2)&amp;"")</f>
        <v/>
      </c>
      <c r="D2">
        <f>IF($S2="","",INDEX('Per Line'!$C$2:$C$501,$S2)&amp;"")</f>
        <v/>
      </c>
      <c r="E2">
        <f>IF($S2="","",INDEX('Per Line'!$D$2:$D$501,$S2)&amp;"")</f>
        <v/>
      </c>
      <c r="F2">
        <f>IF($S2="","",INDEX('Per Line'!$E$2:$E$501,$S2))</f>
        <v/>
      </c>
      <c r="G2" s="7">
        <f>IF($S2="","",F2*Q2/100)</f>
        <v/>
      </c>
      <c r="H2" s="11">
        <f>IF($S2="","",INDEX('Per Line'!$O$2:$O$501,$S2))</f>
        <v/>
      </c>
      <c r="I2">
        <f>IF($S2="","",Settings!$C$7)</f>
        <v/>
      </c>
      <c r="J2" s="7">
        <f>IF($S2="","",SUMIFS('Per Line'!$K$2:$K$501,'Per Line'!$A$2:$A$501,$B2,'Per Line'!$V$2:$V$501,0))</f>
        <v/>
      </c>
      <c r="K2" s="7">
        <f>IF($S2="","",J2*I2)</f>
        <v/>
      </c>
      <c r="L2">
        <f>IF($S2="","",Settings!$C$6)</f>
        <v/>
      </c>
      <c r="M2" s="7">
        <f>IF($S2="","",SUMIFS('Per Line'!$K$2:$K$501,'Per Line'!$A$2:$A$501,$B2,'Per Line'!$V$2:$V$501,1))</f>
        <v/>
      </c>
      <c r="N2" s="7">
        <f>IF($S2="","",M2*L2)</f>
        <v/>
      </c>
      <c r="O2" s="7">
        <f>IF($S2="","",N2+K2)</f>
        <v/>
      </c>
      <c r="P2" s="7">
        <f>IF($S2="","",Q2-O2)</f>
        <v/>
      </c>
      <c r="Q2" s="7">
        <f>IF($S2="","",J2+M2)</f>
        <v/>
      </c>
      <c r="R2" s="7">
        <f>IF($S2="","",Q2-O2-G2)</f>
        <v/>
      </c>
      <c r="S2" s="13">
        <f>IF(ROWS($S$2:$S2)&lt;=MAX('Per Line'!$U$2:$U$501),MATCH(ROWS($S$2:$S2),'Per Line'!$U$2:$U$501,0),"")</f>
        <v/>
      </c>
    </row>
    <row r="3">
      <c r="A3" s="12" t="n"/>
      <c r="B3">
        <f>IF($S3="","",INDEX('Per Line'!$A$2:$A$501,$S3)&amp;"")</f>
        <v/>
      </c>
      <c r="C3">
        <f>IF($S3="","",INDEX('Per Line'!$B$2:$B$501,$S3)&amp;"")</f>
        <v/>
      </c>
      <c r="D3">
        <f>IF($S3="","",INDEX('Per Line'!$C$2:$C$501,$S3)&amp;"")</f>
        <v/>
      </c>
      <c r="E3">
        <f>IF($S3="","",INDEX('Per Line'!$D$2:$D$501,$S3)&amp;"")</f>
        <v/>
      </c>
      <c r="F3">
        <f>IF($S3="","",INDEX('Per Line'!$E$2:$E$501,$S3))</f>
        <v/>
      </c>
      <c r="G3" s="7">
        <f>IF($S3="","",F3*Q3/100)</f>
        <v/>
      </c>
      <c r="H3" s="11">
        <f>IF($S3="","",INDEX('Per Line'!$O$2:$O$501,$S3))</f>
        <v/>
      </c>
      <c r="I3">
        <f>IF($S3="","",Settings!$C$7)</f>
        <v/>
      </c>
      <c r="J3" s="7">
        <f>IF($S3="","",SUMIFS('Per Line'!$K$2:$K$501,'Per Line'!$A$2:$A$501,$B3,'Per Line'!$V$2:$V$501,0))</f>
        <v/>
      </c>
      <c r="K3" s="7">
        <f>IF($S3="","",J3*I3)</f>
        <v/>
      </c>
      <c r="L3">
        <f>IF($S3="","",Settings!$C$6)</f>
        <v/>
      </c>
      <c r="M3" s="7">
        <f>IF($S3="","",SUMIFS('Per Line'!$K$2:$K$501,'Per Line'!$A$2:$A$501,$B3,'Per Line'!$V$2:$V$501,1))</f>
        <v/>
      </c>
      <c r="N3" s="7">
        <f>IF($S3="","",M3*L3)</f>
        <v/>
      </c>
      <c r="O3" s="7">
        <f>IF($S3="","",N3+K3)</f>
        <v/>
      </c>
      <c r="P3" s="7">
        <f>IF($S3="","",Q3-O3)</f>
        <v/>
      </c>
      <c r="Q3" s="7">
        <f>IF($S3="","",J3+M3)</f>
        <v/>
      </c>
      <c r="R3" s="7">
        <f>IF($S3="","",Q3-O3-G3)</f>
        <v/>
      </c>
      <c r="S3" s="13">
        <f>IF(ROWS($S$2:$S3)&lt;=MAX('Per Line'!$U$2:$U$501),MATCH(ROWS($S$2:$S3),'Per Line'!$U$2:$U$501,0),"")</f>
        <v/>
      </c>
    </row>
    <row r="4">
      <c r="A4" s="12" t="n"/>
      <c r="B4">
        <f>IF($S4="","",INDEX('Per Line'!$A$2:$A$501,$S4)&amp;"")</f>
        <v/>
      </c>
      <c r="C4">
        <f>IF($S4="","",INDEX('Per Line'!$B$2:$B$501,$S4)&amp;"")</f>
        <v/>
      </c>
      <c r="D4">
        <f>IF($S4="","",INDEX('Per Line'!$C$2:$C$501,$S4)&amp;"")</f>
        <v/>
      </c>
      <c r="E4">
        <f>IF($S4="","",INDEX('Per Line'!$D$2:$D$501,$S4)&amp;"")</f>
        <v/>
      </c>
      <c r="F4">
        <f>IF($S4="","",INDEX('Per Line'!$E$2:$E$501,$S4))</f>
        <v/>
      </c>
      <c r="G4" s="7">
        <f>IF($S4="","",F4*Q4/100)</f>
        <v/>
      </c>
      <c r="H4" s="11">
        <f>IF($S4="","",INDEX('Per Line'!$O$2:$O$501,$S4))</f>
        <v/>
      </c>
      <c r="I4">
        <f>IF($S4="","",Settings!$C$7)</f>
        <v/>
      </c>
      <c r="J4" s="7">
        <f>IF($S4="","",SUMIFS('Per Line'!$K$2:$K$501,'Per Line'!$A$2:$A$501,$B4,'Per Line'!$V$2:$V$501,0))</f>
        <v/>
      </c>
      <c r="K4" s="7">
        <f>IF($S4="","",J4*I4)</f>
        <v/>
      </c>
      <c r="L4">
        <f>IF($S4="","",Settings!$C$6)</f>
        <v/>
      </c>
      <c r="M4" s="7">
        <f>IF($S4="","",SUMIFS('Per Line'!$K$2:$K$501,'Per Line'!$A$2:$A$501,$B4,'Per Line'!$V$2:$V$501,1))</f>
        <v/>
      </c>
      <c r="N4" s="7">
        <f>IF($S4="","",M4*L4)</f>
        <v/>
      </c>
      <c r="O4" s="7">
        <f>IF($S4="","",N4+K4)</f>
        <v/>
      </c>
      <c r="P4" s="7">
        <f>IF($S4="","",Q4-O4)</f>
        <v/>
      </c>
      <c r="Q4" s="7">
        <f>IF($S4="","",J4+M4)</f>
        <v/>
      </c>
      <c r="R4" s="7">
        <f>IF($S4="","",Q4-O4-G4)</f>
        <v/>
      </c>
      <c r="S4" s="13">
        <f>IF(ROWS($S$2:$S4)&lt;=MAX('Per Line'!$U$2:$U$501),MATCH(ROWS($S$2:$S4),'Per Line'!$U$2:$U$501,0),"")</f>
        <v/>
      </c>
    </row>
    <row r="5">
      <c r="A5" s="12" t="n"/>
      <c r="B5">
        <f>IF($S5="","",INDEX('Per Line'!$A$2:$A$501,$S5)&amp;"")</f>
        <v/>
      </c>
      <c r="C5">
        <f>IF($S5="","",INDEX('Per Line'!$B$2:$B$501,$S5)&amp;"")</f>
        <v/>
      </c>
      <c r="D5">
        <f>IF($S5="","",INDEX('Per Line'!$C$2:$C$501,$S5)&amp;"")</f>
        <v/>
      </c>
      <c r="E5">
        <f>IF($S5="","",INDEX('Per Line'!$D$2:$D$501,$S5)&amp;"")</f>
        <v/>
      </c>
      <c r="F5">
        <f>IF($S5="","",INDEX('Per Line'!$E$2:$E$501,$S5))</f>
        <v/>
      </c>
      <c r="G5" s="7">
        <f>IF($S5="","",F5*Q5/100)</f>
        <v/>
      </c>
      <c r="H5" s="11">
        <f>IF($S5="","",INDEX('Per Line'!$O$2:$O$501,$S5))</f>
        <v/>
      </c>
      <c r="I5">
        <f>IF($S5="","",Settings!$C$7)</f>
        <v/>
      </c>
      <c r="J5" s="7">
        <f>IF($S5="","",SUMIFS('Per Line'!$K$2:$K$501,'Per Line'!$A$2:$A$501,$B5,'Per Line'!$V$2:$V$501,0))</f>
        <v/>
      </c>
      <c r="K5" s="7">
        <f>IF($S5="","",J5*I5)</f>
        <v/>
      </c>
      <c r="L5">
        <f>IF($S5="","",Settings!$C$6)</f>
        <v/>
      </c>
      <c r="M5" s="7">
        <f>IF($S5="","",SUMIFS('Per Line'!$K$2:$K$501,'Per Line'!$A$2:$A$501,$B5,'Per Line'!$V$2:$V$501,1))</f>
        <v/>
      </c>
      <c r="N5" s="7">
        <f>IF($S5="","",M5*L5)</f>
        <v/>
      </c>
      <c r="O5" s="7">
        <f>IF($S5="","",N5+K5)</f>
        <v/>
      </c>
      <c r="P5" s="7">
        <f>IF($S5="","",Q5-O5)</f>
        <v/>
      </c>
      <c r="Q5" s="7">
        <f>IF($S5="","",J5+M5)</f>
        <v/>
      </c>
      <c r="R5" s="7">
        <f>IF($S5="","",Q5-O5-G5)</f>
        <v/>
      </c>
      <c r="S5" s="13">
        <f>IF(ROWS($S$2:$S5)&lt;=MAX('Per Line'!$U$2:$U$501),MATCH(ROWS($S$2:$S5),'Per Line'!$U$2:$U$501,0),"")</f>
        <v/>
      </c>
    </row>
    <row r="6">
      <c r="A6" s="12" t="n"/>
      <c r="B6">
        <f>IF($S6="","",INDEX('Per Line'!$A$2:$A$501,$S6)&amp;"")</f>
        <v/>
      </c>
      <c r="C6">
        <f>IF($S6="","",INDEX('Per Line'!$B$2:$B$501,$S6)&amp;"")</f>
        <v/>
      </c>
      <c r="D6">
        <f>IF($S6="","",INDEX('Per Line'!$C$2:$C$501,$S6)&amp;"")</f>
        <v/>
      </c>
      <c r="E6">
        <f>IF($S6="","",INDEX('Per Line'!$D$2:$D$501,$S6)&amp;"")</f>
        <v/>
      </c>
      <c r="F6">
        <f>IF($S6="","",INDEX('Per Line'!$E$2:$E$501,$S6))</f>
        <v/>
      </c>
      <c r="G6" s="7">
        <f>IF($S6="","",F6*Q6/100)</f>
        <v/>
      </c>
      <c r="H6" s="11">
        <f>IF($S6="","",INDEX('Per Line'!$O$2:$O$501,$S6))</f>
        <v/>
      </c>
      <c r="I6">
        <f>IF($S6="","",Settings!$C$7)</f>
        <v/>
      </c>
      <c r="J6" s="7">
        <f>IF($S6="","",SUMIFS('Per Line'!$K$2:$K$501,'Per Line'!$A$2:$A$501,$B6,'Per Line'!$V$2:$V$501,0))</f>
        <v/>
      </c>
      <c r="K6" s="7">
        <f>IF($S6="","",J6*I6)</f>
        <v/>
      </c>
      <c r="L6">
        <f>IF($S6="","",Settings!$C$6)</f>
        <v/>
      </c>
      <c r="M6" s="7">
        <f>IF($S6="","",SUMIFS('Per Line'!$K$2:$K$501,'Per Line'!$A$2:$A$501,$B6,'Per Line'!$V$2:$V$501,1))</f>
        <v/>
      </c>
      <c r="N6" s="7">
        <f>IF($S6="","",M6*L6)</f>
        <v/>
      </c>
      <c r="O6" s="7">
        <f>IF($S6="","",N6+K6)</f>
        <v/>
      </c>
      <c r="P6" s="7">
        <f>IF($S6="","",Q6-O6)</f>
        <v/>
      </c>
      <c r="Q6" s="7">
        <f>IF($S6="","",J6+M6)</f>
        <v/>
      </c>
      <c r="R6" s="7">
        <f>IF($S6="","",Q6-O6-G6)</f>
        <v/>
      </c>
      <c r="S6" s="13">
        <f>IF(ROWS($S$2:$S6)&lt;=MAX('Per Line'!$U$2:$U$501),MATCH(ROWS($S$2:$S6),'Per Line'!$U$2:$U$501,0),"")</f>
        <v/>
      </c>
    </row>
    <row r="7">
      <c r="A7" s="12" t="n"/>
      <c r="B7">
        <f>IF($S7="","",INDEX('Per Line'!$A$2:$A$501,$S7)&amp;"")</f>
        <v/>
      </c>
      <c r="C7">
        <f>IF($S7="","",INDEX('Per Line'!$B$2:$B$501,$S7)&amp;"")</f>
        <v/>
      </c>
      <c r="D7">
        <f>IF($S7="","",INDEX('Per Line'!$C$2:$C$501,$S7)&amp;"")</f>
        <v/>
      </c>
      <c r="E7">
        <f>IF($S7="","",INDEX('Per Line'!$D$2:$D$501,$S7)&amp;"")</f>
        <v/>
      </c>
      <c r="F7">
        <f>IF($S7="","",INDEX('Per Line'!$E$2:$E$501,$S7))</f>
        <v/>
      </c>
      <c r="G7" s="7">
        <f>IF($S7="","",F7*Q7/100)</f>
        <v/>
      </c>
      <c r="H7" s="11">
        <f>IF($S7="","",INDEX('Per Line'!$O$2:$O$501,$S7))</f>
        <v/>
      </c>
      <c r="I7">
        <f>IF($S7="","",Settings!$C$7)</f>
        <v/>
      </c>
      <c r="J7" s="7">
        <f>IF($S7="","",SUMIFS('Per Line'!$K$2:$K$501,'Per Line'!$A$2:$A$501,$B7,'Per Line'!$V$2:$V$501,0))</f>
        <v/>
      </c>
      <c r="K7" s="7">
        <f>IF($S7="","",J7*I7)</f>
        <v/>
      </c>
      <c r="L7">
        <f>IF($S7="","",Settings!$C$6)</f>
        <v/>
      </c>
      <c r="M7" s="7">
        <f>IF($S7="","",SUMIFS('Per Line'!$K$2:$K$501,'Per Line'!$A$2:$A$501,$B7,'Per Line'!$V$2:$V$501,1))</f>
        <v/>
      </c>
      <c r="N7" s="7">
        <f>IF($S7="","",M7*L7)</f>
        <v/>
      </c>
      <c r="O7" s="7">
        <f>IF($S7="","",N7+K7)</f>
        <v/>
      </c>
      <c r="P7" s="7">
        <f>IF($S7="","",Q7-O7)</f>
        <v/>
      </c>
      <c r="Q7" s="7">
        <f>IF($S7="","",J7+M7)</f>
        <v/>
      </c>
      <c r="R7" s="7">
        <f>IF($S7="","",Q7-O7-G7)</f>
        <v/>
      </c>
      <c r="S7" s="13">
        <f>IF(ROWS($S$2:$S7)&lt;=MAX('Per Line'!$U$2:$U$501),MATCH(ROWS($S$2:$S7),'Per Line'!$U$2:$U$501,0),"")</f>
        <v/>
      </c>
    </row>
    <row r="8">
      <c r="A8" s="12" t="n"/>
      <c r="B8">
        <f>IF($S8="","",INDEX('Per Line'!$A$2:$A$501,$S8)&amp;"")</f>
        <v/>
      </c>
      <c r="C8">
        <f>IF($S8="","",INDEX('Per Line'!$B$2:$B$501,$S8)&amp;"")</f>
        <v/>
      </c>
      <c r="D8">
        <f>IF($S8="","",INDEX('Per Line'!$C$2:$C$501,$S8)&amp;"")</f>
        <v/>
      </c>
      <c r="E8">
        <f>IF($S8="","",INDEX('Per Line'!$D$2:$D$501,$S8)&amp;"")</f>
        <v/>
      </c>
      <c r="F8">
        <f>IF($S8="","",INDEX('Per Line'!$E$2:$E$501,$S8))</f>
        <v/>
      </c>
      <c r="G8" s="7">
        <f>IF($S8="","",F8*Q8/100)</f>
        <v/>
      </c>
      <c r="H8" s="11">
        <f>IF($S8="","",INDEX('Per Line'!$O$2:$O$501,$S8))</f>
        <v/>
      </c>
      <c r="I8">
        <f>IF($S8="","",Settings!$C$7)</f>
        <v/>
      </c>
      <c r="J8" s="7">
        <f>IF($S8="","",SUMIFS('Per Line'!$K$2:$K$501,'Per Line'!$A$2:$A$501,$B8,'Per Line'!$V$2:$V$501,0))</f>
        <v/>
      </c>
      <c r="K8" s="7">
        <f>IF($S8="","",J8*I8)</f>
        <v/>
      </c>
      <c r="L8">
        <f>IF($S8="","",Settings!$C$6)</f>
        <v/>
      </c>
      <c r="M8" s="7">
        <f>IF($S8="","",SUMIFS('Per Line'!$K$2:$K$501,'Per Line'!$A$2:$A$501,$B8,'Per Line'!$V$2:$V$501,1))</f>
        <v/>
      </c>
      <c r="N8" s="7">
        <f>IF($S8="","",M8*L8)</f>
        <v/>
      </c>
      <c r="O8" s="7">
        <f>IF($S8="","",N8+K8)</f>
        <v/>
      </c>
      <c r="P8" s="7">
        <f>IF($S8="","",Q8-O8)</f>
        <v/>
      </c>
      <c r="Q8" s="7">
        <f>IF($S8="","",J8+M8)</f>
        <v/>
      </c>
      <c r="R8" s="7">
        <f>IF($S8="","",Q8-O8-G8)</f>
        <v/>
      </c>
      <c r="S8" s="13">
        <f>IF(ROWS($S$2:$S8)&lt;=MAX('Per Line'!$U$2:$U$501),MATCH(ROWS($S$2:$S8),'Per Line'!$U$2:$U$501,0),"")</f>
        <v/>
      </c>
    </row>
    <row r="9">
      <c r="A9" s="12" t="n"/>
      <c r="B9">
        <f>IF($S9="","",INDEX('Per Line'!$A$2:$A$501,$S9)&amp;"")</f>
        <v/>
      </c>
      <c r="C9">
        <f>IF($S9="","",INDEX('Per Line'!$B$2:$B$501,$S9)&amp;"")</f>
        <v/>
      </c>
      <c r="D9">
        <f>IF($S9="","",INDEX('Per Line'!$C$2:$C$501,$S9)&amp;"")</f>
        <v/>
      </c>
      <c r="E9">
        <f>IF($S9="","",INDEX('Per Line'!$D$2:$D$501,$S9)&amp;"")</f>
        <v/>
      </c>
      <c r="F9">
        <f>IF($S9="","",INDEX('Per Line'!$E$2:$E$501,$S9))</f>
        <v/>
      </c>
      <c r="G9" s="7">
        <f>IF($S9="","",F9*Q9/100)</f>
        <v/>
      </c>
      <c r="H9" s="11">
        <f>IF($S9="","",INDEX('Per Line'!$O$2:$O$501,$S9))</f>
        <v/>
      </c>
      <c r="I9">
        <f>IF($S9="","",Settings!$C$7)</f>
        <v/>
      </c>
      <c r="J9" s="7">
        <f>IF($S9="","",SUMIFS('Per Line'!$K$2:$K$501,'Per Line'!$A$2:$A$501,$B9,'Per Line'!$V$2:$V$501,0))</f>
        <v/>
      </c>
      <c r="K9" s="7">
        <f>IF($S9="","",J9*I9)</f>
        <v/>
      </c>
      <c r="L9">
        <f>IF($S9="","",Settings!$C$6)</f>
        <v/>
      </c>
      <c r="M9" s="7">
        <f>IF($S9="","",SUMIFS('Per Line'!$K$2:$K$501,'Per Line'!$A$2:$A$501,$B9,'Per Line'!$V$2:$V$501,1))</f>
        <v/>
      </c>
      <c r="N9" s="7">
        <f>IF($S9="","",M9*L9)</f>
        <v/>
      </c>
      <c r="O9" s="7">
        <f>IF($S9="","",N9+K9)</f>
        <v/>
      </c>
      <c r="P9" s="7">
        <f>IF($S9="","",Q9-O9)</f>
        <v/>
      </c>
      <c r="Q9" s="7">
        <f>IF($S9="","",J9+M9)</f>
        <v/>
      </c>
      <c r="R9" s="7">
        <f>IF($S9="","",Q9-O9-G9)</f>
        <v/>
      </c>
      <c r="S9" s="13">
        <f>IF(ROWS($S$2:$S9)&lt;=MAX('Per Line'!$U$2:$U$501),MATCH(ROWS($S$2:$S9),'Per Line'!$U$2:$U$501,0),"")</f>
        <v/>
      </c>
    </row>
    <row r="10">
      <c r="A10" s="12" t="n"/>
      <c r="B10">
        <f>IF($S10="","",INDEX('Per Line'!$A$2:$A$501,$S10)&amp;"")</f>
        <v/>
      </c>
      <c r="C10">
        <f>IF($S10="","",INDEX('Per Line'!$B$2:$B$501,$S10)&amp;"")</f>
        <v/>
      </c>
      <c r="D10">
        <f>IF($S10="","",INDEX('Per Line'!$C$2:$C$501,$S10)&amp;"")</f>
        <v/>
      </c>
      <c r="E10">
        <f>IF($S10="","",INDEX('Per Line'!$D$2:$D$501,$S10)&amp;"")</f>
        <v/>
      </c>
      <c r="F10">
        <f>IF($S10="","",INDEX('Per Line'!$E$2:$E$501,$S10))</f>
        <v/>
      </c>
      <c r="G10" s="7">
        <f>IF($S10="","",F10*Q10/100)</f>
        <v/>
      </c>
      <c r="H10" s="11">
        <f>IF($S10="","",INDEX('Per Line'!$O$2:$O$501,$S10))</f>
        <v/>
      </c>
      <c r="I10">
        <f>IF($S10="","",Settings!$C$7)</f>
        <v/>
      </c>
      <c r="J10" s="7">
        <f>IF($S10="","",SUMIFS('Per Line'!$K$2:$K$501,'Per Line'!$A$2:$A$501,$B10,'Per Line'!$V$2:$V$501,0))</f>
        <v/>
      </c>
      <c r="K10" s="7">
        <f>IF($S10="","",J10*I10)</f>
        <v/>
      </c>
      <c r="L10">
        <f>IF($S10="","",Settings!$C$6)</f>
        <v/>
      </c>
      <c r="M10" s="7">
        <f>IF($S10="","",SUMIFS('Per Line'!$K$2:$K$501,'Per Line'!$A$2:$A$501,$B10,'Per Line'!$V$2:$V$501,1))</f>
        <v/>
      </c>
      <c r="N10" s="7">
        <f>IF($S10="","",M10*L10)</f>
        <v/>
      </c>
      <c r="O10" s="7">
        <f>IF($S10="","",N10+K10)</f>
        <v/>
      </c>
      <c r="P10" s="7">
        <f>IF($S10="","",Q10-O10)</f>
        <v/>
      </c>
      <c r="Q10" s="7">
        <f>IF($S10="","",J10+M10)</f>
        <v/>
      </c>
      <c r="R10" s="7">
        <f>IF($S10="","",Q10-O10-G10)</f>
        <v/>
      </c>
      <c r="S10" s="13">
        <f>IF(ROWS($S$2:$S10)&lt;=MAX('Per Line'!$U$2:$U$501),MATCH(ROWS($S$2:$S10),'Per Line'!$U$2:$U$501,0),"")</f>
        <v/>
      </c>
    </row>
    <row r="11">
      <c r="A11" s="12" t="n"/>
      <c r="B11">
        <f>IF($S11="","",INDEX('Per Line'!$A$2:$A$501,$S11)&amp;"")</f>
        <v/>
      </c>
      <c r="C11">
        <f>IF($S11="","",INDEX('Per Line'!$B$2:$B$501,$S11)&amp;"")</f>
        <v/>
      </c>
      <c r="D11">
        <f>IF($S11="","",INDEX('Per Line'!$C$2:$C$501,$S11)&amp;"")</f>
        <v/>
      </c>
      <c r="E11">
        <f>IF($S11="","",INDEX('Per Line'!$D$2:$D$501,$S11)&amp;"")</f>
        <v/>
      </c>
      <c r="F11">
        <f>IF($S11="","",INDEX('Per Line'!$E$2:$E$501,$S11))</f>
        <v/>
      </c>
      <c r="G11" s="7">
        <f>IF($S11="","",F11*Q11/100)</f>
        <v/>
      </c>
      <c r="H11" s="11">
        <f>IF($S11="","",INDEX('Per Line'!$O$2:$O$501,$S11))</f>
        <v/>
      </c>
      <c r="I11">
        <f>IF($S11="","",Settings!$C$7)</f>
        <v/>
      </c>
      <c r="J11" s="7">
        <f>IF($S11="","",SUMIFS('Per Line'!$K$2:$K$501,'Per Line'!$A$2:$A$501,$B11,'Per Line'!$V$2:$V$501,0))</f>
        <v/>
      </c>
      <c r="K11" s="7">
        <f>IF($S11="","",J11*I11)</f>
        <v/>
      </c>
      <c r="L11">
        <f>IF($S11="","",Settings!$C$6)</f>
        <v/>
      </c>
      <c r="M11" s="7">
        <f>IF($S11="","",SUMIFS('Per Line'!$K$2:$K$501,'Per Line'!$A$2:$A$501,$B11,'Per Line'!$V$2:$V$501,1))</f>
        <v/>
      </c>
      <c r="N11" s="7">
        <f>IF($S11="","",M11*L11)</f>
        <v/>
      </c>
      <c r="O11" s="7">
        <f>IF($S11="","",N11+K11)</f>
        <v/>
      </c>
      <c r="P11" s="7">
        <f>IF($S11="","",Q11-O11)</f>
        <v/>
      </c>
      <c r="Q11" s="7">
        <f>IF($S11="","",J11+M11)</f>
        <v/>
      </c>
      <c r="R11" s="7">
        <f>IF($S11="","",Q11-O11-G11)</f>
        <v/>
      </c>
      <c r="S11" s="13">
        <f>IF(ROWS($S$2:$S11)&lt;=MAX('Per Line'!$U$2:$U$501),MATCH(ROWS($S$2:$S11),'Per Line'!$U$2:$U$501,0),"")</f>
        <v/>
      </c>
    </row>
    <row r="12">
      <c r="A12" s="12" t="n"/>
      <c r="B12">
        <f>IF($S12="","",INDEX('Per Line'!$A$2:$A$501,$S12)&amp;"")</f>
        <v/>
      </c>
      <c r="C12">
        <f>IF($S12="","",INDEX('Per Line'!$B$2:$B$501,$S12)&amp;"")</f>
        <v/>
      </c>
      <c r="D12">
        <f>IF($S12="","",INDEX('Per Line'!$C$2:$C$501,$S12)&amp;"")</f>
        <v/>
      </c>
      <c r="E12">
        <f>IF($S12="","",INDEX('Per Line'!$D$2:$D$501,$S12)&amp;"")</f>
        <v/>
      </c>
      <c r="F12">
        <f>IF($S12="","",INDEX('Per Line'!$E$2:$E$501,$S12))</f>
        <v/>
      </c>
      <c r="G12" s="7">
        <f>IF($S12="","",F12*Q12/100)</f>
        <v/>
      </c>
      <c r="H12" s="11">
        <f>IF($S12="","",INDEX('Per Line'!$O$2:$O$501,$S12))</f>
        <v/>
      </c>
      <c r="I12">
        <f>IF($S12="","",Settings!$C$7)</f>
        <v/>
      </c>
      <c r="J12" s="7">
        <f>IF($S12="","",SUMIFS('Per Line'!$K$2:$K$501,'Per Line'!$A$2:$A$501,$B12,'Per Line'!$V$2:$V$501,0))</f>
        <v/>
      </c>
      <c r="K12" s="7">
        <f>IF($S12="","",J12*I12)</f>
        <v/>
      </c>
      <c r="L12">
        <f>IF($S12="","",Settings!$C$6)</f>
        <v/>
      </c>
      <c r="M12" s="7">
        <f>IF($S12="","",SUMIFS('Per Line'!$K$2:$K$501,'Per Line'!$A$2:$A$501,$B12,'Per Line'!$V$2:$V$501,1))</f>
        <v/>
      </c>
      <c r="N12" s="7">
        <f>IF($S12="","",M12*L12)</f>
        <v/>
      </c>
      <c r="O12" s="7">
        <f>IF($S12="","",N12+K12)</f>
        <v/>
      </c>
      <c r="P12" s="7">
        <f>IF($S12="","",Q12-O12)</f>
        <v/>
      </c>
      <c r="Q12" s="7">
        <f>IF($S12="","",J12+M12)</f>
        <v/>
      </c>
      <c r="R12" s="7">
        <f>IF($S12="","",Q12-O12-G12)</f>
        <v/>
      </c>
      <c r="S12" s="13">
        <f>IF(ROWS($S$2:$S12)&lt;=MAX('Per Line'!$U$2:$U$501),MATCH(ROWS($S$2:$S12),'Per Line'!$U$2:$U$501,0),"")</f>
        <v/>
      </c>
    </row>
    <row r="13">
      <c r="A13" s="12" t="n"/>
      <c r="B13">
        <f>IF($S13="","",INDEX('Per Line'!$A$2:$A$501,$S13)&amp;"")</f>
        <v/>
      </c>
      <c r="C13">
        <f>IF($S13="","",INDEX('Per Line'!$B$2:$B$501,$S13)&amp;"")</f>
        <v/>
      </c>
      <c r="D13">
        <f>IF($S13="","",INDEX('Per Line'!$C$2:$C$501,$S13)&amp;"")</f>
        <v/>
      </c>
      <c r="E13">
        <f>IF($S13="","",INDEX('Per Line'!$D$2:$D$501,$S13)&amp;"")</f>
        <v/>
      </c>
      <c r="F13">
        <f>IF($S13="","",INDEX('Per Line'!$E$2:$E$501,$S13))</f>
        <v/>
      </c>
      <c r="G13" s="7">
        <f>IF($S13="","",F13*Q13/100)</f>
        <v/>
      </c>
      <c r="H13" s="11">
        <f>IF($S13="","",INDEX('Per Line'!$O$2:$O$501,$S13))</f>
        <v/>
      </c>
      <c r="I13">
        <f>IF($S13="","",Settings!$C$7)</f>
        <v/>
      </c>
      <c r="J13" s="7">
        <f>IF($S13="","",SUMIFS('Per Line'!$K$2:$K$501,'Per Line'!$A$2:$A$501,$B13,'Per Line'!$V$2:$V$501,0))</f>
        <v/>
      </c>
      <c r="K13" s="7">
        <f>IF($S13="","",J13*I13)</f>
        <v/>
      </c>
      <c r="L13">
        <f>IF($S13="","",Settings!$C$6)</f>
        <v/>
      </c>
      <c r="M13" s="7">
        <f>IF($S13="","",SUMIFS('Per Line'!$K$2:$K$501,'Per Line'!$A$2:$A$501,$B13,'Per Line'!$V$2:$V$501,1))</f>
        <v/>
      </c>
      <c r="N13" s="7">
        <f>IF($S13="","",M13*L13)</f>
        <v/>
      </c>
      <c r="O13" s="7">
        <f>IF($S13="","",N13+K13)</f>
        <v/>
      </c>
      <c r="P13" s="7">
        <f>IF($S13="","",Q13-O13)</f>
        <v/>
      </c>
      <c r="Q13" s="7">
        <f>IF($S13="","",J13+M13)</f>
        <v/>
      </c>
      <c r="R13" s="7">
        <f>IF($S13="","",Q13-O13-G13)</f>
        <v/>
      </c>
      <c r="S13" s="13">
        <f>IF(ROWS($S$2:$S13)&lt;=MAX('Per Line'!$U$2:$U$501),MATCH(ROWS($S$2:$S13),'Per Line'!$U$2:$U$501,0),"")</f>
        <v/>
      </c>
    </row>
    <row r="14">
      <c r="A14" s="12" t="n"/>
      <c r="B14">
        <f>IF($S14="","",INDEX('Per Line'!$A$2:$A$501,$S14)&amp;"")</f>
        <v/>
      </c>
      <c r="C14">
        <f>IF($S14="","",INDEX('Per Line'!$B$2:$B$501,$S14)&amp;"")</f>
        <v/>
      </c>
      <c r="D14">
        <f>IF($S14="","",INDEX('Per Line'!$C$2:$C$501,$S14)&amp;"")</f>
        <v/>
      </c>
      <c r="E14">
        <f>IF($S14="","",INDEX('Per Line'!$D$2:$D$501,$S14)&amp;"")</f>
        <v/>
      </c>
      <c r="F14">
        <f>IF($S14="","",INDEX('Per Line'!$E$2:$E$501,$S14))</f>
        <v/>
      </c>
      <c r="G14" s="7">
        <f>IF($S14="","",F14*Q14/100)</f>
        <v/>
      </c>
      <c r="H14" s="11">
        <f>IF($S14="","",INDEX('Per Line'!$O$2:$O$501,$S14))</f>
        <v/>
      </c>
      <c r="I14">
        <f>IF($S14="","",Settings!$C$7)</f>
        <v/>
      </c>
      <c r="J14" s="7">
        <f>IF($S14="","",SUMIFS('Per Line'!$K$2:$K$501,'Per Line'!$A$2:$A$501,$B14,'Per Line'!$V$2:$V$501,0))</f>
        <v/>
      </c>
      <c r="K14" s="7">
        <f>IF($S14="","",J14*I14)</f>
        <v/>
      </c>
      <c r="L14">
        <f>IF($S14="","",Settings!$C$6)</f>
        <v/>
      </c>
      <c r="M14" s="7">
        <f>IF($S14="","",SUMIFS('Per Line'!$K$2:$K$501,'Per Line'!$A$2:$A$501,$B14,'Per Line'!$V$2:$V$501,1))</f>
        <v/>
      </c>
      <c r="N14" s="7">
        <f>IF($S14="","",M14*L14)</f>
        <v/>
      </c>
      <c r="O14" s="7">
        <f>IF($S14="","",N14+K14)</f>
        <v/>
      </c>
      <c r="P14" s="7">
        <f>IF($S14="","",Q14-O14)</f>
        <v/>
      </c>
      <c r="Q14" s="7">
        <f>IF($S14="","",J14+M14)</f>
        <v/>
      </c>
      <c r="R14" s="7">
        <f>IF($S14="","",Q14-O14-G14)</f>
        <v/>
      </c>
      <c r="S14" s="13">
        <f>IF(ROWS($S$2:$S14)&lt;=MAX('Per Line'!$U$2:$U$501),MATCH(ROWS($S$2:$S14),'Per Line'!$U$2:$U$501,0),"")</f>
        <v/>
      </c>
    </row>
    <row r="15">
      <c r="A15" s="12" t="n"/>
      <c r="B15">
        <f>IF($S15="","",INDEX('Per Line'!$A$2:$A$501,$S15)&amp;"")</f>
        <v/>
      </c>
      <c r="C15">
        <f>IF($S15="","",INDEX('Per Line'!$B$2:$B$501,$S15)&amp;"")</f>
        <v/>
      </c>
      <c r="D15">
        <f>IF($S15="","",INDEX('Per Line'!$C$2:$C$501,$S15)&amp;"")</f>
        <v/>
      </c>
      <c r="E15">
        <f>IF($S15="","",INDEX('Per Line'!$D$2:$D$501,$S15)&amp;"")</f>
        <v/>
      </c>
      <c r="F15">
        <f>IF($S15="","",INDEX('Per Line'!$E$2:$E$501,$S15))</f>
        <v/>
      </c>
      <c r="G15" s="7">
        <f>IF($S15="","",F15*Q15/100)</f>
        <v/>
      </c>
      <c r="H15" s="11">
        <f>IF($S15="","",INDEX('Per Line'!$O$2:$O$501,$S15))</f>
        <v/>
      </c>
      <c r="I15">
        <f>IF($S15="","",Settings!$C$7)</f>
        <v/>
      </c>
      <c r="J15" s="7">
        <f>IF($S15="","",SUMIFS('Per Line'!$K$2:$K$501,'Per Line'!$A$2:$A$501,$B15,'Per Line'!$V$2:$V$501,0))</f>
        <v/>
      </c>
      <c r="K15" s="7">
        <f>IF($S15="","",J15*I15)</f>
        <v/>
      </c>
      <c r="L15">
        <f>IF($S15="","",Settings!$C$6)</f>
        <v/>
      </c>
      <c r="M15" s="7">
        <f>IF($S15="","",SUMIFS('Per Line'!$K$2:$K$501,'Per Line'!$A$2:$A$501,$B15,'Per Line'!$V$2:$V$501,1))</f>
        <v/>
      </c>
      <c r="N15" s="7">
        <f>IF($S15="","",M15*L15)</f>
        <v/>
      </c>
      <c r="O15" s="7">
        <f>IF($S15="","",N15+K15)</f>
        <v/>
      </c>
      <c r="P15" s="7">
        <f>IF($S15="","",Q15-O15)</f>
        <v/>
      </c>
      <c r="Q15" s="7">
        <f>IF($S15="","",J15+M15)</f>
        <v/>
      </c>
      <c r="R15" s="7">
        <f>IF($S15="","",Q15-O15-G15)</f>
        <v/>
      </c>
      <c r="S15" s="13">
        <f>IF(ROWS($S$2:$S15)&lt;=MAX('Per Line'!$U$2:$U$501),MATCH(ROWS($S$2:$S15),'Per Line'!$U$2:$U$501,0),"")</f>
        <v/>
      </c>
    </row>
    <row r="16">
      <c r="A16" s="12" t="n"/>
      <c r="B16">
        <f>IF($S16="","",INDEX('Per Line'!$A$2:$A$501,$S16)&amp;"")</f>
        <v/>
      </c>
      <c r="C16">
        <f>IF($S16="","",INDEX('Per Line'!$B$2:$B$501,$S16)&amp;"")</f>
        <v/>
      </c>
      <c r="D16">
        <f>IF($S16="","",INDEX('Per Line'!$C$2:$C$501,$S16)&amp;"")</f>
        <v/>
      </c>
      <c r="E16">
        <f>IF($S16="","",INDEX('Per Line'!$D$2:$D$501,$S16)&amp;"")</f>
        <v/>
      </c>
      <c r="F16">
        <f>IF($S16="","",INDEX('Per Line'!$E$2:$E$501,$S16))</f>
        <v/>
      </c>
      <c r="G16" s="7">
        <f>IF($S16="","",F16*Q16/100)</f>
        <v/>
      </c>
      <c r="H16" s="11">
        <f>IF($S16="","",INDEX('Per Line'!$O$2:$O$501,$S16))</f>
        <v/>
      </c>
      <c r="I16">
        <f>IF($S16="","",Settings!$C$7)</f>
        <v/>
      </c>
      <c r="J16" s="7">
        <f>IF($S16="","",SUMIFS('Per Line'!$K$2:$K$501,'Per Line'!$A$2:$A$501,$B16,'Per Line'!$V$2:$V$501,0))</f>
        <v/>
      </c>
      <c r="K16" s="7">
        <f>IF($S16="","",J16*I16)</f>
        <v/>
      </c>
      <c r="L16">
        <f>IF($S16="","",Settings!$C$6)</f>
        <v/>
      </c>
      <c r="M16" s="7">
        <f>IF($S16="","",SUMIFS('Per Line'!$K$2:$K$501,'Per Line'!$A$2:$A$501,$B16,'Per Line'!$V$2:$V$501,1))</f>
        <v/>
      </c>
      <c r="N16" s="7">
        <f>IF($S16="","",M16*L16)</f>
        <v/>
      </c>
      <c r="O16" s="7">
        <f>IF($S16="","",N16+K16)</f>
        <v/>
      </c>
      <c r="P16" s="7">
        <f>IF($S16="","",Q16-O16)</f>
        <v/>
      </c>
      <c r="Q16" s="7">
        <f>IF($S16="","",J16+M16)</f>
        <v/>
      </c>
      <c r="R16" s="7">
        <f>IF($S16="","",Q16-O16-G16)</f>
        <v/>
      </c>
      <c r="S16" s="13">
        <f>IF(ROWS($S$2:$S16)&lt;=MAX('Per Line'!$U$2:$U$501),MATCH(ROWS($S$2:$S16),'Per Line'!$U$2:$U$501,0),"")</f>
        <v/>
      </c>
    </row>
    <row r="17">
      <c r="A17" s="12" t="n"/>
      <c r="B17">
        <f>IF($S17="","",INDEX('Per Line'!$A$2:$A$501,$S17)&amp;"")</f>
        <v/>
      </c>
      <c r="C17">
        <f>IF($S17="","",INDEX('Per Line'!$B$2:$B$501,$S17)&amp;"")</f>
        <v/>
      </c>
      <c r="D17">
        <f>IF($S17="","",INDEX('Per Line'!$C$2:$C$501,$S17)&amp;"")</f>
        <v/>
      </c>
      <c r="E17">
        <f>IF($S17="","",INDEX('Per Line'!$D$2:$D$501,$S17)&amp;"")</f>
        <v/>
      </c>
      <c r="F17">
        <f>IF($S17="","",INDEX('Per Line'!$E$2:$E$501,$S17))</f>
        <v/>
      </c>
      <c r="G17" s="7">
        <f>IF($S17="","",F17*Q17/100)</f>
        <v/>
      </c>
      <c r="H17" s="11">
        <f>IF($S17="","",INDEX('Per Line'!$O$2:$O$501,$S17))</f>
        <v/>
      </c>
      <c r="I17">
        <f>IF($S17="","",Settings!$C$7)</f>
        <v/>
      </c>
      <c r="J17" s="7">
        <f>IF($S17="","",SUMIFS('Per Line'!$K$2:$K$501,'Per Line'!$A$2:$A$501,$B17,'Per Line'!$V$2:$V$501,0))</f>
        <v/>
      </c>
      <c r="K17" s="7">
        <f>IF($S17="","",J17*I17)</f>
        <v/>
      </c>
      <c r="L17">
        <f>IF($S17="","",Settings!$C$6)</f>
        <v/>
      </c>
      <c r="M17" s="7">
        <f>IF($S17="","",SUMIFS('Per Line'!$K$2:$K$501,'Per Line'!$A$2:$A$501,$B17,'Per Line'!$V$2:$V$501,1))</f>
        <v/>
      </c>
      <c r="N17" s="7">
        <f>IF($S17="","",M17*L17)</f>
        <v/>
      </c>
      <c r="O17" s="7">
        <f>IF($S17="","",N17+K17)</f>
        <v/>
      </c>
      <c r="P17" s="7">
        <f>IF($S17="","",Q17-O17)</f>
        <v/>
      </c>
      <c r="Q17" s="7">
        <f>IF($S17="","",J17+M17)</f>
        <v/>
      </c>
      <c r="R17" s="7">
        <f>IF($S17="","",Q17-O17-G17)</f>
        <v/>
      </c>
      <c r="S17" s="13">
        <f>IF(ROWS($S$2:$S17)&lt;=MAX('Per Line'!$U$2:$U$501),MATCH(ROWS($S$2:$S17),'Per Line'!$U$2:$U$501,0),"")</f>
        <v/>
      </c>
    </row>
    <row r="18">
      <c r="A18" s="12" t="n"/>
      <c r="B18">
        <f>IF($S18="","",INDEX('Per Line'!$A$2:$A$501,$S18)&amp;"")</f>
        <v/>
      </c>
      <c r="C18">
        <f>IF($S18="","",INDEX('Per Line'!$B$2:$B$501,$S18)&amp;"")</f>
        <v/>
      </c>
      <c r="D18">
        <f>IF($S18="","",INDEX('Per Line'!$C$2:$C$501,$S18)&amp;"")</f>
        <v/>
      </c>
      <c r="E18">
        <f>IF($S18="","",INDEX('Per Line'!$D$2:$D$501,$S18)&amp;"")</f>
        <v/>
      </c>
      <c r="F18">
        <f>IF($S18="","",INDEX('Per Line'!$E$2:$E$501,$S18))</f>
        <v/>
      </c>
      <c r="G18" s="7">
        <f>IF($S18="","",F18*Q18/100)</f>
        <v/>
      </c>
      <c r="H18" s="11">
        <f>IF($S18="","",INDEX('Per Line'!$O$2:$O$501,$S18))</f>
        <v/>
      </c>
      <c r="I18">
        <f>IF($S18="","",Settings!$C$7)</f>
        <v/>
      </c>
      <c r="J18" s="7">
        <f>IF($S18="","",SUMIFS('Per Line'!$K$2:$K$501,'Per Line'!$A$2:$A$501,$B18,'Per Line'!$V$2:$V$501,0))</f>
        <v/>
      </c>
      <c r="K18" s="7">
        <f>IF($S18="","",J18*I18)</f>
        <v/>
      </c>
      <c r="L18">
        <f>IF($S18="","",Settings!$C$6)</f>
        <v/>
      </c>
      <c r="M18" s="7">
        <f>IF($S18="","",SUMIFS('Per Line'!$K$2:$K$501,'Per Line'!$A$2:$A$501,$B18,'Per Line'!$V$2:$V$501,1))</f>
        <v/>
      </c>
      <c r="N18" s="7">
        <f>IF($S18="","",M18*L18)</f>
        <v/>
      </c>
      <c r="O18" s="7">
        <f>IF($S18="","",N18+K18)</f>
        <v/>
      </c>
      <c r="P18" s="7">
        <f>IF($S18="","",Q18-O18)</f>
        <v/>
      </c>
      <c r="Q18" s="7">
        <f>IF($S18="","",J18+M18)</f>
        <v/>
      </c>
      <c r="R18" s="7">
        <f>IF($S18="","",Q18-O18-G18)</f>
        <v/>
      </c>
      <c r="S18" s="13">
        <f>IF(ROWS($S$2:$S18)&lt;=MAX('Per Line'!$U$2:$U$501),MATCH(ROWS($S$2:$S18),'Per Line'!$U$2:$U$501,0),"")</f>
        <v/>
      </c>
    </row>
    <row r="19">
      <c r="A19" s="12" t="n"/>
      <c r="B19">
        <f>IF($S19="","",INDEX('Per Line'!$A$2:$A$501,$S19)&amp;"")</f>
        <v/>
      </c>
      <c r="C19">
        <f>IF($S19="","",INDEX('Per Line'!$B$2:$B$501,$S19)&amp;"")</f>
        <v/>
      </c>
      <c r="D19">
        <f>IF($S19="","",INDEX('Per Line'!$C$2:$C$501,$S19)&amp;"")</f>
        <v/>
      </c>
      <c r="E19">
        <f>IF($S19="","",INDEX('Per Line'!$D$2:$D$501,$S19)&amp;"")</f>
        <v/>
      </c>
      <c r="F19">
        <f>IF($S19="","",INDEX('Per Line'!$E$2:$E$501,$S19))</f>
        <v/>
      </c>
      <c r="G19" s="7">
        <f>IF($S19="","",F19*Q19/100)</f>
        <v/>
      </c>
      <c r="H19" s="11">
        <f>IF($S19="","",INDEX('Per Line'!$O$2:$O$501,$S19))</f>
        <v/>
      </c>
      <c r="I19">
        <f>IF($S19="","",Settings!$C$7)</f>
        <v/>
      </c>
      <c r="J19" s="7">
        <f>IF($S19="","",SUMIFS('Per Line'!$K$2:$K$501,'Per Line'!$A$2:$A$501,$B19,'Per Line'!$V$2:$V$501,0))</f>
        <v/>
      </c>
      <c r="K19" s="7">
        <f>IF($S19="","",J19*I19)</f>
        <v/>
      </c>
      <c r="L19">
        <f>IF($S19="","",Settings!$C$6)</f>
        <v/>
      </c>
      <c r="M19" s="7">
        <f>IF($S19="","",SUMIFS('Per Line'!$K$2:$K$501,'Per Line'!$A$2:$A$501,$B19,'Per Line'!$V$2:$V$501,1))</f>
        <v/>
      </c>
      <c r="N19" s="7">
        <f>IF($S19="","",M19*L19)</f>
        <v/>
      </c>
      <c r="O19" s="7">
        <f>IF($S19="","",N19+K19)</f>
        <v/>
      </c>
      <c r="P19" s="7">
        <f>IF($S19="","",Q19-O19)</f>
        <v/>
      </c>
      <c r="Q19" s="7">
        <f>IF($S19="","",J19+M19)</f>
        <v/>
      </c>
      <c r="R19" s="7">
        <f>IF($S19="","",Q19-O19-G19)</f>
        <v/>
      </c>
      <c r="S19" s="13">
        <f>IF(ROWS($S$2:$S19)&lt;=MAX('Per Line'!$U$2:$U$501),MATCH(ROWS($S$2:$S19),'Per Line'!$U$2:$U$501,0),"")</f>
        <v/>
      </c>
    </row>
    <row r="20">
      <c r="A20" s="12" t="n"/>
      <c r="B20">
        <f>IF($S20="","",INDEX('Per Line'!$A$2:$A$501,$S20)&amp;"")</f>
        <v/>
      </c>
      <c r="C20">
        <f>IF($S20="","",INDEX('Per Line'!$B$2:$B$501,$S20)&amp;"")</f>
        <v/>
      </c>
      <c r="D20">
        <f>IF($S20="","",INDEX('Per Line'!$C$2:$C$501,$S20)&amp;"")</f>
        <v/>
      </c>
      <c r="E20">
        <f>IF($S20="","",INDEX('Per Line'!$D$2:$D$501,$S20)&amp;"")</f>
        <v/>
      </c>
      <c r="F20">
        <f>IF($S20="","",INDEX('Per Line'!$E$2:$E$501,$S20))</f>
        <v/>
      </c>
      <c r="G20" s="7">
        <f>IF($S20="","",F20*Q20/100)</f>
        <v/>
      </c>
      <c r="H20" s="11">
        <f>IF($S20="","",INDEX('Per Line'!$O$2:$O$501,$S20))</f>
        <v/>
      </c>
      <c r="I20">
        <f>IF($S20="","",Settings!$C$7)</f>
        <v/>
      </c>
      <c r="J20" s="7">
        <f>IF($S20="","",SUMIFS('Per Line'!$K$2:$K$501,'Per Line'!$A$2:$A$501,$B20,'Per Line'!$V$2:$V$501,0))</f>
        <v/>
      </c>
      <c r="K20" s="7">
        <f>IF($S20="","",J20*I20)</f>
        <v/>
      </c>
      <c r="L20">
        <f>IF($S20="","",Settings!$C$6)</f>
        <v/>
      </c>
      <c r="M20" s="7">
        <f>IF($S20="","",SUMIFS('Per Line'!$K$2:$K$501,'Per Line'!$A$2:$A$501,$B20,'Per Line'!$V$2:$V$501,1))</f>
        <v/>
      </c>
      <c r="N20" s="7">
        <f>IF($S20="","",M20*L20)</f>
        <v/>
      </c>
      <c r="O20" s="7">
        <f>IF($S20="","",N20+K20)</f>
        <v/>
      </c>
      <c r="P20" s="7">
        <f>IF($S20="","",Q20-O20)</f>
        <v/>
      </c>
      <c r="Q20" s="7">
        <f>IF($S20="","",J20+M20)</f>
        <v/>
      </c>
      <c r="R20" s="7">
        <f>IF($S20="","",Q20-O20-G20)</f>
        <v/>
      </c>
      <c r="S20" s="13">
        <f>IF(ROWS($S$2:$S20)&lt;=MAX('Per Line'!$U$2:$U$501),MATCH(ROWS($S$2:$S20),'Per Line'!$U$2:$U$501,0),"")</f>
        <v/>
      </c>
    </row>
    <row r="21">
      <c r="A21" s="12" t="n"/>
      <c r="B21">
        <f>IF($S21="","",INDEX('Per Line'!$A$2:$A$501,$S21)&amp;"")</f>
        <v/>
      </c>
      <c r="C21">
        <f>IF($S21="","",INDEX('Per Line'!$B$2:$B$501,$S21)&amp;"")</f>
        <v/>
      </c>
      <c r="D21">
        <f>IF($S21="","",INDEX('Per Line'!$C$2:$C$501,$S21)&amp;"")</f>
        <v/>
      </c>
      <c r="E21">
        <f>IF($S21="","",INDEX('Per Line'!$D$2:$D$501,$S21)&amp;"")</f>
        <v/>
      </c>
      <c r="F21">
        <f>IF($S21="","",INDEX('Per Line'!$E$2:$E$501,$S21))</f>
        <v/>
      </c>
      <c r="G21" s="7">
        <f>IF($S21="","",F21*Q21/100)</f>
        <v/>
      </c>
      <c r="H21" s="11">
        <f>IF($S21="","",INDEX('Per Line'!$O$2:$O$501,$S21))</f>
        <v/>
      </c>
      <c r="I21">
        <f>IF($S21="","",Settings!$C$7)</f>
        <v/>
      </c>
      <c r="J21" s="7">
        <f>IF($S21="","",SUMIFS('Per Line'!$K$2:$K$501,'Per Line'!$A$2:$A$501,$B21,'Per Line'!$V$2:$V$501,0))</f>
        <v/>
      </c>
      <c r="K21" s="7">
        <f>IF($S21="","",J21*I21)</f>
        <v/>
      </c>
      <c r="L21">
        <f>IF($S21="","",Settings!$C$6)</f>
        <v/>
      </c>
      <c r="M21" s="7">
        <f>IF($S21="","",SUMIFS('Per Line'!$K$2:$K$501,'Per Line'!$A$2:$A$501,$B21,'Per Line'!$V$2:$V$501,1))</f>
        <v/>
      </c>
      <c r="N21" s="7">
        <f>IF($S21="","",M21*L21)</f>
        <v/>
      </c>
      <c r="O21" s="7">
        <f>IF($S21="","",N21+K21)</f>
        <v/>
      </c>
      <c r="P21" s="7">
        <f>IF($S21="","",Q21-O21)</f>
        <v/>
      </c>
      <c r="Q21" s="7">
        <f>IF($S21="","",J21+M21)</f>
        <v/>
      </c>
      <c r="R21" s="7">
        <f>IF($S21="","",Q21-O21-G21)</f>
        <v/>
      </c>
      <c r="S21" s="13">
        <f>IF(ROWS($S$2:$S21)&lt;=MAX('Per Line'!$U$2:$U$501),MATCH(ROWS($S$2:$S21),'Per Line'!$U$2:$U$501,0),"")</f>
        <v/>
      </c>
    </row>
    <row r="22">
      <c r="A22" s="12" t="n"/>
      <c r="B22">
        <f>IF($S22="","",INDEX('Per Line'!$A$2:$A$501,$S22)&amp;"")</f>
        <v/>
      </c>
      <c r="C22">
        <f>IF($S22="","",INDEX('Per Line'!$B$2:$B$501,$S22)&amp;"")</f>
        <v/>
      </c>
      <c r="D22">
        <f>IF($S22="","",INDEX('Per Line'!$C$2:$C$501,$S22)&amp;"")</f>
        <v/>
      </c>
      <c r="E22">
        <f>IF($S22="","",INDEX('Per Line'!$D$2:$D$501,$S22)&amp;"")</f>
        <v/>
      </c>
      <c r="F22">
        <f>IF($S22="","",INDEX('Per Line'!$E$2:$E$501,$S22))</f>
        <v/>
      </c>
      <c r="G22" s="7">
        <f>IF($S22="","",F22*Q22/100)</f>
        <v/>
      </c>
      <c r="H22" s="11">
        <f>IF($S22="","",INDEX('Per Line'!$O$2:$O$501,$S22))</f>
        <v/>
      </c>
      <c r="I22">
        <f>IF($S22="","",Settings!$C$7)</f>
        <v/>
      </c>
      <c r="J22" s="7">
        <f>IF($S22="","",SUMIFS('Per Line'!$K$2:$K$501,'Per Line'!$A$2:$A$501,$B22,'Per Line'!$V$2:$V$501,0))</f>
        <v/>
      </c>
      <c r="K22" s="7">
        <f>IF($S22="","",J22*I22)</f>
        <v/>
      </c>
      <c r="L22">
        <f>IF($S22="","",Settings!$C$6)</f>
        <v/>
      </c>
      <c r="M22" s="7">
        <f>IF($S22="","",SUMIFS('Per Line'!$K$2:$K$501,'Per Line'!$A$2:$A$501,$B22,'Per Line'!$V$2:$V$501,1))</f>
        <v/>
      </c>
      <c r="N22" s="7">
        <f>IF($S22="","",M22*L22)</f>
        <v/>
      </c>
      <c r="O22" s="7">
        <f>IF($S22="","",N22+K22)</f>
        <v/>
      </c>
      <c r="P22" s="7">
        <f>IF($S22="","",Q22-O22)</f>
        <v/>
      </c>
      <c r="Q22" s="7">
        <f>IF($S22="","",J22+M22)</f>
        <v/>
      </c>
      <c r="R22" s="7">
        <f>IF($S22="","",Q22-O22-G22)</f>
        <v/>
      </c>
      <c r="S22" s="13">
        <f>IF(ROWS($S$2:$S22)&lt;=MAX('Per Line'!$U$2:$U$501),MATCH(ROWS($S$2:$S22),'Per Line'!$U$2:$U$501,0),"")</f>
        <v/>
      </c>
    </row>
    <row r="23">
      <c r="A23" s="12" t="n"/>
      <c r="B23">
        <f>IF($S23="","",INDEX('Per Line'!$A$2:$A$501,$S23)&amp;"")</f>
        <v/>
      </c>
      <c r="C23">
        <f>IF($S23="","",INDEX('Per Line'!$B$2:$B$501,$S23)&amp;"")</f>
        <v/>
      </c>
      <c r="D23">
        <f>IF($S23="","",INDEX('Per Line'!$C$2:$C$501,$S23)&amp;"")</f>
        <v/>
      </c>
      <c r="E23">
        <f>IF($S23="","",INDEX('Per Line'!$D$2:$D$501,$S23)&amp;"")</f>
        <v/>
      </c>
      <c r="F23">
        <f>IF($S23="","",INDEX('Per Line'!$E$2:$E$501,$S23))</f>
        <v/>
      </c>
      <c r="G23" s="7">
        <f>IF($S23="","",F23*Q23/100)</f>
        <v/>
      </c>
      <c r="H23" s="11">
        <f>IF($S23="","",INDEX('Per Line'!$O$2:$O$501,$S23))</f>
        <v/>
      </c>
      <c r="I23">
        <f>IF($S23="","",Settings!$C$7)</f>
        <v/>
      </c>
      <c r="J23" s="7">
        <f>IF($S23="","",SUMIFS('Per Line'!$K$2:$K$501,'Per Line'!$A$2:$A$501,$B23,'Per Line'!$V$2:$V$501,0))</f>
        <v/>
      </c>
      <c r="K23" s="7">
        <f>IF($S23="","",J23*I23)</f>
        <v/>
      </c>
      <c r="L23">
        <f>IF($S23="","",Settings!$C$6)</f>
        <v/>
      </c>
      <c r="M23" s="7">
        <f>IF($S23="","",SUMIFS('Per Line'!$K$2:$K$501,'Per Line'!$A$2:$A$501,$B23,'Per Line'!$V$2:$V$501,1))</f>
        <v/>
      </c>
      <c r="N23" s="7">
        <f>IF($S23="","",M23*L23)</f>
        <v/>
      </c>
      <c r="O23" s="7">
        <f>IF($S23="","",N23+K23)</f>
        <v/>
      </c>
      <c r="P23" s="7">
        <f>IF($S23="","",Q23-O23)</f>
        <v/>
      </c>
      <c r="Q23" s="7">
        <f>IF($S23="","",J23+M23)</f>
        <v/>
      </c>
      <c r="R23" s="7">
        <f>IF($S23="","",Q23-O23-G23)</f>
        <v/>
      </c>
      <c r="S23" s="13">
        <f>IF(ROWS($S$2:$S23)&lt;=MAX('Per Line'!$U$2:$U$501),MATCH(ROWS($S$2:$S23),'Per Line'!$U$2:$U$501,0),"")</f>
        <v/>
      </c>
    </row>
    <row r="24">
      <c r="A24" s="12" t="n"/>
      <c r="B24">
        <f>IF($S24="","",INDEX('Per Line'!$A$2:$A$501,$S24)&amp;"")</f>
        <v/>
      </c>
      <c r="C24">
        <f>IF($S24="","",INDEX('Per Line'!$B$2:$B$501,$S24)&amp;"")</f>
        <v/>
      </c>
      <c r="D24">
        <f>IF($S24="","",INDEX('Per Line'!$C$2:$C$501,$S24)&amp;"")</f>
        <v/>
      </c>
      <c r="E24">
        <f>IF($S24="","",INDEX('Per Line'!$D$2:$D$501,$S24)&amp;"")</f>
        <v/>
      </c>
      <c r="F24">
        <f>IF($S24="","",INDEX('Per Line'!$E$2:$E$501,$S24))</f>
        <v/>
      </c>
      <c r="G24" s="7">
        <f>IF($S24="","",F24*Q24/100)</f>
        <v/>
      </c>
      <c r="H24" s="11">
        <f>IF($S24="","",INDEX('Per Line'!$O$2:$O$501,$S24))</f>
        <v/>
      </c>
      <c r="I24">
        <f>IF($S24="","",Settings!$C$7)</f>
        <v/>
      </c>
      <c r="J24" s="7">
        <f>IF($S24="","",SUMIFS('Per Line'!$K$2:$K$501,'Per Line'!$A$2:$A$501,$B24,'Per Line'!$V$2:$V$501,0))</f>
        <v/>
      </c>
      <c r="K24" s="7">
        <f>IF($S24="","",J24*I24)</f>
        <v/>
      </c>
      <c r="L24">
        <f>IF($S24="","",Settings!$C$6)</f>
        <v/>
      </c>
      <c r="M24" s="7">
        <f>IF($S24="","",SUMIFS('Per Line'!$K$2:$K$501,'Per Line'!$A$2:$A$501,$B24,'Per Line'!$V$2:$V$501,1))</f>
        <v/>
      </c>
      <c r="N24" s="7">
        <f>IF($S24="","",M24*L24)</f>
        <v/>
      </c>
      <c r="O24" s="7">
        <f>IF($S24="","",N24+K24)</f>
        <v/>
      </c>
      <c r="P24" s="7">
        <f>IF($S24="","",Q24-O24)</f>
        <v/>
      </c>
      <c r="Q24" s="7">
        <f>IF($S24="","",J24+M24)</f>
        <v/>
      </c>
      <c r="R24" s="7">
        <f>IF($S24="","",Q24-O24-G24)</f>
        <v/>
      </c>
      <c r="S24" s="13">
        <f>IF(ROWS($S$2:$S24)&lt;=MAX('Per Line'!$U$2:$U$501),MATCH(ROWS($S$2:$S24),'Per Line'!$U$2:$U$501,0),"")</f>
        <v/>
      </c>
    </row>
    <row r="25">
      <c r="A25" s="12" t="n"/>
      <c r="B25">
        <f>IF($S25="","",INDEX('Per Line'!$A$2:$A$501,$S25)&amp;"")</f>
        <v/>
      </c>
      <c r="C25">
        <f>IF($S25="","",INDEX('Per Line'!$B$2:$B$501,$S25)&amp;"")</f>
        <v/>
      </c>
      <c r="D25">
        <f>IF($S25="","",INDEX('Per Line'!$C$2:$C$501,$S25)&amp;"")</f>
        <v/>
      </c>
      <c r="E25">
        <f>IF($S25="","",INDEX('Per Line'!$D$2:$D$501,$S25)&amp;"")</f>
        <v/>
      </c>
      <c r="F25">
        <f>IF($S25="","",INDEX('Per Line'!$E$2:$E$501,$S25))</f>
        <v/>
      </c>
      <c r="G25" s="7">
        <f>IF($S25="","",F25*Q25/100)</f>
        <v/>
      </c>
      <c r="H25" s="11">
        <f>IF($S25="","",INDEX('Per Line'!$O$2:$O$501,$S25))</f>
        <v/>
      </c>
      <c r="I25">
        <f>IF($S25="","",Settings!$C$7)</f>
        <v/>
      </c>
      <c r="J25" s="7">
        <f>IF($S25="","",SUMIFS('Per Line'!$K$2:$K$501,'Per Line'!$A$2:$A$501,$B25,'Per Line'!$V$2:$V$501,0))</f>
        <v/>
      </c>
      <c r="K25" s="7">
        <f>IF($S25="","",J25*I25)</f>
        <v/>
      </c>
      <c r="L25">
        <f>IF($S25="","",Settings!$C$6)</f>
        <v/>
      </c>
      <c r="M25" s="7">
        <f>IF($S25="","",SUMIFS('Per Line'!$K$2:$K$501,'Per Line'!$A$2:$A$501,$B25,'Per Line'!$V$2:$V$501,1))</f>
        <v/>
      </c>
      <c r="N25" s="7">
        <f>IF($S25="","",M25*L25)</f>
        <v/>
      </c>
      <c r="O25" s="7">
        <f>IF($S25="","",N25+K25)</f>
        <v/>
      </c>
      <c r="P25" s="7">
        <f>IF($S25="","",Q25-O25)</f>
        <v/>
      </c>
      <c r="Q25" s="7">
        <f>IF($S25="","",J25+M25)</f>
        <v/>
      </c>
      <c r="R25" s="7">
        <f>IF($S25="","",Q25-O25-G25)</f>
        <v/>
      </c>
      <c r="S25" s="13">
        <f>IF(ROWS($S$2:$S25)&lt;=MAX('Per Line'!$U$2:$U$501),MATCH(ROWS($S$2:$S25),'Per Line'!$U$2:$U$501,0),"")</f>
        <v/>
      </c>
    </row>
    <row r="26">
      <c r="A26" s="12" t="n"/>
      <c r="B26">
        <f>IF($S26="","",INDEX('Per Line'!$A$2:$A$501,$S26)&amp;"")</f>
        <v/>
      </c>
      <c r="C26">
        <f>IF($S26="","",INDEX('Per Line'!$B$2:$B$501,$S26)&amp;"")</f>
        <v/>
      </c>
      <c r="D26">
        <f>IF($S26="","",INDEX('Per Line'!$C$2:$C$501,$S26)&amp;"")</f>
        <v/>
      </c>
      <c r="E26">
        <f>IF($S26="","",INDEX('Per Line'!$D$2:$D$501,$S26)&amp;"")</f>
        <v/>
      </c>
      <c r="F26">
        <f>IF($S26="","",INDEX('Per Line'!$E$2:$E$501,$S26))</f>
        <v/>
      </c>
      <c r="G26" s="7">
        <f>IF($S26="","",F26*Q26/100)</f>
        <v/>
      </c>
      <c r="H26" s="11">
        <f>IF($S26="","",INDEX('Per Line'!$O$2:$O$501,$S26))</f>
        <v/>
      </c>
      <c r="I26">
        <f>IF($S26="","",Settings!$C$7)</f>
        <v/>
      </c>
      <c r="J26" s="7">
        <f>IF($S26="","",SUMIFS('Per Line'!$K$2:$K$501,'Per Line'!$A$2:$A$501,$B26,'Per Line'!$V$2:$V$501,0))</f>
        <v/>
      </c>
      <c r="K26" s="7">
        <f>IF($S26="","",J26*I26)</f>
        <v/>
      </c>
      <c r="L26">
        <f>IF($S26="","",Settings!$C$6)</f>
        <v/>
      </c>
      <c r="M26" s="7">
        <f>IF($S26="","",SUMIFS('Per Line'!$K$2:$K$501,'Per Line'!$A$2:$A$501,$B26,'Per Line'!$V$2:$V$501,1))</f>
        <v/>
      </c>
      <c r="N26" s="7">
        <f>IF($S26="","",M26*L26)</f>
        <v/>
      </c>
      <c r="O26" s="7">
        <f>IF($S26="","",N26+K26)</f>
        <v/>
      </c>
      <c r="P26" s="7">
        <f>IF($S26="","",Q26-O26)</f>
        <v/>
      </c>
      <c r="Q26" s="7">
        <f>IF($S26="","",J26+M26)</f>
        <v/>
      </c>
      <c r="R26" s="7">
        <f>IF($S26="","",Q26-O26-G26)</f>
        <v/>
      </c>
      <c r="S26" s="13">
        <f>IF(ROWS($S$2:$S26)&lt;=MAX('Per Line'!$U$2:$U$501),MATCH(ROWS($S$2:$S26),'Per Line'!$U$2:$U$501,0),"")</f>
        <v/>
      </c>
    </row>
    <row r="27">
      <c r="A27" s="12" t="n"/>
      <c r="B27">
        <f>IF($S27="","",INDEX('Per Line'!$A$2:$A$501,$S27)&amp;"")</f>
        <v/>
      </c>
      <c r="C27">
        <f>IF($S27="","",INDEX('Per Line'!$B$2:$B$501,$S27)&amp;"")</f>
        <v/>
      </c>
      <c r="D27">
        <f>IF($S27="","",INDEX('Per Line'!$C$2:$C$501,$S27)&amp;"")</f>
        <v/>
      </c>
      <c r="E27">
        <f>IF($S27="","",INDEX('Per Line'!$D$2:$D$501,$S27)&amp;"")</f>
        <v/>
      </c>
      <c r="F27">
        <f>IF($S27="","",INDEX('Per Line'!$E$2:$E$501,$S27))</f>
        <v/>
      </c>
      <c r="G27" s="7">
        <f>IF($S27="","",F27*Q27/100)</f>
        <v/>
      </c>
      <c r="H27" s="11">
        <f>IF($S27="","",INDEX('Per Line'!$O$2:$O$501,$S27))</f>
        <v/>
      </c>
      <c r="I27">
        <f>IF($S27="","",Settings!$C$7)</f>
        <v/>
      </c>
      <c r="J27" s="7">
        <f>IF($S27="","",SUMIFS('Per Line'!$K$2:$K$501,'Per Line'!$A$2:$A$501,$B27,'Per Line'!$V$2:$V$501,0))</f>
        <v/>
      </c>
      <c r="K27" s="7">
        <f>IF($S27="","",J27*I27)</f>
        <v/>
      </c>
      <c r="L27">
        <f>IF($S27="","",Settings!$C$6)</f>
        <v/>
      </c>
      <c r="M27" s="7">
        <f>IF($S27="","",SUMIFS('Per Line'!$K$2:$K$501,'Per Line'!$A$2:$A$501,$B27,'Per Line'!$V$2:$V$501,1))</f>
        <v/>
      </c>
      <c r="N27" s="7">
        <f>IF($S27="","",M27*L27)</f>
        <v/>
      </c>
      <c r="O27" s="7">
        <f>IF($S27="","",N27+K27)</f>
        <v/>
      </c>
      <c r="P27" s="7">
        <f>IF($S27="","",Q27-O27)</f>
        <v/>
      </c>
      <c r="Q27" s="7">
        <f>IF($S27="","",J27+M27)</f>
        <v/>
      </c>
      <c r="R27" s="7">
        <f>IF($S27="","",Q27-O27-G27)</f>
        <v/>
      </c>
      <c r="S27" s="13">
        <f>IF(ROWS($S$2:$S27)&lt;=MAX('Per Line'!$U$2:$U$501),MATCH(ROWS($S$2:$S27),'Per Line'!$U$2:$U$501,0),"")</f>
        <v/>
      </c>
    </row>
    <row r="28">
      <c r="A28" s="12" t="n"/>
      <c r="B28">
        <f>IF($S28="","",INDEX('Per Line'!$A$2:$A$501,$S28)&amp;"")</f>
        <v/>
      </c>
      <c r="C28">
        <f>IF($S28="","",INDEX('Per Line'!$B$2:$B$501,$S28)&amp;"")</f>
        <v/>
      </c>
      <c r="D28">
        <f>IF($S28="","",INDEX('Per Line'!$C$2:$C$501,$S28)&amp;"")</f>
        <v/>
      </c>
      <c r="E28">
        <f>IF($S28="","",INDEX('Per Line'!$D$2:$D$501,$S28)&amp;"")</f>
        <v/>
      </c>
      <c r="F28">
        <f>IF($S28="","",INDEX('Per Line'!$E$2:$E$501,$S28))</f>
        <v/>
      </c>
      <c r="G28" s="7">
        <f>IF($S28="","",F28*Q28/100)</f>
        <v/>
      </c>
      <c r="H28" s="11">
        <f>IF($S28="","",INDEX('Per Line'!$O$2:$O$501,$S28))</f>
        <v/>
      </c>
      <c r="I28">
        <f>IF($S28="","",Settings!$C$7)</f>
        <v/>
      </c>
      <c r="J28" s="7">
        <f>IF($S28="","",SUMIFS('Per Line'!$K$2:$K$501,'Per Line'!$A$2:$A$501,$B28,'Per Line'!$V$2:$V$501,0))</f>
        <v/>
      </c>
      <c r="K28" s="7">
        <f>IF($S28="","",J28*I28)</f>
        <v/>
      </c>
      <c r="L28">
        <f>IF($S28="","",Settings!$C$6)</f>
        <v/>
      </c>
      <c r="M28" s="7">
        <f>IF($S28="","",SUMIFS('Per Line'!$K$2:$K$501,'Per Line'!$A$2:$A$501,$B28,'Per Line'!$V$2:$V$501,1))</f>
        <v/>
      </c>
      <c r="N28" s="7">
        <f>IF($S28="","",M28*L28)</f>
        <v/>
      </c>
      <c r="O28" s="7">
        <f>IF($S28="","",N28+K28)</f>
        <v/>
      </c>
      <c r="P28" s="7">
        <f>IF($S28="","",Q28-O28)</f>
        <v/>
      </c>
      <c r="Q28" s="7">
        <f>IF($S28="","",J28+M28)</f>
        <v/>
      </c>
      <c r="R28" s="7">
        <f>IF($S28="","",Q28-O28-G28)</f>
        <v/>
      </c>
      <c r="S28" s="13">
        <f>IF(ROWS($S$2:$S28)&lt;=MAX('Per Line'!$U$2:$U$501),MATCH(ROWS($S$2:$S28),'Per Line'!$U$2:$U$501,0),"")</f>
        <v/>
      </c>
    </row>
    <row r="29">
      <c r="A29" s="12" t="n"/>
      <c r="B29">
        <f>IF($S29="","",INDEX('Per Line'!$A$2:$A$501,$S29)&amp;"")</f>
        <v/>
      </c>
      <c r="C29">
        <f>IF($S29="","",INDEX('Per Line'!$B$2:$B$501,$S29)&amp;"")</f>
        <v/>
      </c>
      <c r="D29">
        <f>IF($S29="","",INDEX('Per Line'!$C$2:$C$501,$S29)&amp;"")</f>
        <v/>
      </c>
      <c r="E29">
        <f>IF($S29="","",INDEX('Per Line'!$D$2:$D$501,$S29)&amp;"")</f>
        <v/>
      </c>
      <c r="F29">
        <f>IF($S29="","",INDEX('Per Line'!$E$2:$E$501,$S29))</f>
        <v/>
      </c>
      <c r="G29" s="7">
        <f>IF($S29="","",F29*Q29/100)</f>
        <v/>
      </c>
      <c r="H29" s="11">
        <f>IF($S29="","",INDEX('Per Line'!$O$2:$O$501,$S29))</f>
        <v/>
      </c>
      <c r="I29">
        <f>IF($S29="","",Settings!$C$7)</f>
        <v/>
      </c>
      <c r="J29" s="7">
        <f>IF($S29="","",SUMIFS('Per Line'!$K$2:$K$501,'Per Line'!$A$2:$A$501,$B29,'Per Line'!$V$2:$V$501,0))</f>
        <v/>
      </c>
      <c r="K29" s="7">
        <f>IF($S29="","",J29*I29)</f>
        <v/>
      </c>
      <c r="L29">
        <f>IF($S29="","",Settings!$C$6)</f>
        <v/>
      </c>
      <c r="M29" s="7">
        <f>IF($S29="","",SUMIFS('Per Line'!$K$2:$K$501,'Per Line'!$A$2:$A$501,$B29,'Per Line'!$V$2:$V$501,1))</f>
        <v/>
      </c>
      <c r="N29" s="7">
        <f>IF($S29="","",M29*L29)</f>
        <v/>
      </c>
      <c r="O29" s="7">
        <f>IF($S29="","",N29+K29)</f>
        <v/>
      </c>
      <c r="P29" s="7">
        <f>IF($S29="","",Q29-O29)</f>
        <v/>
      </c>
      <c r="Q29" s="7">
        <f>IF($S29="","",J29+M29)</f>
        <v/>
      </c>
      <c r="R29" s="7">
        <f>IF($S29="","",Q29-O29-G29)</f>
        <v/>
      </c>
      <c r="S29" s="13">
        <f>IF(ROWS($S$2:$S29)&lt;=MAX('Per Line'!$U$2:$U$501),MATCH(ROWS($S$2:$S29),'Per Line'!$U$2:$U$501,0),"")</f>
        <v/>
      </c>
    </row>
    <row r="30">
      <c r="A30" s="12" t="n"/>
      <c r="B30">
        <f>IF($S30="","",INDEX('Per Line'!$A$2:$A$501,$S30)&amp;"")</f>
        <v/>
      </c>
      <c r="C30">
        <f>IF($S30="","",INDEX('Per Line'!$B$2:$B$501,$S30)&amp;"")</f>
        <v/>
      </c>
      <c r="D30">
        <f>IF($S30="","",INDEX('Per Line'!$C$2:$C$501,$S30)&amp;"")</f>
        <v/>
      </c>
      <c r="E30">
        <f>IF($S30="","",INDEX('Per Line'!$D$2:$D$501,$S30)&amp;"")</f>
        <v/>
      </c>
      <c r="F30">
        <f>IF($S30="","",INDEX('Per Line'!$E$2:$E$501,$S30))</f>
        <v/>
      </c>
      <c r="G30" s="7">
        <f>IF($S30="","",F30*Q30/100)</f>
        <v/>
      </c>
      <c r="H30" s="11">
        <f>IF($S30="","",INDEX('Per Line'!$O$2:$O$501,$S30))</f>
        <v/>
      </c>
      <c r="I30">
        <f>IF($S30="","",Settings!$C$7)</f>
        <v/>
      </c>
      <c r="J30" s="7">
        <f>IF($S30="","",SUMIFS('Per Line'!$K$2:$K$501,'Per Line'!$A$2:$A$501,$B30,'Per Line'!$V$2:$V$501,0))</f>
        <v/>
      </c>
      <c r="K30" s="7">
        <f>IF($S30="","",J30*I30)</f>
        <v/>
      </c>
      <c r="L30">
        <f>IF($S30="","",Settings!$C$6)</f>
        <v/>
      </c>
      <c r="M30" s="7">
        <f>IF($S30="","",SUMIFS('Per Line'!$K$2:$K$501,'Per Line'!$A$2:$A$501,$B30,'Per Line'!$V$2:$V$501,1))</f>
        <v/>
      </c>
      <c r="N30" s="7">
        <f>IF($S30="","",M30*L30)</f>
        <v/>
      </c>
      <c r="O30" s="7">
        <f>IF($S30="","",N30+K30)</f>
        <v/>
      </c>
      <c r="P30" s="7">
        <f>IF($S30="","",Q30-O30)</f>
        <v/>
      </c>
      <c r="Q30" s="7">
        <f>IF($S30="","",J30+M30)</f>
        <v/>
      </c>
      <c r="R30" s="7">
        <f>IF($S30="","",Q30-O30-G30)</f>
        <v/>
      </c>
      <c r="S30" s="13">
        <f>IF(ROWS($S$2:$S30)&lt;=MAX('Per Line'!$U$2:$U$501),MATCH(ROWS($S$2:$S30),'Per Line'!$U$2:$U$501,0),"")</f>
        <v/>
      </c>
    </row>
    <row r="31">
      <c r="A31" s="12" t="n"/>
      <c r="B31">
        <f>IF($S31="","",INDEX('Per Line'!$A$2:$A$501,$S31)&amp;"")</f>
        <v/>
      </c>
      <c r="C31">
        <f>IF($S31="","",INDEX('Per Line'!$B$2:$B$501,$S31)&amp;"")</f>
        <v/>
      </c>
      <c r="D31">
        <f>IF($S31="","",INDEX('Per Line'!$C$2:$C$501,$S31)&amp;"")</f>
        <v/>
      </c>
      <c r="E31">
        <f>IF($S31="","",INDEX('Per Line'!$D$2:$D$501,$S31)&amp;"")</f>
        <v/>
      </c>
      <c r="F31">
        <f>IF($S31="","",INDEX('Per Line'!$E$2:$E$501,$S31))</f>
        <v/>
      </c>
      <c r="G31" s="7">
        <f>IF($S31="","",F31*Q31/100)</f>
        <v/>
      </c>
      <c r="H31" s="11">
        <f>IF($S31="","",INDEX('Per Line'!$O$2:$O$501,$S31))</f>
        <v/>
      </c>
      <c r="I31">
        <f>IF($S31="","",Settings!$C$7)</f>
        <v/>
      </c>
      <c r="J31" s="7">
        <f>IF($S31="","",SUMIFS('Per Line'!$K$2:$K$501,'Per Line'!$A$2:$A$501,$B31,'Per Line'!$V$2:$V$501,0))</f>
        <v/>
      </c>
      <c r="K31" s="7">
        <f>IF($S31="","",J31*I31)</f>
        <v/>
      </c>
      <c r="L31">
        <f>IF($S31="","",Settings!$C$6)</f>
        <v/>
      </c>
      <c r="M31" s="7">
        <f>IF($S31="","",SUMIFS('Per Line'!$K$2:$K$501,'Per Line'!$A$2:$A$501,$B31,'Per Line'!$V$2:$V$501,1))</f>
        <v/>
      </c>
      <c r="N31" s="7">
        <f>IF($S31="","",M31*L31)</f>
        <v/>
      </c>
      <c r="O31" s="7">
        <f>IF($S31="","",N31+K31)</f>
        <v/>
      </c>
      <c r="P31" s="7">
        <f>IF($S31="","",Q31-O31)</f>
        <v/>
      </c>
      <c r="Q31" s="7">
        <f>IF($S31="","",J31+M31)</f>
        <v/>
      </c>
      <c r="R31" s="7">
        <f>IF($S31="","",Q31-O31-G31)</f>
        <v/>
      </c>
      <c r="S31" s="13">
        <f>IF(ROWS($S$2:$S31)&lt;=MAX('Per Line'!$U$2:$U$501),MATCH(ROWS($S$2:$S31),'Per Line'!$U$2:$U$501,0),"")</f>
        <v/>
      </c>
    </row>
    <row r="32">
      <c r="A32" s="12" t="n"/>
      <c r="B32">
        <f>IF($S32="","",INDEX('Per Line'!$A$2:$A$501,$S32)&amp;"")</f>
        <v/>
      </c>
      <c r="C32">
        <f>IF($S32="","",INDEX('Per Line'!$B$2:$B$501,$S32)&amp;"")</f>
        <v/>
      </c>
      <c r="D32">
        <f>IF($S32="","",INDEX('Per Line'!$C$2:$C$501,$S32)&amp;"")</f>
        <v/>
      </c>
      <c r="E32">
        <f>IF($S32="","",INDEX('Per Line'!$D$2:$D$501,$S32)&amp;"")</f>
        <v/>
      </c>
      <c r="F32">
        <f>IF($S32="","",INDEX('Per Line'!$E$2:$E$501,$S32))</f>
        <v/>
      </c>
      <c r="G32" s="7">
        <f>IF($S32="","",F32*Q32/100)</f>
        <v/>
      </c>
      <c r="H32" s="11">
        <f>IF($S32="","",INDEX('Per Line'!$O$2:$O$501,$S32))</f>
        <v/>
      </c>
      <c r="I32">
        <f>IF($S32="","",Settings!$C$7)</f>
        <v/>
      </c>
      <c r="J32" s="7">
        <f>IF($S32="","",SUMIFS('Per Line'!$K$2:$K$501,'Per Line'!$A$2:$A$501,$B32,'Per Line'!$V$2:$V$501,0))</f>
        <v/>
      </c>
      <c r="K32" s="7">
        <f>IF($S32="","",J32*I32)</f>
        <v/>
      </c>
      <c r="L32">
        <f>IF($S32="","",Settings!$C$6)</f>
        <v/>
      </c>
      <c r="M32" s="7">
        <f>IF($S32="","",SUMIFS('Per Line'!$K$2:$K$501,'Per Line'!$A$2:$A$501,$B32,'Per Line'!$V$2:$V$501,1))</f>
        <v/>
      </c>
      <c r="N32" s="7">
        <f>IF($S32="","",M32*L32)</f>
        <v/>
      </c>
      <c r="O32" s="7">
        <f>IF($S32="","",N32+K32)</f>
        <v/>
      </c>
      <c r="P32" s="7">
        <f>IF($S32="","",Q32-O32)</f>
        <v/>
      </c>
      <c r="Q32" s="7">
        <f>IF($S32="","",J32+M32)</f>
        <v/>
      </c>
      <c r="R32" s="7">
        <f>IF($S32="","",Q32-O32-G32)</f>
        <v/>
      </c>
      <c r="S32" s="13">
        <f>IF(ROWS($S$2:$S32)&lt;=MAX('Per Line'!$U$2:$U$501),MATCH(ROWS($S$2:$S32),'Per Line'!$U$2:$U$501,0),"")</f>
        <v/>
      </c>
    </row>
    <row r="33">
      <c r="A33" s="12" t="n"/>
      <c r="B33">
        <f>IF($S33="","",INDEX('Per Line'!$A$2:$A$501,$S33)&amp;"")</f>
        <v/>
      </c>
      <c r="C33">
        <f>IF($S33="","",INDEX('Per Line'!$B$2:$B$501,$S33)&amp;"")</f>
        <v/>
      </c>
      <c r="D33">
        <f>IF($S33="","",INDEX('Per Line'!$C$2:$C$501,$S33)&amp;"")</f>
        <v/>
      </c>
      <c r="E33">
        <f>IF($S33="","",INDEX('Per Line'!$D$2:$D$501,$S33)&amp;"")</f>
        <v/>
      </c>
      <c r="F33">
        <f>IF($S33="","",INDEX('Per Line'!$E$2:$E$501,$S33))</f>
        <v/>
      </c>
      <c r="G33" s="7">
        <f>IF($S33="","",F33*Q33/100)</f>
        <v/>
      </c>
      <c r="H33" s="11">
        <f>IF($S33="","",INDEX('Per Line'!$O$2:$O$501,$S33))</f>
        <v/>
      </c>
      <c r="I33">
        <f>IF($S33="","",Settings!$C$7)</f>
        <v/>
      </c>
      <c r="J33" s="7">
        <f>IF($S33="","",SUMIFS('Per Line'!$K$2:$K$501,'Per Line'!$A$2:$A$501,$B33,'Per Line'!$V$2:$V$501,0))</f>
        <v/>
      </c>
      <c r="K33" s="7">
        <f>IF($S33="","",J33*I33)</f>
        <v/>
      </c>
      <c r="L33">
        <f>IF($S33="","",Settings!$C$6)</f>
        <v/>
      </c>
      <c r="M33" s="7">
        <f>IF($S33="","",SUMIFS('Per Line'!$K$2:$K$501,'Per Line'!$A$2:$A$501,$B33,'Per Line'!$V$2:$V$501,1))</f>
        <v/>
      </c>
      <c r="N33" s="7">
        <f>IF($S33="","",M33*L33)</f>
        <v/>
      </c>
      <c r="O33" s="7">
        <f>IF($S33="","",N33+K33)</f>
        <v/>
      </c>
      <c r="P33" s="7">
        <f>IF($S33="","",Q33-O33)</f>
        <v/>
      </c>
      <c r="Q33" s="7">
        <f>IF($S33="","",J33+M33)</f>
        <v/>
      </c>
      <c r="R33" s="7">
        <f>IF($S33="","",Q33-O33-G33)</f>
        <v/>
      </c>
      <c r="S33" s="13">
        <f>IF(ROWS($S$2:$S33)&lt;=MAX('Per Line'!$U$2:$U$501),MATCH(ROWS($S$2:$S33),'Per Line'!$U$2:$U$501,0),"")</f>
        <v/>
      </c>
    </row>
    <row r="34">
      <c r="A34" s="12" t="n"/>
      <c r="B34">
        <f>IF($S34="","",INDEX('Per Line'!$A$2:$A$501,$S34)&amp;"")</f>
        <v/>
      </c>
      <c r="C34">
        <f>IF($S34="","",INDEX('Per Line'!$B$2:$B$501,$S34)&amp;"")</f>
        <v/>
      </c>
      <c r="D34">
        <f>IF($S34="","",INDEX('Per Line'!$C$2:$C$501,$S34)&amp;"")</f>
        <v/>
      </c>
      <c r="E34">
        <f>IF($S34="","",INDEX('Per Line'!$D$2:$D$501,$S34)&amp;"")</f>
        <v/>
      </c>
      <c r="F34">
        <f>IF($S34="","",INDEX('Per Line'!$E$2:$E$501,$S34))</f>
        <v/>
      </c>
      <c r="G34" s="7">
        <f>IF($S34="","",F34*Q34/100)</f>
        <v/>
      </c>
      <c r="H34" s="11">
        <f>IF($S34="","",INDEX('Per Line'!$O$2:$O$501,$S34))</f>
        <v/>
      </c>
      <c r="I34">
        <f>IF($S34="","",Settings!$C$7)</f>
        <v/>
      </c>
      <c r="J34" s="7">
        <f>IF($S34="","",SUMIFS('Per Line'!$K$2:$K$501,'Per Line'!$A$2:$A$501,$B34,'Per Line'!$V$2:$V$501,0))</f>
        <v/>
      </c>
      <c r="K34" s="7">
        <f>IF($S34="","",J34*I34)</f>
        <v/>
      </c>
      <c r="L34">
        <f>IF($S34="","",Settings!$C$6)</f>
        <v/>
      </c>
      <c r="M34" s="7">
        <f>IF($S34="","",SUMIFS('Per Line'!$K$2:$K$501,'Per Line'!$A$2:$A$501,$B34,'Per Line'!$V$2:$V$501,1))</f>
        <v/>
      </c>
      <c r="N34" s="7">
        <f>IF($S34="","",M34*L34)</f>
        <v/>
      </c>
      <c r="O34" s="7">
        <f>IF($S34="","",N34+K34)</f>
        <v/>
      </c>
      <c r="P34" s="7">
        <f>IF($S34="","",Q34-O34)</f>
        <v/>
      </c>
      <c r="Q34" s="7">
        <f>IF($S34="","",J34+M34)</f>
        <v/>
      </c>
      <c r="R34" s="7">
        <f>IF($S34="","",Q34-O34-G34)</f>
        <v/>
      </c>
      <c r="S34" s="13">
        <f>IF(ROWS($S$2:$S34)&lt;=MAX('Per Line'!$U$2:$U$501),MATCH(ROWS($S$2:$S34),'Per Line'!$U$2:$U$501,0),"")</f>
        <v/>
      </c>
    </row>
    <row r="35">
      <c r="A35" s="12" t="n"/>
      <c r="B35">
        <f>IF($S35="","",INDEX('Per Line'!$A$2:$A$501,$S35)&amp;"")</f>
        <v/>
      </c>
      <c r="C35">
        <f>IF($S35="","",INDEX('Per Line'!$B$2:$B$501,$S35)&amp;"")</f>
        <v/>
      </c>
      <c r="D35">
        <f>IF($S35="","",INDEX('Per Line'!$C$2:$C$501,$S35)&amp;"")</f>
        <v/>
      </c>
      <c r="E35">
        <f>IF($S35="","",INDEX('Per Line'!$D$2:$D$501,$S35)&amp;"")</f>
        <v/>
      </c>
      <c r="F35">
        <f>IF($S35="","",INDEX('Per Line'!$E$2:$E$501,$S35))</f>
        <v/>
      </c>
      <c r="G35" s="7">
        <f>IF($S35="","",F35*Q35/100)</f>
        <v/>
      </c>
      <c r="H35" s="11">
        <f>IF($S35="","",INDEX('Per Line'!$O$2:$O$501,$S35))</f>
        <v/>
      </c>
      <c r="I35">
        <f>IF($S35="","",Settings!$C$7)</f>
        <v/>
      </c>
      <c r="J35" s="7">
        <f>IF($S35="","",SUMIFS('Per Line'!$K$2:$K$501,'Per Line'!$A$2:$A$501,$B35,'Per Line'!$V$2:$V$501,0))</f>
        <v/>
      </c>
      <c r="K35" s="7">
        <f>IF($S35="","",J35*I35)</f>
        <v/>
      </c>
      <c r="L35">
        <f>IF($S35="","",Settings!$C$6)</f>
        <v/>
      </c>
      <c r="M35" s="7">
        <f>IF($S35="","",SUMIFS('Per Line'!$K$2:$K$501,'Per Line'!$A$2:$A$501,$B35,'Per Line'!$V$2:$V$501,1))</f>
        <v/>
      </c>
      <c r="N35" s="7">
        <f>IF($S35="","",M35*L35)</f>
        <v/>
      </c>
      <c r="O35" s="7">
        <f>IF($S35="","",N35+K35)</f>
        <v/>
      </c>
      <c r="P35" s="7">
        <f>IF($S35="","",Q35-O35)</f>
        <v/>
      </c>
      <c r="Q35" s="7">
        <f>IF($S35="","",J35+M35)</f>
        <v/>
      </c>
      <c r="R35" s="7">
        <f>IF($S35="","",Q35-O35-G35)</f>
        <v/>
      </c>
      <c r="S35" s="13">
        <f>IF(ROWS($S$2:$S35)&lt;=MAX('Per Line'!$U$2:$U$501),MATCH(ROWS($S$2:$S35),'Per Line'!$U$2:$U$501,0),"")</f>
        <v/>
      </c>
    </row>
    <row r="36">
      <c r="A36" s="12" t="n"/>
      <c r="B36">
        <f>IF($S36="","",INDEX('Per Line'!$A$2:$A$501,$S36)&amp;"")</f>
        <v/>
      </c>
      <c r="C36">
        <f>IF($S36="","",INDEX('Per Line'!$B$2:$B$501,$S36)&amp;"")</f>
        <v/>
      </c>
      <c r="D36">
        <f>IF($S36="","",INDEX('Per Line'!$C$2:$C$501,$S36)&amp;"")</f>
        <v/>
      </c>
      <c r="E36">
        <f>IF($S36="","",INDEX('Per Line'!$D$2:$D$501,$S36)&amp;"")</f>
        <v/>
      </c>
      <c r="F36">
        <f>IF($S36="","",INDEX('Per Line'!$E$2:$E$501,$S36))</f>
        <v/>
      </c>
      <c r="G36" s="7">
        <f>IF($S36="","",F36*Q36/100)</f>
        <v/>
      </c>
      <c r="H36" s="11">
        <f>IF($S36="","",INDEX('Per Line'!$O$2:$O$501,$S36))</f>
        <v/>
      </c>
      <c r="I36">
        <f>IF($S36="","",Settings!$C$7)</f>
        <v/>
      </c>
      <c r="J36" s="7">
        <f>IF($S36="","",SUMIFS('Per Line'!$K$2:$K$501,'Per Line'!$A$2:$A$501,$B36,'Per Line'!$V$2:$V$501,0))</f>
        <v/>
      </c>
      <c r="K36" s="7">
        <f>IF($S36="","",J36*I36)</f>
        <v/>
      </c>
      <c r="L36">
        <f>IF($S36="","",Settings!$C$6)</f>
        <v/>
      </c>
      <c r="M36" s="7">
        <f>IF($S36="","",SUMIFS('Per Line'!$K$2:$K$501,'Per Line'!$A$2:$A$501,$B36,'Per Line'!$V$2:$V$501,1))</f>
        <v/>
      </c>
      <c r="N36" s="7">
        <f>IF($S36="","",M36*L36)</f>
        <v/>
      </c>
      <c r="O36" s="7">
        <f>IF($S36="","",N36+K36)</f>
        <v/>
      </c>
      <c r="P36" s="7">
        <f>IF($S36="","",Q36-O36)</f>
        <v/>
      </c>
      <c r="Q36" s="7">
        <f>IF($S36="","",J36+M36)</f>
        <v/>
      </c>
      <c r="R36" s="7">
        <f>IF($S36="","",Q36-O36-G36)</f>
        <v/>
      </c>
      <c r="S36" s="13">
        <f>IF(ROWS($S$2:$S36)&lt;=MAX('Per Line'!$U$2:$U$501),MATCH(ROWS($S$2:$S36),'Per Line'!$U$2:$U$501,0),"")</f>
        <v/>
      </c>
    </row>
    <row r="37">
      <c r="A37" s="12" t="n"/>
      <c r="B37">
        <f>IF($S37="","",INDEX('Per Line'!$A$2:$A$501,$S37)&amp;"")</f>
        <v/>
      </c>
      <c r="C37">
        <f>IF($S37="","",INDEX('Per Line'!$B$2:$B$501,$S37)&amp;"")</f>
        <v/>
      </c>
      <c r="D37">
        <f>IF($S37="","",INDEX('Per Line'!$C$2:$C$501,$S37)&amp;"")</f>
        <v/>
      </c>
      <c r="E37">
        <f>IF($S37="","",INDEX('Per Line'!$D$2:$D$501,$S37)&amp;"")</f>
        <v/>
      </c>
      <c r="F37">
        <f>IF($S37="","",INDEX('Per Line'!$E$2:$E$501,$S37))</f>
        <v/>
      </c>
      <c r="G37" s="7">
        <f>IF($S37="","",F37*Q37/100)</f>
        <v/>
      </c>
      <c r="H37" s="11">
        <f>IF($S37="","",INDEX('Per Line'!$O$2:$O$501,$S37))</f>
        <v/>
      </c>
      <c r="I37">
        <f>IF($S37="","",Settings!$C$7)</f>
        <v/>
      </c>
      <c r="J37" s="7">
        <f>IF($S37="","",SUMIFS('Per Line'!$K$2:$K$501,'Per Line'!$A$2:$A$501,$B37,'Per Line'!$V$2:$V$501,0))</f>
        <v/>
      </c>
      <c r="K37" s="7">
        <f>IF($S37="","",J37*I37)</f>
        <v/>
      </c>
      <c r="L37">
        <f>IF($S37="","",Settings!$C$6)</f>
        <v/>
      </c>
      <c r="M37" s="7">
        <f>IF($S37="","",SUMIFS('Per Line'!$K$2:$K$501,'Per Line'!$A$2:$A$501,$B37,'Per Line'!$V$2:$V$501,1))</f>
        <v/>
      </c>
      <c r="N37" s="7">
        <f>IF($S37="","",M37*L37)</f>
        <v/>
      </c>
      <c r="O37" s="7">
        <f>IF($S37="","",N37+K37)</f>
        <v/>
      </c>
      <c r="P37" s="7">
        <f>IF($S37="","",Q37-O37)</f>
        <v/>
      </c>
      <c r="Q37" s="7">
        <f>IF($S37="","",J37+M37)</f>
        <v/>
      </c>
      <c r="R37" s="7">
        <f>IF($S37="","",Q37-O37-G37)</f>
        <v/>
      </c>
      <c r="S37" s="13">
        <f>IF(ROWS($S$2:$S37)&lt;=MAX('Per Line'!$U$2:$U$501),MATCH(ROWS($S$2:$S37),'Per Line'!$U$2:$U$501,0),"")</f>
        <v/>
      </c>
    </row>
    <row r="38">
      <c r="A38" s="12" t="n"/>
      <c r="B38">
        <f>IF($S38="","",INDEX('Per Line'!$A$2:$A$501,$S38)&amp;"")</f>
        <v/>
      </c>
      <c r="C38">
        <f>IF($S38="","",INDEX('Per Line'!$B$2:$B$501,$S38)&amp;"")</f>
        <v/>
      </c>
      <c r="D38">
        <f>IF($S38="","",INDEX('Per Line'!$C$2:$C$501,$S38)&amp;"")</f>
        <v/>
      </c>
      <c r="E38">
        <f>IF($S38="","",INDEX('Per Line'!$D$2:$D$501,$S38)&amp;"")</f>
        <v/>
      </c>
      <c r="F38">
        <f>IF($S38="","",INDEX('Per Line'!$E$2:$E$501,$S38))</f>
        <v/>
      </c>
      <c r="G38" s="7">
        <f>IF($S38="","",F38*Q38/100)</f>
        <v/>
      </c>
      <c r="H38" s="11">
        <f>IF($S38="","",INDEX('Per Line'!$O$2:$O$501,$S38))</f>
        <v/>
      </c>
      <c r="I38">
        <f>IF($S38="","",Settings!$C$7)</f>
        <v/>
      </c>
      <c r="J38" s="7">
        <f>IF($S38="","",SUMIFS('Per Line'!$K$2:$K$501,'Per Line'!$A$2:$A$501,$B38,'Per Line'!$V$2:$V$501,0))</f>
        <v/>
      </c>
      <c r="K38" s="7">
        <f>IF($S38="","",J38*I38)</f>
        <v/>
      </c>
      <c r="L38">
        <f>IF($S38="","",Settings!$C$6)</f>
        <v/>
      </c>
      <c r="M38" s="7">
        <f>IF($S38="","",SUMIFS('Per Line'!$K$2:$K$501,'Per Line'!$A$2:$A$501,$B38,'Per Line'!$V$2:$V$501,1))</f>
        <v/>
      </c>
      <c r="N38" s="7">
        <f>IF($S38="","",M38*L38)</f>
        <v/>
      </c>
      <c r="O38" s="7">
        <f>IF($S38="","",N38+K38)</f>
        <v/>
      </c>
      <c r="P38" s="7">
        <f>IF($S38="","",Q38-O38)</f>
        <v/>
      </c>
      <c r="Q38" s="7">
        <f>IF($S38="","",J38+M38)</f>
        <v/>
      </c>
      <c r="R38" s="7">
        <f>IF($S38="","",Q38-O38-G38)</f>
        <v/>
      </c>
      <c r="S38" s="13">
        <f>IF(ROWS($S$2:$S38)&lt;=MAX('Per Line'!$U$2:$U$501),MATCH(ROWS($S$2:$S38),'Per Line'!$U$2:$U$501,0),"")</f>
        <v/>
      </c>
    </row>
    <row r="39">
      <c r="A39" s="12" t="n"/>
      <c r="B39">
        <f>IF($S39="","",INDEX('Per Line'!$A$2:$A$501,$S39)&amp;"")</f>
        <v/>
      </c>
      <c r="C39">
        <f>IF($S39="","",INDEX('Per Line'!$B$2:$B$501,$S39)&amp;"")</f>
        <v/>
      </c>
      <c r="D39">
        <f>IF($S39="","",INDEX('Per Line'!$C$2:$C$501,$S39)&amp;"")</f>
        <v/>
      </c>
      <c r="E39">
        <f>IF($S39="","",INDEX('Per Line'!$D$2:$D$501,$S39)&amp;"")</f>
        <v/>
      </c>
      <c r="F39">
        <f>IF($S39="","",INDEX('Per Line'!$E$2:$E$501,$S39))</f>
        <v/>
      </c>
      <c r="G39" s="7">
        <f>IF($S39="","",F39*Q39/100)</f>
        <v/>
      </c>
      <c r="H39" s="11">
        <f>IF($S39="","",INDEX('Per Line'!$O$2:$O$501,$S39))</f>
        <v/>
      </c>
      <c r="I39">
        <f>IF($S39="","",Settings!$C$7)</f>
        <v/>
      </c>
      <c r="J39" s="7">
        <f>IF($S39="","",SUMIFS('Per Line'!$K$2:$K$501,'Per Line'!$A$2:$A$501,$B39,'Per Line'!$V$2:$V$501,0))</f>
        <v/>
      </c>
      <c r="K39" s="7">
        <f>IF($S39="","",J39*I39)</f>
        <v/>
      </c>
      <c r="L39">
        <f>IF($S39="","",Settings!$C$6)</f>
        <v/>
      </c>
      <c r="M39" s="7">
        <f>IF($S39="","",SUMIFS('Per Line'!$K$2:$K$501,'Per Line'!$A$2:$A$501,$B39,'Per Line'!$V$2:$V$501,1))</f>
        <v/>
      </c>
      <c r="N39" s="7">
        <f>IF($S39="","",M39*L39)</f>
        <v/>
      </c>
      <c r="O39" s="7">
        <f>IF($S39="","",N39+K39)</f>
        <v/>
      </c>
      <c r="P39" s="7">
        <f>IF($S39="","",Q39-O39)</f>
        <v/>
      </c>
      <c r="Q39" s="7">
        <f>IF($S39="","",J39+M39)</f>
        <v/>
      </c>
      <c r="R39" s="7">
        <f>IF($S39="","",Q39-O39-G39)</f>
        <v/>
      </c>
      <c r="S39" s="13">
        <f>IF(ROWS($S$2:$S39)&lt;=MAX('Per Line'!$U$2:$U$501),MATCH(ROWS($S$2:$S39),'Per Line'!$U$2:$U$501,0),"")</f>
        <v/>
      </c>
    </row>
    <row r="40">
      <c r="A40" s="12" t="n"/>
      <c r="B40">
        <f>IF($S40="","",INDEX('Per Line'!$A$2:$A$501,$S40)&amp;"")</f>
        <v/>
      </c>
      <c r="C40">
        <f>IF($S40="","",INDEX('Per Line'!$B$2:$B$501,$S40)&amp;"")</f>
        <v/>
      </c>
      <c r="D40">
        <f>IF($S40="","",INDEX('Per Line'!$C$2:$C$501,$S40)&amp;"")</f>
        <v/>
      </c>
      <c r="E40">
        <f>IF($S40="","",INDEX('Per Line'!$D$2:$D$501,$S40)&amp;"")</f>
        <v/>
      </c>
      <c r="F40">
        <f>IF($S40="","",INDEX('Per Line'!$E$2:$E$501,$S40))</f>
        <v/>
      </c>
      <c r="G40" s="7">
        <f>IF($S40="","",F40*Q40/100)</f>
        <v/>
      </c>
      <c r="H40" s="11">
        <f>IF($S40="","",INDEX('Per Line'!$O$2:$O$501,$S40))</f>
        <v/>
      </c>
      <c r="I40">
        <f>IF($S40="","",Settings!$C$7)</f>
        <v/>
      </c>
      <c r="J40" s="7">
        <f>IF($S40="","",SUMIFS('Per Line'!$K$2:$K$501,'Per Line'!$A$2:$A$501,$B40,'Per Line'!$V$2:$V$501,0))</f>
        <v/>
      </c>
      <c r="K40" s="7">
        <f>IF($S40="","",J40*I40)</f>
        <v/>
      </c>
      <c r="L40">
        <f>IF($S40="","",Settings!$C$6)</f>
        <v/>
      </c>
      <c r="M40" s="7">
        <f>IF($S40="","",SUMIFS('Per Line'!$K$2:$K$501,'Per Line'!$A$2:$A$501,$B40,'Per Line'!$V$2:$V$501,1))</f>
        <v/>
      </c>
      <c r="N40" s="7">
        <f>IF($S40="","",M40*L40)</f>
        <v/>
      </c>
      <c r="O40" s="7">
        <f>IF($S40="","",N40+K40)</f>
        <v/>
      </c>
      <c r="P40" s="7">
        <f>IF($S40="","",Q40-O40)</f>
        <v/>
      </c>
      <c r="Q40" s="7">
        <f>IF($S40="","",J40+M40)</f>
        <v/>
      </c>
      <c r="R40" s="7">
        <f>IF($S40="","",Q40-O40-G40)</f>
        <v/>
      </c>
      <c r="S40" s="13">
        <f>IF(ROWS($S$2:$S40)&lt;=MAX('Per Line'!$U$2:$U$501),MATCH(ROWS($S$2:$S40),'Per Line'!$U$2:$U$501,0),"")</f>
        <v/>
      </c>
    </row>
    <row r="41">
      <c r="A41" s="12" t="n"/>
      <c r="B41">
        <f>IF($S41="","",INDEX('Per Line'!$A$2:$A$501,$S41)&amp;"")</f>
        <v/>
      </c>
      <c r="C41">
        <f>IF($S41="","",INDEX('Per Line'!$B$2:$B$501,$S41)&amp;"")</f>
        <v/>
      </c>
      <c r="D41">
        <f>IF($S41="","",INDEX('Per Line'!$C$2:$C$501,$S41)&amp;"")</f>
        <v/>
      </c>
      <c r="E41">
        <f>IF($S41="","",INDEX('Per Line'!$D$2:$D$501,$S41)&amp;"")</f>
        <v/>
      </c>
      <c r="F41">
        <f>IF($S41="","",INDEX('Per Line'!$E$2:$E$501,$S41))</f>
        <v/>
      </c>
      <c r="G41" s="7">
        <f>IF($S41="","",F41*Q41/100)</f>
        <v/>
      </c>
      <c r="H41" s="11">
        <f>IF($S41="","",INDEX('Per Line'!$O$2:$O$501,$S41))</f>
        <v/>
      </c>
      <c r="I41">
        <f>IF($S41="","",Settings!$C$7)</f>
        <v/>
      </c>
      <c r="J41" s="7">
        <f>IF($S41="","",SUMIFS('Per Line'!$K$2:$K$501,'Per Line'!$A$2:$A$501,$B41,'Per Line'!$V$2:$V$501,0))</f>
        <v/>
      </c>
      <c r="K41" s="7">
        <f>IF($S41="","",J41*I41)</f>
        <v/>
      </c>
      <c r="L41">
        <f>IF($S41="","",Settings!$C$6)</f>
        <v/>
      </c>
      <c r="M41" s="7">
        <f>IF($S41="","",SUMIFS('Per Line'!$K$2:$K$501,'Per Line'!$A$2:$A$501,$B41,'Per Line'!$V$2:$V$501,1))</f>
        <v/>
      </c>
      <c r="N41" s="7">
        <f>IF($S41="","",M41*L41)</f>
        <v/>
      </c>
      <c r="O41" s="7">
        <f>IF($S41="","",N41+K41)</f>
        <v/>
      </c>
      <c r="P41" s="7">
        <f>IF($S41="","",Q41-O41)</f>
        <v/>
      </c>
      <c r="Q41" s="7">
        <f>IF($S41="","",J41+M41)</f>
        <v/>
      </c>
      <c r="R41" s="7">
        <f>IF($S41="","",Q41-O41-G41)</f>
        <v/>
      </c>
      <c r="S41" s="13">
        <f>IF(ROWS($S$2:$S41)&lt;=MAX('Per Line'!$U$2:$U$501),MATCH(ROWS($S$2:$S41),'Per Line'!$U$2:$U$501,0),"")</f>
        <v/>
      </c>
    </row>
    <row r="42">
      <c r="A42" s="12" t="n"/>
      <c r="B42">
        <f>IF($S42="","",INDEX('Per Line'!$A$2:$A$501,$S42)&amp;"")</f>
        <v/>
      </c>
      <c r="C42">
        <f>IF($S42="","",INDEX('Per Line'!$B$2:$B$501,$S42)&amp;"")</f>
        <v/>
      </c>
      <c r="D42">
        <f>IF($S42="","",INDEX('Per Line'!$C$2:$C$501,$S42)&amp;"")</f>
        <v/>
      </c>
      <c r="E42">
        <f>IF($S42="","",INDEX('Per Line'!$D$2:$D$501,$S42)&amp;"")</f>
        <v/>
      </c>
      <c r="F42">
        <f>IF($S42="","",INDEX('Per Line'!$E$2:$E$501,$S42))</f>
        <v/>
      </c>
      <c r="G42" s="7">
        <f>IF($S42="","",F42*Q42/100)</f>
        <v/>
      </c>
      <c r="H42" s="11">
        <f>IF($S42="","",INDEX('Per Line'!$O$2:$O$501,$S42))</f>
        <v/>
      </c>
      <c r="I42">
        <f>IF($S42="","",Settings!$C$7)</f>
        <v/>
      </c>
      <c r="J42" s="7">
        <f>IF($S42="","",SUMIFS('Per Line'!$K$2:$K$501,'Per Line'!$A$2:$A$501,$B42,'Per Line'!$V$2:$V$501,0))</f>
        <v/>
      </c>
      <c r="K42" s="7">
        <f>IF($S42="","",J42*I42)</f>
        <v/>
      </c>
      <c r="L42">
        <f>IF($S42="","",Settings!$C$6)</f>
        <v/>
      </c>
      <c r="M42" s="7">
        <f>IF($S42="","",SUMIFS('Per Line'!$K$2:$K$501,'Per Line'!$A$2:$A$501,$B42,'Per Line'!$V$2:$V$501,1))</f>
        <v/>
      </c>
      <c r="N42" s="7">
        <f>IF($S42="","",M42*L42)</f>
        <v/>
      </c>
      <c r="O42" s="7">
        <f>IF($S42="","",N42+K42)</f>
        <v/>
      </c>
      <c r="P42" s="7">
        <f>IF($S42="","",Q42-O42)</f>
        <v/>
      </c>
      <c r="Q42" s="7">
        <f>IF($S42="","",J42+M42)</f>
        <v/>
      </c>
      <c r="R42" s="7">
        <f>IF($S42="","",Q42-O42-G42)</f>
        <v/>
      </c>
      <c r="S42" s="13">
        <f>IF(ROWS($S$2:$S42)&lt;=MAX('Per Line'!$U$2:$U$501),MATCH(ROWS($S$2:$S42),'Per Line'!$U$2:$U$501,0),"")</f>
        <v/>
      </c>
    </row>
    <row r="43">
      <c r="A43" s="12" t="n"/>
      <c r="B43">
        <f>IF($S43="","",INDEX('Per Line'!$A$2:$A$501,$S43)&amp;"")</f>
        <v/>
      </c>
      <c r="C43">
        <f>IF($S43="","",INDEX('Per Line'!$B$2:$B$501,$S43)&amp;"")</f>
        <v/>
      </c>
      <c r="D43">
        <f>IF($S43="","",INDEX('Per Line'!$C$2:$C$501,$S43)&amp;"")</f>
        <v/>
      </c>
      <c r="E43">
        <f>IF($S43="","",INDEX('Per Line'!$D$2:$D$501,$S43)&amp;"")</f>
        <v/>
      </c>
      <c r="F43">
        <f>IF($S43="","",INDEX('Per Line'!$E$2:$E$501,$S43))</f>
        <v/>
      </c>
      <c r="G43" s="7">
        <f>IF($S43="","",F43*Q43/100)</f>
        <v/>
      </c>
      <c r="H43" s="11">
        <f>IF($S43="","",INDEX('Per Line'!$O$2:$O$501,$S43))</f>
        <v/>
      </c>
      <c r="I43">
        <f>IF($S43="","",Settings!$C$7)</f>
        <v/>
      </c>
      <c r="J43" s="7">
        <f>IF($S43="","",SUMIFS('Per Line'!$K$2:$K$501,'Per Line'!$A$2:$A$501,$B43,'Per Line'!$V$2:$V$501,0))</f>
        <v/>
      </c>
      <c r="K43" s="7">
        <f>IF($S43="","",J43*I43)</f>
        <v/>
      </c>
      <c r="L43">
        <f>IF($S43="","",Settings!$C$6)</f>
        <v/>
      </c>
      <c r="M43" s="7">
        <f>IF($S43="","",SUMIFS('Per Line'!$K$2:$K$501,'Per Line'!$A$2:$A$501,$B43,'Per Line'!$V$2:$V$501,1))</f>
        <v/>
      </c>
      <c r="N43" s="7">
        <f>IF($S43="","",M43*L43)</f>
        <v/>
      </c>
      <c r="O43" s="7">
        <f>IF($S43="","",N43+K43)</f>
        <v/>
      </c>
      <c r="P43" s="7">
        <f>IF($S43="","",Q43-O43)</f>
        <v/>
      </c>
      <c r="Q43" s="7">
        <f>IF($S43="","",J43+M43)</f>
        <v/>
      </c>
      <c r="R43" s="7">
        <f>IF($S43="","",Q43-O43-G43)</f>
        <v/>
      </c>
      <c r="S43" s="13">
        <f>IF(ROWS($S$2:$S43)&lt;=MAX('Per Line'!$U$2:$U$501),MATCH(ROWS($S$2:$S43),'Per Line'!$U$2:$U$501,0),"")</f>
        <v/>
      </c>
    </row>
    <row r="44">
      <c r="A44" s="12" t="n"/>
      <c r="B44">
        <f>IF($S44="","",INDEX('Per Line'!$A$2:$A$501,$S44)&amp;"")</f>
        <v/>
      </c>
      <c r="C44">
        <f>IF($S44="","",INDEX('Per Line'!$B$2:$B$501,$S44)&amp;"")</f>
        <v/>
      </c>
      <c r="D44">
        <f>IF($S44="","",INDEX('Per Line'!$C$2:$C$501,$S44)&amp;"")</f>
        <v/>
      </c>
      <c r="E44">
        <f>IF($S44="","",INDEX('Per Line'!$D$2:$D$501,$S44)&amp;"")</f>
        <v/>
      </c>
      <c r="F44">
        <f>IF($S44="","",INDEX('Per Line'!$E$2:$E$501,$S44))</f>
        <v/>
      </c>
      <c r="G44" s="7">
        <f>IF($S44="","",F44*Q44/100)</f>
        <v/>
      </c>
      <c r="H44" s="11">
        <f>IF($S44="","",INDEX('Per Line'!$O$2:$O$501,$S44))</f>
        <v/>
      </c>
      <c r="I44">
        <f>IF($S44="","",Settings!$C$7)</f>
        <v/>
      </c>
      <c r="J44" s="7">
        <f>IF($S44="","",SUMIFS('Per Line'!$K$2:$K$501,'Per Line'!$A$2:$A$501,$B44,'Per Line'!$V$2:$V$501,0))</f>
        <v/>
      </c>
      <c r="K44" s="7">
        <f>IF($S44="","",J44*I44)</f>
        <v/>
      </c>
      <c r="L44">
        <f>IF($S44="","",Settings!$C$6)</f>
        <v/>
      </c>
      <c r="M44" s="7">
        <f>IF($S44="","",SUMIFS('Per Line'!$K$2:$K$501,'Per Line'!$A$2:$A$501,$B44,'Per Line'!$V$2:$V$501,1))</f>
        <v/>
      </c>
      <c r="N44" s="7">
        <f>IF($S44="","",M44*L44)</f>
        <v/>
      </c>
      <c r="O44" s="7">
        <f>IF($S44="","",N44+K44)</f>
        <v/>
      </c>
      <c r="P44" s="7">
        <f>IF($S44="","",Q44-O44)</f>
        <v/>
      </c>
      <c r="Q44" s="7">
        <f>IF($S44="","",J44+M44)</f>
        <v/>
      </c>
      <c r="R44" s="7">
        <f>IF($S44="","",Q44-O44-G44)</f>
        <v/>
      </c>
      <c r="S44" s="13">
        <f>IF(ROWS($S$2:$S44)&lt;=MAX('Per Line'!$U$2:$U$501),MATCH(ROWS($S$2:$S44),'Per Line'!$U$2:$U$501,0),"")</f>
        <v/>
      </c>
    </row>
    <row r="45">
      <c r="A45" s="12" t="n"/>
      <c r="B45">
        <f>IF($S45="","",INDEX('Per Line'!$A$2:$A$501,$S45)&amp;"")</f>
        <v/>
      </c>
      <c r="C45">
        <f>IF($S45="","",INDEX('Per Line'!$B$2:$B$501,$S45)&amp;"")</f>
        <v/>
      </c>
      <c r="D45">
        <f>IF($S45="","",INDEX('Per Line'!$C$2:$C$501,$S45)&amp;"")</f>
        <v/>
      </c>
      <c r="E45">
        <f>IF($S45="","",INDEX('Per Line'!$D$2:$D$501,$S45)&amp;"")</f>
        <v/>
      </c>
      <c r="F45">
        <f>IF($S45="","",INDEX('Per Line'!$E$2:$E$501,$S45))</f>
        <v/>
      </c>
      <c r="G45" s="7">
        <f>IF($S45="","",F45*Q45/100)</f>
        <v/>
      </c>
      <c r="H45" s="11">
        <f>IF($S45="","",INDEX('Per Line'!$O$2:$O$501,$S45))</f>
        <v/>
      </c>
      <c r="I45">
        <f>IF($S45="","",Settings!$C$7)</f>
        <v/>
      </c>
      <c r="J45" s="7">
        <f>IF($S45="","",SUMIFS('Per Line'!$K$2:$K$501,'Per Line'!$A$2:$A$501,$B45,'Per Line'!$V$2:$V$501,0))</f>
        <v/>
      </c>
      <c r="K45" s="7">
        <f>IF($S45="","",J45*I45)</f>
        <v/>
      </c>
      <c r="L45">
        <f>IF($S45="","",Settings!$C$6)</f>
        <v/>
      </c>
      <c r="M45" s="7">
        <f>IF($S45="","",SUMIFS('Per Line'!$K$2:$K$501,'Per Line'!$A$2:$A$501,$B45,'Per Line'!$V$2:$V$501,1))</f>
        <v/>
      </c>
      <c r="N45" s="7">
        <f>IF($S45="","",M45*L45)</f>
        <v/>
      </c>
      <c r="O45" s="7">
        <f>IF($S45="","",N45+K45)</f>
        <v/>
      </c>
      <c r="P45" s="7">
        <f>IF($S45="","",Q45-O45)</f>
        <v/>
      </c>
      <c r="Q45" s="7">
        <f>IF($S45="","",J45+M45)</f>
        <v/>
      </c>
      <c r="R45" s="7">
        <f>IF($S45="","",Q45-O45-G45)</f>
        <v/>
      </c>
      <c r="S45" s="13">
        <f>IF(ROWS($S$2:$S45)&lt;=MAX('Per Line'!$U$2:$U$501),MATCH(ROWS($S$2:$S45),'Per Line'!$U$2:$U$501,0),"")</f>
        <v/>
      </c>
    </row>
    <row r="46">
      <c r="A46" s="12" t="n"/>
      <c r="B46">
        <f>IF($S46="","",INDEX('Per Line'!$A$2:$A$501,$S46)&amp;"")</f>
        <v/>
      </c>
      <c r="C46">
        <f>IF($S46="","",INDEX('Per Line'!$B$2:$B$501,$S46)&amp;"")</f>
        <v/>
      </c>
      <c r="D46">
        <f>IF($S46="","",INDEX('Per Line'!$C$2:$C$501,$S46)&amp;"")</f>
        <v/>
      </c>
      <c r="E46">
        <f>IF($S46="","",INDEX('Per Line'!$D$2:$D$501,$S46)&amp;"")</f>
        <v/>
      </c>
      <c r="F46">
        <f>IF($S46="","",INDEX('Per Line'!$E$2:$E$501,$S46))</f>
        <v/>
      </c>
      <c r="G46" s="7">
        <f>IF($S46="","",F46*Q46/100)</f>
        <v/>
      </c>
      <c r="H46" s="11">
        <f>IF($S46="","",INDEX('Per Line'!$O$2:$O$501,$S46))</f>
        <v/>
      </c>
      <c r="I46">
        <f>IF($S46="","",Settings!$C$7)</f>
        <v/>
      </c>
      <c r="J46" s="7">
        <f>IF($S46="","",SUMIFS('Per Line'!$K$2:$K$501,'Per Line'!$A$2:$A$501,$B46,'Per Line'!$V$2:$V$501,0))</f>
        <v/>
      </c>
      <c r="K46" s="7">
        <f>IF($S46="","",J46*I46)</f>
        <v/>
      </c>
      <c r="L46">
        <f>IF($S46="","",Settings!$C$6)</f>
        <v/>
      </c>
      <c r="M46" s="7">
        <f>IF($S46="","",SUMIFS('Per Line'!$K$2:$K$501,'Per Line'!$A$2:$A$501,$B46,'Per Line'!$V$2:$V$501,1))</f>
        <v/>
      </c>
      <c r="N46" s="7">
        <f>IF($S46="","",M46*L46)</f>
        <v/>
      </c>
      <c r="O46" s="7">
        <f>IF($S46="","",N46+K46)</f>
        <v/>
      </c>
      <c r="P46" s="7">
        <f>IF($S46="","",Q46-O46)</f>
        <v/>
      </c>
      <c r="Q46" s="7">
        <f>IF($S46="","",J46+M46)</f>
        <v/>
      </c>
      <c r="R46" s="7">
        <f>IF($S46="","",Q46-O46-G46)</f>
        <v/>
      </c>
      <c r="S46" s="13">
        <f>IF(ROWS($S$2:$S46)&lt;=MAX('Per Line'!$U$2:$U$501),MATCH(ROWS($S$2:$S46),'Per Line'!$U$2:$U$501,0),"")</f>
        <v/>
      </c>
    </row>
    <row r="47">
      <c r="A47" s="12" t="n"/>
      <c r="B47">
        <f>IF($S47="","",INDEX('Per Line'!$A$2:$A$501,$S47)&amp;"")</f>
        <v/>
      </c>
      <c r="C47">
        <f>IF($S47="","",INDEX('Per Line'!$B$2:$B$501,$S47)&amp;"")</f>
        <v/>
      </c>
      <c r="D47">
        <f>IF($S47="","",INDEX('Per Line'!$C$2:$C$501,$S47)&amp;"")</f>
        <v/>
      </c>
      <c r="E47">
        <f>IF($S47="","",INDEX('Per Line'!$D$2:$D$501,$S47)&amp;"")</f>
        <v/>
      </c>
      <c r="F47">
        <f>IF($S47="","",INDEX('Per Line'!$E$2:$E$501,$S47))</f>
        <v/>
      </c>
      <c r="G47" s="7">
        <f>IF($S47="","",F47*Q47/100)</f>
        <v/>
      </c>
      <c r="H47" s="11">
        <f>IF($S47="","",INDEX('Per Line'!$O$2:$O$501,$S47))</f>
        <v/>
      </c>
      <c r="I47">
        <f>IF($S47="","",Settings!$C$7)</f>
        <v/>
      </c>
      <c r="J47" s="7">
        <f>IF($S47="","",SUMIFS('Per Line'!$K$2:$K$501,'Per Line'!$A$2:$A$501,$B47,'Per Line'!$V$2:$V$501,0))</f>
        <v/>
      </c>
      <c r="K47" s="7">
        <f>IF($S47="","",J47*I47)</f>
        <v/>
      </c>
      <c r="L47">
        <f>IF($S47="","",Settings!$C$6)</f>
        <v/>
      </c>
      <c r="M47" s="7">
        <f>IF($S47="","",SUMIFS('Per Line'!$K$2:$K$501,'Per Line'!$A$2:$A$501,$B47,'Per Line'!$V$2:$V$501,1))</f>
        <v/>
      </c>
      <c r="N47" s="7">
        <f>IF($S47="","",M47*L47)</f>
        <v/>
      </c>
      <c r="O47" s="7">
        <f>IF($S47="","",N47+K47)</f>
        <v/>
      </c>
      <c r="P47" s="7">
        <f>IF($S47="","",Q47-O47)</f>
        <v/>
      </c>
      <c r="Q47" s="7">
        <f>IF($S47="","",J47+M47)</f>
        <v/>
      </c>
      <c r="R47" s="7">
        <f>IF($S47="","",Q47-O47-G47)</f>
        <v/>
      </c>
      <c r="S47" s="13">
        <f>IF(ROWS($S$2:$S47)&lt;=MAX('Per Line'!$U$2:$U$501),MATCH(ROWS($S$2:$S47),'Per Line'!$U$2:$U$501,0),"")</f>
        <v/>
      </c>
    </row>
    <row r="48">
      <c r="A48" s="12" t="n"/>
      <c r="B48">
        <f>IF($S48="","",INDEX('Per Line'!$A$2:$A$501,$S48)&amp;"")</f>
        <v/>
      </c>
      <c r="C48">
        <f>IF($S48="","",INDEX('Per Line'!$B$2:$B$501,$S48)&amp;"")</f>
        <v/>
      </c>
      <c r="D48">
        <f>IF($S48="","",INDEX('Per Line'!$C$2:$C$501,$S48)&amp;"")</f>
        <v/>
      </c>
      <c r="E48">
        <f>IF($S48="","",INDEX('Per Line'!$D$2:$D$501,$S48)&amp;"")</f>
        <v/>
      </c>
      <c r="F48">
        <f>IF($S48="","",INDEX('Per Line'!$E$2:$E$501,$S48))</f>
        <v/>
      </c>
      <c r="G48" s="7">
        <f>IF($S48="","",F48*Q48/100)</f>
        <v/>
      </c>
      <c r="H48" s="11">
        <f>IF($S48="","",INDEX('Per Line'!$O$2:$O$501,$S48))</f>
        <v/>
      </c>
      <c r="I48">
        <f>IF($S48="","",Settings!$C$7)</f>
        <v/>
      </c>
      <c r="J48" s="7">
        <f>IF($S48="","",SUMIFS('Per Line'!$K$2:$K$501,'Per Line'!$A$2:$A$501,$B48,'Per Line'!$V$2:$V$501,0))</f>
        <v/>
      </c>
      <c r="K48" s="7">
        <f>IF($S48="","",J48*I48)</f>
        <v/>
      </c>
      <c r="L48">
        <f>IF($S48="","",Settings!$C$6)</f>
        <v/>
      </c>
      <c r="M48" s="7">
        <f>IF($S48="","",SUMIFS('Per Line'!$K$2:$K$501,'Per Line'!$A$2:$A$501,$B48,'Per Line'!$V$2:$V$501,1))</f>
        <v/>
      </c>
      <c r="N48" s="7">
        <f>IF($S48="","",M48*L48)</f>
        <v/>
      </c>
      <c r="O48" s="7">
        <f>IF($S48="","",N48+K48)</f>
        <v/>
      </c>
      <c r="P48" s="7">
        <f>IF($S48="","",Q48-O48)</f>
        <v/>
      </c>
      <c r="Q48" s="7">
        <f>IF($S48="","",J48+M48)</f>
        <v/>
      </c>
      <c r="R48" s="7">
        <f>IF($S48="","",Q48-O48-G48)</f>
        <v/>
      </c>
      <c r="S48" s="13">
        <f>IF(ROWS($S$2:$S48)&lt;=MAX('Per Line'!$U$2:$U$501),MATCH(ROWS($S$2:$S48),'Per Line'!$U$2:$U$501,0),"")</f>
        <v/>
      </c>
    </row>
    <row r="49">
      <c r="A49" s="12" t="n"/>
      <c r="B49">
        <f>IF($S49="","",INDEX('Per Line'!$A$2:$A$501,$S49)&amp;"")</f>
        <v/>
      </c>
      <c r="C49">
        <f>IF($S49="","",INDEX('Per Line'!$B$2:$B$501,$S49)&amp;"")</f>
        <v/>
      </c>
      <c r="D49">
        <f>IF($S49="","",INDEX('Per Line'!$C$2:$C$501,$S49)&amp;"")</f>
        <v/>
      </c>
      <c r="E49">
        <f>IF($S49="","",INDEX('Per Line'!$D$2:$D$501,$S49)&amp;"")</f>
        <v/>
      </c>
      <c r="F49">
        <f>IF($S49="","",INDEX('Per Line'!$E$2:$E$501,$S49))</f>
        <v/>
      </c>
      <c r="G49" s="7">
        <f>IF($S49="","",F49*Q49/100)</f>
        <v/>
      </c>
      <c r="H49" s="11">
        <f>IF($S49="","",INDEX('Per Line'!$O$2:$O$501,$S49))</f>
        <v/>
      </c>
      <c r="I49">
        <f>IF($S49="","",Settings!$C$7)</f>
        <v/>
      </c>
      <c r="J49" s="7">
        <f>IF($S49="","",SUMIFS('Per Line'!$K$2:$K$501,'Per Line'!$A$2:$A$501,$B49,'Per Line'!$V$2:$V$501,0))</f>
        <v/>
      </c>
      <c r="K49" s="7">
        <f>IF($S49="","",J49*I49)</f>
        <v/>
      </c>
      <c r="L49">
        <f>IF($S49="","",Settings!$C$6)</f>
        <v/>
      </c>
      <c r="M49" s="7">
        <f>IF($S49="","",SUMIFS('Per Line'!$K$2:$K$501,'Per Line'!$A$2:$A$501,$B49,'Per Line'!$V$2:$V$501,1))</f>
        <v/>
      </c>
      <c r="N49" s="7">
        <f>IF($S49="","",M49*L49)</f>
        <v/>
      </c>
      <c r="O49" s="7">
        <f>IF($S49="","",N49+K49)</f>
        <v/>
      </c>
      <c r="P49" s="7">
        <f>IF($S49="","",Q49-O49)</f>
        <v/>
      </c>
      <c r="Q49" s="7">
        <f>IF($S49="","",J49+M49)</f>
        <v/>
      </c>
      <c r="R49" s="7">
        <f>IF($S49="","",Q49-O49-G49)</f>
        <v/>
      </c>
      <c r="S49" s="13">
        <f>IF(ROWS($S$2:$S49)&lt;=MAX('Per Line'!$U$2:$U$501),MATCH(ROWS($S$2:$S49),'Per Line'!$U$2:$U$501,0),"")</f>
        <v/>
      </c>
    </row>
    <row r="50">
      <c r="A50" s="12" t="n"/>
      <c r="B50">
        <f>IF($S50="","",INDEX('Per Line'!$A$2:$A$501,$S50)&amp;"")</f>
        <v/>
      </c>
      <c r="C50">
        <f>IF($S50="","",INDEX('Per Line'!$B$2:$B$501,$S50)&amp;"")</f>
        <v/>
      </c>
      <c r="D50">
        <f>IF($S50="","",INDEX('Per Line'!$C$2:$C$501,$S50)&amp;"")</f>
        <v/>
      </c>
      <c r="E50">
        <f>IF($S50="","",INDEX('Per Line'!$D$2:$D$501,$S50)&amp;"")</f>
        <v/>
      </c>
      <c r="F50">
        <f>IF($S50="","",INDEX('Per Line'!$E$2:$E$501,$S50))</f>
        <v/>
      </c>
      <c r="G50" s="7">
        <f>IF($S50="","",F50*Q50/100)</f>
        <v/>
      </c>
      <c r="H50" s="11">
        <f>IF($S50="","",INDEX('Per Line'!$O$2:$O$501,$S50))</f>
        <v/>
      </c>
      <c r="I50">
        <f>IF($S50="","",Settings!$C$7)</f>
        <v/>
      </c>
      <c r="J50" s="7">
        <f>IF($S50="","",SUMIFS('Per Line'!$K$2:$K$501,'Per Line'!$A$2:$A$501,$B50,'Per Line'!$V$2:$V$501,0))</f>
        <v/>
      </c>
      <c r="K50" s="7">
        <f>IF($S50="","",J50*I50)</f>
        <v/>
      </c>
      <c r="L50">
        <f>IF($S50="","",Settings!$C$6)</f>
        <v/>
      </c>
      <c r="M50" s="7">
        <f>IF($S50="","",SUMIFS('Per Line'!$K$2:$K$501,'Per Line'!$A$2:$A$501,$B50,'Per Line'!$V$2:$V$501,1))</f>
        <v/>
      </c>
      <c r="N50" s="7">
        <f>IF($S50="","",M50*L50)</f>
        <v/>
      </c>
      <c r="O50" s="7">
        <f>IF($S50="","",N50+K50)</f>
        <v/>
      </c>
      <c r="P50" s="7">
        <f>IF($S50="","",Q50-O50)</f>
        <v/>
      </c>
      <c r="Q50" s="7">
        <f>IF($S50="","",J50+M50)</f>
        <v/>
      </c>
      <c r="R50" s="7">
        <f>IF($S50="","",Q50-O50-G50)</f>
        <v/>
      </c>
      <c r="S50" s="13">
        <f>IF(ROWS($S$2:$S50)&lt;=MAX('Per Line'!$U$2:$U$501),MATCH(ROWS($S$2:$S50),'Per Line'!$U$2:$U$501,0),"")</f>
        <v/>
      </c>
    </row>
    <row r="51">
      <c r="A51" s="12" t="n"/>
      <c r="B51">
        <f>IF($S51="","",INDEX('Per Line'!$A$2:$A$501,$S51)&amp;"")</f>
        <v/>
      </c>
      <c r="C51">
        <f>IF($S51="","",INDEX('Per Line'!$B$2:$B$501,$S51)&amp;"")</f>
        <v/>
      </c>
      <c r="D51">
        <f>IF($S51="","",INDEX('Per Line'!$C$2:$C$501,$S51)&amp;"")</f>
        <v/>
      </c>
      <c r="E51">
        <f>IF($S51="","",INDEX('Per Line'!$D$2:$D$501,$S51)&amp;"")</f>
        <v/>
      </c>
      <c r="F51">
        <f>IF($S51="","",INDEX('Per Line'!$E$2:$E$501,$S51))</f>
        <v/>
      </c>
      <c r="G51" s="7">
        <f>IF($S51="","",F51*Q51/100)</f>
        <v/>
      </c>
      <c r="H51" s="11">
        <f>IF($S51="","",INDEX('Per Line'!$O$2:$O$501,$S51))</f>
        <v/>
      </c>
      <c r="I51">
        <f>IF($S51="","",Settings!$C$7)</f>
        <v/>
      </c>
      <c r="J51" s="7">
        <f>IF($S51="","",SUMIFS('Per Line'!$K$2:$K$501,'Per Line'!$A$2:$A$501,$B51,'Per Line'!$V$2:$V$501,0))</f>
        <v/>
      </c>
      <c r="K51" s="7">
        <f>IF($S51="","",J51*I51)</f>
        <v/>
      </c>
      <c r="L51">
        <f>IF($S51="","",Settings!$C$6)</f>
        <v/>
      </c>
      <c r="M51" s="7">
        <f>IF($S51="","",SUMIFS('Per Line'!$K$2:$K$501,'Per Line'!$A$2:$A$501,$B51,'Per Line'!$V$2:$V$501,1))</f>
        <v/>
      </c>
      <c r="N51" s="7">
        <f>IF($S51="","",M51*L51)</f>
        <v/>
      </c>
      <c r="O51" s="7">
        <f>IF($S51="","",N51+K51)</f>
        <v/>
      </c>
      <c r="P51" s="7">
        <f>IF($S51="","",Q51-O51)</f>
        <v/>
      </c>
      <c r="Q51" s="7">
        <f>IF($S51="","",J51+M51)</f>
        <v/>
      </c>
      <c r="R51" s="7">
        <f>IF($S51="","",Q51-O51-G51)</f>
        <v/>
      </c>
      <c r="S51" s="13">
        <f>IF(ROWS($S$2:$S51)&lt;=MAX('Per Line'!$U$2:$U$501),MATCH(ROWS($S$2:$S51),'Per Line'!$U$2:$U$501,0),"")</f>
        <v/>
      </c>
    </row>
    <row r="52">
      <c r="A52" s="12" t="n"/>
      <c r="B52">
        <f>IF($S52="","",INDEX('Per Line'!$A$2:$A$501,$S52)&amp;"")</f>
        <v/>
      </c>
      <c r="C52">
        <f>IF($S52="","",INDEX('Per Line'!$B$2:$B$501,$S52)&amp;"")</f>
        <v/>
      </c>
      <c r="D52">
        <f>IF($S52="","",INDEX('Per Line'!$C$2:$C$501,$S52)&amp;"")</f>
        <v/>
      </c>
      <c r="E52">
        <f>IF($S52="","",INDEX('Per Line'!$D$2:$D$501,$S52)&amp;"")</f>
        <v/>
      </c>
      <c r="F52">
        <f>IF($S52="","",INDEX('Per Line'!$E$2:$E$501,$S52))</f>
        <v/>
      </c>
      <c r="G52" s="7">
        <f>IF($S52="","",F52*Q52/100)</f>
        <v/>
      </c>
      <c r="H52" s="11">
        <f>IF($S52="","",INDEX('Per Line'!$O$2:$O$501,$S52))</f>
        <v/>
      </c>
      <c r="I52">
        <f>IF($S52="","",Settings!$C$7)</f>
        <v/>
      </c>
      <c r="J52" s="7">
        <f>IF($S52="","",SUMIFS('Per Line'!$K$2:$K$501,'Per Line'!$A$2:$A$501,$B52,'Per Line'!$V$2:$V$501,0))</f>
        <v/>
      </c>
      <c r="K52" s="7">
        <f>IF($S52="","",J52*I52)</f>
        <v/>
      </c>
      <c r="L52">
        <f>IF($S52="","",Settings!$C$6)</f>
        <v/>
      </c>
      <c r="M52" s="7">
        <f>IF($S52="","",SUMIFS('Per Line'!$K$2:$K$501,'Per Line'!$A$2:$A$501,$B52,'Per Line'!$V$2:$V$501,1))</f>
        <v/>
      </c>
      <c r="N52" s="7">
        <f>IF($S52="","",M52*L52)</f>
        <v/>
      </c>
      <c r="O52" s="7">
        <f>IF($S52="","",N52+K52)</f>
        <v/>
      </c>
      <c r="P52" s="7">
        <f>IF($S52="","",Q52-O52)</f>
        <v/>
      </c>
      <c r="Q52" s="7">
        <f>IF($S52="","",J52+M52)</f>
        <v/>
      </c>
      <c r="R52" s="7">
        <f>IF($S52="","",Q52-O52-G52)</f>
        <v/>
      </c>
      <c r="S52" s="13">
        <f>IF(ROWS($S$2:$S52)&lt;=MAX('Per Line'!$U$2:$U$501),MATCH(ROWS($S$2:$S52),'Per Line'!$U$2:$U$501,0),"")</f>
        <v/>
      </c>
    </row>
    <row r="53">
      <c r="A53" s="12" t="n"/>
      <c r="B53">
        <f>IF($S53="","",INDEX('Per Line'!$A$2:$A$501,$S53)&amp;"")</f>
        <v/>
      </c>
      <c r="C53">
        <f>IF($S53="","",INDEX('Per Line'!$B$2:$B$501,$S53)&amp;"")</f>
        <v/>
      </c>
      <c r="D53">
        <f>IF($S53="","",INDEX('Per Line'!$C$2:$C$501,$S53)&amp;"")</f>
        <v/>
      </c>
      <c r="E53">
        <f>IF($S53="","",INDEX('Per Line'!$D$2:$D$501,$S53)&amp;"")</f>
        <v/>
      </c>
      <c r="F53">
        <f>IF($S53="","",INDEX('Per Line'!$E$2:$E$501,$S53))</f>
        <v/>
      </c>
      <c r="G53" s="7">
        <f>IF($S53="","",F53*Q53/100)</f>
        <v/>
      </c>
      <c r="H53" s="11">
        <f>IF($S53="","",INDEX('Per Line'!$O$2:$O$501,$S53))</f>
        <v/>
      </c>
      <c r="I53">
        <f>IF($S53="","",Settings!$C$7)</f>
        <v/>
      </c>
      <c r="J53" s="7">
        <f>IF($S53="","",SUMIFS('Per Line'!$K$2:$K$501,'Per Line'!$A$2:$A$501,$B53,'Per Line'!$V$2:$V$501,0))</f>
        <v/>
      </c>
      <c r="K53" s="7">
        <f>IF($S53="","",J53*I53)</f>
        <v/>
      </c>
      <c r="L53">
        <f>IF($S53="","",Settings!$C$6)</f>
        <v/>
      </c>
      <c r="M53" s="7">
        <f>IF($S53="","",SUMIFS('Per Line'!$K$2:$K$501,'Per Line'!$A$2:$A$501,$B53,'Per Line'!$V$2:$V$501,1))</f>
        <v/>
      </c>
      <c r="N53" s="7">
        <f>IF($S53="","",M53*L53)</f>
        <v/>
      </c>
      <c r="O53" s="7">
        <f>IF($S53="","",N53+K53)</f>
        <v/>
      </c>
      <c r="P53" s="7">
        <f>IF($S53="","",Q53-O53)</f>
        <v/>
      </c>
      <c r="Q53" s="7">
        <f>IF($S53="","",J53+M53)</f>
        <v/>
      </c>
      <c r="R53" s="7">
        <f>IF($S53="","",Q53-O53-G53)</f>
        <v/>
      </c>
      <c r="S53" s="13">
        <f>IF(ROWS($S$2:$S53)&lt;=MAX('Per Line'!$U$2:$U$501),MATCH(ROWS($S$2:$S53),'Per Line'!$U$2:$U$501,0),"")</f>
        <v/>
      </c>
    </row>
    <row r="54">
      <c r="A54" s="12" t="n"/>
      <c r="B54">
        <f>IF($S54="","",INDEX('Per Line'!$A$2:$A$501,$S54)&amp;"")</f>
        <v/>
      </c>
      <c r="C54">
        <f>IF($S54="","",INDEX('Per Line'!$B$2:$B$501,$S54)&amp;"")</f>
        <v/>
      </c>
      <c r="D54">
        <f>IF($S54="","",INDEX('Per Line'!$C$2:$C$501,$S54)&amp;"")</f>
        <v/>
      </c>
      <c r="E54">
        <f>IF($S54="","",INDEX('Per Line'!$D$2:$D$501,$S54)&amp;"")</f>
        <v/>
      </c>
      <c r="F54">
        <f>IF($S54="","",INDEX('Per Line'!$E$2:$E$501,$S54))</f>
        <v/>
      </c>
      <c r="G54" s="7">
        <f>IF($S54="","",F54*Q54/100)</f>
        <v/>
      </c>
      <c r="H54" s="11">
        <f>IF($S54="","",INDEX('Per Line'!$O$2:$O$501,$S54))</f>
        <v/>
      </c>
      <c r="I54">
        <f>IF($S54="","",Settings!$C$7)</f>
        <v/>
      </c>
      <c r="J54" s="7">
        <f>IF($S54="","",SUMIFS('Per Line'!$K$2:$K$501,'Per Line'!$A$2:$A$501,$B54,'Per Line'!$V$2:$V$501,0))</f>
        <v/>
      </c>
      <c r="K54" s="7">
        <f>IF($S54="","",J54*I54)</f>
        <v/>
      </c>
      <c r="L54">
        <f>IF($S54="","",Settings!$C$6)</f>
        <v/>
      </c>
      <c r="M54" s="7">
        <f>IF($S54="","",SUMIFS('Per Line'!$K$2:$K$501,'Per Line'!$A$2:$A$501,$B54,'Per Line'!$V$2:$V$501,1))</f>
        <v/>
      </c>
      <c r="N54" s="7">
        <f>IF($S54="","",M54*L54)</f>
        <v/>
      </c>
      <c r="O54" s="7">
        <f>IF($S54="","",N54+K54)</f>
        <v/>
      </c>
      <c r="P54" s="7">
        <f>IF($S54="","",Q54-O54)</f>
        <v/>
      </c>
      <c r="Q54" s="7">
        <f>IF($S54="","",J54+M54)</f>
        <v/>
      </c>
      <c r="R54" s="7">
        <f>IF($S54="","",Q54-O54-G54)</f>
        <v/>
      </c>
      <c r="S54" s="13">
        <f>IF(ROWS($S$2:$S54)&lt;=MAX('Per Line'!$U$2:$U$501),MATCH(ROWS($S$2:$S54),'Per Line'!$U$2:$U$501,0),"")</f>
        <v/>
      </c>
    </row>
    <row r="55">
      <c r="A55" s="12" t="n"/>
      <c r="B55">
        <f>IF($S55="","",INDEX('Per Line'!$A$2:$A$501,$S55)&amp;"")</f>
        <v/>
      </c>
      <c r="C55">
        <f>IF($S55="","",INDEX('Per Line'!$B$2:$B$501,$S55)&amp;"")</f>
        <v/>
      </c>
      <c r="D55">
        <f>IF($S55="","",INDEX('Per Line'!$C$2:$C$501,$S55)&amp;"")</f>
        <v/>
      </c>
      <c r="E55">
        <f>IF($S55="","",INDEX('Per Line'!$D$2:$D$501,$S55)&amp;"")</f>
        <v/>
      </c>
      <c r="F55">
        <f>IF($S55="","",INDEX('Per Line'!$E$2:$E$501,$S55))</f>
        <v/>
      </c>
      <c r="G55" s="7">
        <f>IF($S55="","",F55*Q55/100)</f>
        <v/>
      </c>
      <c r="H55" s="11">
        <f>IF($S55="","",INDEX('Per Line'!$O$2:$O$501,$S55))</f>
        <v/>
      </c>
      <c r="I55">
        <f>IF($S55="","",Settings!$C$7)</f>
        <v/>
      </c>
      <c r="J55" s="7">
        <f>IF($S55="","",SUMIFS('Per Line'!$K$2:$K$501,'Per Line'!$A$2:$A$501,$B55,'Per Line'!$V$2:$V$501,0))</f>
        <v/>
      </c>
      <c r="K55" s="7">
        <f>IF($S55="","",J55*I55)</f>
        <v/>
      </c>
      <c r="L55">
        <f>IF($S55="","",Settings!$C$6)</f>
        <v/>
      </c>
      <c r="M55" s="7">
        <f>IF($S55="","",SUMIFS('Per Line'!$K$2:$K$501,'Per Line'!$A$2:$A$501,$B55,'Per Line'!$V$2:$V$501,1))</f>
        <v/>
      </c>
      <c r="N55" s="7">
        <f>IF($S55="","",M55*L55)</f>
        <v/>
      </c>
      <c r="O55" s="7">
        <f>IF($S55="","",N55+K55)</f>
        <v/>
      </c>
      <c r="P55" s="7">
        <f>IF($S55="","",Q55-O55)</f>
        <v/>
      </c>
      <c r="Q55" s="7">
        <f>IF($S55="","",J55+M55)</f>
        <v/>
      </c>
      <c r="R55" s="7">
        <f>IF($S55="","",Q55-O55-G55)</f>
        <v/>
      </c>
      <c r="S55" s="13">
        <f>IF(ROWS($S$2:$S55)&lt;=MAX('Per Line'!$U$2:$U$501),MATCH(ROWS($S$2:$S55),'Per Line'!$U$2:$U$501,0),"")</f>
        <v/>
      </c>
    </row>
    <row r="56">
      <c r="A56" s="12" t="n"/>
      <c r="B56">
        <f>IF($S56="","",INDEX('Per Line'!$A$2:$A$501,$S56)&amp;"")</f>
        <v/>
      </c>
      <c r="C56">
        <f>IF($S56="","",INDEX('Per Line'!$B$2:$B$501,$S56)&amp;"")</f>
        <v/>
      </c>
      <c r="D56">
        <f>IF($S56="","",INDEX('Per Line'!$C$2:$C$501,$S56)&amp;"")</f>
        <v/>
      </c>
      <c r="E56">
        <f>IF($S56="","",INDEX('Per Line'!$D$2:$D$501,$S56)&amp;"")</f>
        <v/>
      </c>
      <c r="F56">
        <f>IF($S56="","",INDEX('Per Line'!$E$2:$E$501,$S56))</f>
        <v/>
      </c>
      <c r="G56" s="7">
        <f>IF($S56="","",F56*Q56/100)</f>
        <v/>
      </c>
      <c r="H56" s="11">
        <f>IF($S56="","",INDEX('Per Line'!$O$2:$O$501,$S56))</f>
        <v/>
      </c>
      <c r="I56">
        <f>IF($S56="","",Settings!$C$7)</f>
        <v/>
      </c>
      <c r="J56" s="7">
        <f>IF($S56="","",SUMIFS('Per Line'!$K$2:$K$501,'Per Line'!$A$2:$A$501,$B56,'Per Line'!$V$2:$V$501,0))</f>
        <v/>
      </c>
      <c r="K56" s="7">
        <f>IF($S56="","",J56*I56)</f>
        <v/>
      </c>
      <c r="L56">
        <f>IF($S56="","",Settings!$C$6)</f>
        <v/>
      </c>
      <c r="M56" s="7">
        <f>IF($S56="","",SUMIFS('Per Line'!$K$2:$K$501,'Per Line'!$A$2:$A$501,$B56,'Per Line'!$V$2:$V$501,1))</f>
        <v/>
      </c>
      <c r="N56" s="7">
        <f>IF($S56="","",M56*L56)</f>
        <v/>
      </c>
      <c r="O56" s="7">
        <f>IF($S56="","",N56+K56)</f>
        <v/>
      </c>
      <c r="P56" s="7">
        <f>IF($S56="","",Q56-O56)</f>
        <v/>
      </c>
      <c r="Q56" s="7">
        <f>IF($S56="","",J56+M56)</f>
        <v/>
      </c>
      <c r="R56" s="7">
        <f>IF($S56="","",Q56-O56-G56)</f>
        <v/>
      </c>
      <c r="S56" s="13">
        <f>IF(ROWS($S$2:$S56)&lt;=MAX('Per Line'!$U$2:$U$501),MATCH(ROWS($S$2:$S56),'Per Line'!$U$2:$U$501,0),"")</f>
        <v/>
      </c>
    </row>
    <row r="57">
      <c r="A57" s="12" t="n"/>
      <c r="B57">
        <f>IF($S57="","",INDEX('Per Line'!$A$2:$A$501,$S57)&amp;"")</f>
        <v/>
      </c>
      <c r="C57">
        <f>IF($S57="","",INDEX('Per Line'!$B$2:$B$501,$S57)&amp;"")</f>
        <v/>
      </c>
      <c r="D57">
        <f>IF($S57="","",INDEX('Per Line'!$C$2:$C$501,$S57)&amp;"")</f>
        <v/>
      </c>
      <c r="E57">
        <f>IF($S57="","",INDEX('Per Line'!$D$2:$D$501,$S57)&amp;"")</f>
        <v/>
      </c>
      <c r="F57">
        <f>IF($S57="","",INDEX('Per Line'!$E$2:$E$501,$S57))</f>
        <v/>
      </c>
      <c r="G57" s="7">
        <f>IF($S57="","",F57*Q57/100)</f>
        <v/>
      </c>
      <c r="H57" s="11">
        <f>IF($S57="","",INDEX('Per Line'!$O$2:$O$501,$S57))</f>
        <v/>
      </c>
      <c r="I57">
        <f>IF($S57="","",Settings!$C$7)</f>
        <v/>
      </c>
      <c r="J57" s="7">
        <f>IF($S57="","",SUMIFS('Per Line'!$K$2:$K$501,'Per Line'!$A$2:$A$501,$B57,'Per Line'!$V$2:$V$501,0))</f>
        <v/>
      </c>
      <c r="K57" s="7">
        <f>IF($S57="","",J57*I57)</f>
        <v/>
      </c>
      <c r="L57">
        <f>IF($S57="","",Settings!$C$6)</f>
        <v/>
      </c>
      <c r="M57" s="7">
        <f>IF($S57="","",SUMIFS('Per Line'!$K$2:$K$501,'Per Line'!$A$2:$A$501,$B57,'Per Line'!$V$2:$V$501,1))</f>
        <v/>
      </c>
      <c r="N57" s="7">
        <f>IF($S57="","",M57*L57)</f>
        <v/>
      </c>
      <c r="O57" s="7">
        <f>IF($S57="","",N57+K57)</f>
        <v/>
      </c>
      <c r="P57" s="7">
        <f>IF($S57="","",Q57-O57)</f>
        <v/>
      </c>
      <c r="Q57" s="7">
        <f>IF($S57="","",J57+M57)</f>
        <v/>
      </c>
      <c r="R57" s="7">
        <f>IF($S57="","",Q57-O57-G57)</f>
        <v/>
      </c>
      <c r="S57" s="13">
        <f>IF(ROWS($S$2:$S57)&lt;=MAX('Per Line'!$U$2:$U$501),MATCH(ROWS($S$2:$S57),'Per Line'!$U$2:$U$501,0),"")</f>
        <v/>
      </c>
    </row>
    <row r="58">
      <c r="A58" s="12" t="n"/>
      <c r="B58">
        <f>IF($S58="","",INDEX('Per Line'!$A$2:$A$501,$S58)&amp;"")</f>
        <v/>
      </c>
      <c r="C58">
        <f>IF($S58="","",INDEX('Per Line'!$B$2:$B$501,$S58)&amp;"")</f>
        <v/>
      </c>
      <c r="D58">
        <f>IF($S58="","",INDEX('Per Line'!$C$2:$C$501,$S58)&amp;"")</f>
        <v/>
      </c>
      <c r="E58">
        <f>IF($S58="","",INDEX('Per Line'!$D$2:$D$501,$S58)&amp;"")</f>
        <v/>
      </c>
      <c r="F58">
        <f>IF($S58="","",INDEX('Per Line'!$E$2:$E$501,$S58))</f>
        <v/>
      </c>
      <c r="G58" s="7">
        <f>IF($S58="","",F58*Q58/100)</f>
        <v/>
      </c>
      <c r="H58" s="11">
        <f>IF($S58="","",INDEX('Per Line'!$O$2:$O$501,$S58))</f>
        <v/>
      </c>
      <c r="I58">
        <f>IF($S58="","",Settings!$C$7)</f>
        <v/>
      </c>
      <c r="J58" s="7">
        <f>IF($S58="","",SUMIFS('Per Line'!$K$2:$K$501,'Per Line'!$A$2:$A$501,$B58,'Per Line'!$V$2:$V$501,0))</f>
        <v/>
      </c>
      <c r="K58" s="7">
        <f>IF($S58="","",J58*I58)</f>
        <v/>
      </c>
      <c r="L58">
        <f>IF($S58="","",Settings!$C$6)</f>
        <v/>
      </c>
      <c r="M58" s="7">
        <f>IF($S58="","",SUMIFS('Per Line'!$K$2:$K$501,'Per Line'!$A$2:$A$501,$B58,'Per Line'!$V$2:$V$501,1))</f>
        <v/>
      </c>
      <c r="N58" s="7">
        <f>IF($S58="","",M58*L58)</f>
        <v/>
      </c>
      <c r="O58" s="7">
        <f>IF($S58="","",N58+K58)</f>
        <v/>
      </c>
      <c r="P58" s="7">
        <f>IF($S58="","",Q58-O58)</f>
        <v/>
      </c>
      <c r="Q58" s="7">
        <f>IF($S58="","",J58+M58)</f>
        <v/>
      </c>
      <c r="R58" s="7">
        <f>IF($S58="","",Q58-O58-G58)</f>
        <v/>
      </c>
      <c r="S58" s="13">
        <f>IF(ROWS($S$2:$S58)&lt;=MAX('Per Line'!$U$2:$U$501),MATCH(ROWS($S$2:$S58),'Per Line'!$U$2:$U$501,0),"")</f>
        <v/>
      </c>
    </row>
    <row r="59">
      <c r="A59" s="12" t="n"/>
      <c r="B59">
        <f>IF($S59="","",INDEX('Per Line'!$A$2:$A$501,$S59)&amp;"")</f>
        <v/>
      </c>
      <c r="C59">
        <f>IF($S59="","",INDEX('Per Line'!$B$2:$B$501,$S59)&amp;"")</f>
        <v/>
      </c>
      <c r="D59">
        <f>IF($S59="","",INDEX('Per Line'!$C$2:$C$501,$S59)&amp;"")</f>
        <v/>
      </c>
      <c r="E59">
        <f>IF($S59="","",INDEX('Per Line'!$D$2:$D$501,$S59)&amp;"")</f>
        <v/>
      </c>
      <c r="F59">
        <f>IF($S59="","",INDEX('Per Line'!$E$2:$E$501,$S59))</f>
        <v/>
      </c>
      <c r="G59" s="7">
        <f>IF($S59="","",F59*Q59/100)</f>
        <v/>
      </c>
      <c r="H59" s="11">
        <f>IF($S59="","",INDEX('Per Line'!$O$2:$O$501,$S59))</f>
        <v/>
      </c>
      <c r="I59">
        <f>IF($S59="","",Settings!$C$7)</f>
        <v/>
      </c>
      <c r="J59" s="7">
        <f>IF($S59="","",SUMIFS('Per Line'!$K$2:$K$501,'Per Line'!$A$2:$A$501,$B59,'Per Line'!$V$2:$V$501,0))</f>
        <v/>
      </c>
      <c r="K59" s="7">
        <f>IF($S59="","",J59*I59)</f>
        <v/>
      </c>
      <c r="L59">
        <f>IF($S59="","",Settings!$C$6)</f>
        <v/>
      </c>
      <c r="M59" s="7">
        <f>IF($S59="","",SUMIFS('Per Line'!$K$2:$K$501,'Per Line'!$A$2:$A$501,$B59,'Per Line'!$V$2:$V$501,1))</f>
        <v/>
      </c>
      <c r="N59" s="7">
        <f>IF($S59="","",M59*L59)</f>
        <v/>
      </c>
      <c r="O59" s="7">
        <f>IF($S59="","",N59+K59)</f>
        <v/>
      </c>
      <c r="P59" s="7">
        <f>IF($S59="","",Q59-O59)</f>
        <v/>
      </c>
      <c r="Q59" s="7">
        <f>IF($S59="","",J59+M59)</f>
        <v/>
      </c>
      <c r="R59" s="7">
        <f>IF($S59="","",Q59-O59-G59)</f>
        <v/>
      </c>
      <c r="S59" s="13">
        <f>IF(ROWS($S$2:$S59)&lt;=MAX('Per Line'!$U$2:$U$501),MATCH(ROWS($S$2:$S59),'Per Line'!$U$2:$U$501,0),"")</f>
        <v/>
      </c>
    </row>
    <row r="60">
      <c r="A60" s="12" t="n"/>
      <c r="B60">
        <f>IF($S60="","",INDEX('Per Line'!$A$2:$A$501,$S60)&amp;"")</f>
        <v/>
      </c>
      <c r="C60">
        <f>IF($S60="","",INDEX('Per Line'!$B$2:$B$501,$S60)&amp;"")</f>
        <v/>
      </c>
      <c r="D60">
        <f>IF($S60="","",INDEX('Per Line'!$C$2:$C$501,$S60)&amp;"")</f>
        <v/>
      </c>
      <c r="E60">
        <f>IF($S60="","",INDEX('Per Line'!$D$2:$D$501,$S60)&amp;"")</f>
        <v/>
      </c>
      <c r="F60">
        <f>IF($S60="","",INDEX('Per Line'!$E$2:$E$501,$S60))</f>
        <v/>
      </c>
      <c r="G60" s="7">
        <f>IF($S60="","",F60*Q60/100)</f>
        <v/>
      </c>
      <c r="H60" s="11">
        <f>IF($S60="","",INDEX('Per Line'!$O$2:$O$501,$S60))</f>
        <v/>
      </c>
      <c r="I60">
        <f>IF($S60="","",Settings!$C$7)</f>
        <v/>
      </c>
      <c r="J60" s="7">
        <f>IF($S60="","",SUMIFS('Per Line'!$K$2:$K$501,'Per Line'!$A$2:$A$501,$B60,'Per Line'!$V$2:$V$501,0))</f>
        <v/>
      </c>
      <c r="K60" s="7">
        <f>IF($S60="","",J60*I60)</f>
        <v/>
      </c>
      <c r="L60">
        <f>IF($S60="","",Settings!$C$6)</f>
        <v/>
      </c>
      <c r="M60" s="7">
        <f>IF($S60="","",SUMIFS('Per Line'!$K$2:$K$501,'Per Line'!$A$2:$A$501,$B60,'Per Line'!$V$2:$V$501,1))</f>
        <v/>
      </c>
      <c r="N60" s="7">
        <f>IF($S60="","",M60*L60)</f>
        <v/>
      </c>
      <c r="O60" s="7">
        <f>IF($S60="","",N60+K60)</f>
        <v/>
      </c>
      <c r="P60" s="7">
        <f>IF($S60="","",Q60-O60)</f>
        <v/>
      </c>
      <c r="Q60" s="7">
        <f>IF($S60="","",J60+M60)</f>
        <v/>
      </c>
      <c r="R60" s="7">
        <f>IF($S60="","",Q60-O60-G60)</f>
        <v/>
      </c>
      <c r="S60" s="13">
        <f>IF(ROWS($S$2:$S60)&lt;=MAX('Per Line'!$U$2:$U$501),MATCH(ROWS($S$2:$S60),'Per Line'!$U$2:$U$501,0),"")</f>
        <v/>
      </c>
    </row>
    <row r="61">
      <c r="A61" s="12" t="n"/>
      <c r="B61">
        <f>IF($S61="","",INDEX('Per Line'!$A$2:$A$501,$S61)&amp;"")</f>
        <v/>
      </c>
      <c r="C61">
        <f>IF($S61="","",INDEX('Per Line'!$B$2:$B$501,$S61)&amp;"")</f>
        <v/>
      </c>
      <c r="D61">
        <f>IF($S61="","",INDEX('Per Line'!$C$2:$C$501,$S61)&amp;"")</f>
        <v/>
      </c>
      <c r="E61">
        <f>IF($S61="","",INDEX('Per Line'!$D$2:$D$501,$S61)&amp;"")</f>
        <v/>
      </c>
      <c r="F61">
        <f>IF($S61="","",INDEX('Per Line'!$E$2:$E$501,$S61))</f>
        <v/>
      </c>
      <c r="G61" s="7">
        <f>IF($S61="","",F61*Q61/100)</f>
        <v/>
      </c>
      <c r="H61" s="11">
        <f>IF($S61="","",INDEX('Per Line'!$O$2:$O$501,$S61))</f>
        <v/>
      </c>
      <c r="I61">
        <f>IF($S61="","",Settings!$C$7)</f>
        <v/>
      </c>
      <c r="J61" s="7">
        <f>IF($S61="","",SUMIFS('Per Line'!$K$2:$K$501,'Per Line'!$A$2:$A$501,$B61,'Per Line'!$V$2:$V$501,0))</f>
        <v/>
      </c>
      <c r="K61" s="7">
        <f>IF($S61="","",J61*I61)</f>
        <v/>
      </c>
      <c r="L61">
        <f>IF($S61="","",Settings!$C$6)</f>
        <v/>
      </c>
      <c r="M61" s="7">
        <f>IF($S61="","",SUMIFS('Per Line'!$K$2:$K$501,'Per Line'!$A$2:$A$501,$B61,'Per Line'!$V$2:$V$501,1))</f>
        <v/>
      </c>
      <c r="N61" s="7">
        <f>IF($S61="","",M61*L61)</f>
        <v/>
      </c>
      <c r="O61" s="7">
        <f>IF($S61="","",N61+K61)</f>
        <v/>
      </c>
      <c r="P61" s="7">
        <f>IF($S61="","",Q61-O61)</f>
        <v/>
      </c>
      <c r="Q61" s="7">
        <f>IF($S61="","",J61+M61)</f>
        <v/>
      </c>
      <c r="R61" s="7">
        <f>IF($S61="","",Q61-O61-G61)</f>
        <v/>
      </c>
      <c r="S61" s="13">
        <f>IF(ROWS($S$2:$S61)&lt;=MAX('Per Line'!$U$2:$U$501),MATCH(ROWS($S$2:$S61),'Per Line'!$U$2:$U$501,0),"")</f>
        <v/>
      </c>
    </row>
    <row r="62">
      <c r="A62" s="12" t="n"/>
      <c r="B62">
        <f>IF($S62="","",INDEX('Per Line'!$A$2:$A$501,$S62)&amp;"")</f>
        <v/>
      </c>
      <c r="C62">
        <f>IF($S62="","",INDEX('Per Line'!$B$2:$B$501,$S62)&amp;"")</f>
        <v/>
      </c>
      <c r="D62">
        <f>IF($S62="","",INDEX('Per Line'!$C$2:$C$501,$S62)&amp;"")</f>
        <v/>
      </c>
      <c r="E62">
        <f>IF($S62="","",INDEX('Per Line'!$D$2:$D$501,$S62)&amp;"")</f>
        <v/>
      </c>
      <c r="F62">
        <f>IF($S62="","",INDEX('Per Line'!$E$2:$E$501,$S62))</f>
        <v/>
      </c>
      <c r="G62" s="7">
        <f>IF($S62="","",F62*Q62/100)</f>
        <v/>
      </c>
      <c r="H62" s="11">
        <f>IF($S62="","",INDEX('Per Line'!$O$2:$O$501,$S62))</f>
        <v/>
      </c>
      <c r="I62">
        <f>IF($S62="","",Settings!$C$7)</f>
        <v/>
      </c>
      <c r="J62" s="7">
        <f>IF($S62="","",SUMIFS('Per Line'!$K$2:$K$501,'Per Line'!$A$2:$A$501,$B62,'Per Line'!$V$2:$V$501,0))</f>
        <v/>
      </c>
      <c r="K62" s="7">
        <f>IF($S62="","",J62*I62)</f>
        <v/>
      </c>
      <c r="L62">
        <f>IF($S62="","",Settings!$C$6)</f>
        <v/>
      </c>
      <c r="M62" s="7">
        <f>IF($S62="","",SUMIFS('Per Line'!$K$2:$K$501,'Per Line'!$A$2:$A$501,$B62,'Per Line'!$V$2:$V$501,1))</f>
        <v/>
      </c>
      <c r="N62" s="7">
        <f>IF($S62="","",M62*L62)</f>
        <v/>
      </c>
      <c r="O62" s="7">
        <f>IF($S62="","",N62+K62)</f>
        <v/>
      </c>
      <c r="P62" s="7">
        <f>IF($S62="","",Q62-O62)</f>
        <v/>
      </c>
      <c r="Q62" s="7">
        <f>IF($S62="","",J62+M62)</f>
        <v/>
      </c>
      <c r="R62" s="7">
        <f>IF($S62="","",Q62-O62-G62)</f>
        <v/>
      </c>
      <c r="S62" s="13">
        <f>IF(ROWS($S$2:$S62)&lt;=MAX('Per Line'!$U$2:$U$501),MATCH(ROWS($S$2:$S62),'Per Line'!$U$2:$U$501,0),"")</f>
        <v/>
      </c>
    </row>
    <row r="63">
      <c r="A63" s="12" t="n"/>
      <c r="B63">
        <f>IF($S63="","",INDEX('Per Line'!$A$2:$A$501,$S63)&amp;"")</f>
        <v/>
      </c>
      <c r="C63">
        <f>IF($S63="","",INDEX('Per Line'!$B$2:$B$501,$S63)&amp;"")</f>
        <v/>
      </c>
      <c r="D63">
        <f>IF($S63="","",INDEX('Per Line'!$C$2:$C$501,$S63)&amp;"")</f>
        <v/>
      </c>
      <c r="E63">
        <f>IF($S63="","",INDEX('Per Line'!$D$2:$D$501,$S63)&amp;"")</f>
        <v/>
      </c>
      <c r="F63">
        <f>IF($S63="","",INDEX('Per Line'!$E$2:$E$501,$S63))</f>
        <v/>
      </c>
      <c r="G63" s="7">
        <f>IF($S63="","",F63*Q63/100)</f>
        <v/>
      </c>
      <c r="H63" s="11">
        <f>IF($S63="","",INDEX('Per Line'!$O$2:$O$501,$S63))</f>
        <v/>
      </c>
      <c r="I63">
        <f>IF($S63="","",Settings!$C$7)</f>
        <v/>
      </c>
      <c r="J63" s="7">
        <f>IF($S63="","",SUMIFS('Per Line'!$K$2:$K$501,'Per Line'!$A$2:$A$501,$B63,'Per Line'!$V$2:$V$501,0))</f>
        <v/>
      </c>
      <c r="K63" s="7">
        <f>IF($S63="","",J63*I63)</f>
        <v/>
      </c>
      <c r="L63">
        <f>IF($S63="","",Settings!$C$6)</f>
        <v/>
      </c>
      <c r="M63" s="7">
        <f>IF($S63="","",SUMIFS('Per Line'!$K$2:$K$501,'Per Line'!$A$2:$A$501,$B63,'Per Line'!$V$2:$V$501,1))</f>
        <v/>
      </c>
      <c r="N63" s="7">
        <f>IF($S63="","",M63*L63)</f>
        <v/>
      </c>
      <c r="O63" s="7">
        <f>IF($S63="","",N63+K63)</f>
        <v/>
      </c>
      <c r="P63" s="7">
        <f>IF($S63="","",Q63-O63)</f>
        <v/>
      </c>
      <c r="Q63" s="7">
        <f>IF($S63="","",J63+M63)</f>
        <v/>
      </c>
      <c r="R63" s="7">
        <f>IF($S63="","",Q63-O63-G63)</f>
        <v/>
      </c>
      <c r="S63" s="13">
        <f>IF(ROWS($S$2:$S63)&lt;=MAX('Per Line'!$U$2:$U$501),MATCH(ROWS($S$2:$S63),'Per Line'!$U$2:$U$501,0),"")</f>
        <v/>
      </c>
    </row>
    <row r="64">
      <c r="A64" s="12" t="n"/>
      <c r="B64">
        <f>IF($S64="","",INDEX('Per Line'!$A$2:$A$501,$S64)&amp;"")</f>
        <v/>
      </c>
      <c r="C64">
        <f>IF($S64="","",INDEX('Per Line'!$B$2:$B$501,$S64)&amp;"")</f>
        <v/>
      </c>
      <c r="D64">
        <f>IF($S64="","",INDEX('Per Line'!$C$2:$C$501,$S64)&amp;"")</f>
        <v/>
      </c>
      <c r="E64">
        <f>IF($S64="","",INDEX('Per Line'!$D$2:$D$501,$S64)&amp;"")</f>
        <v/>
      </c>
      <c r="F64">
        <f>IF($S64="","",INDEX('Per Line'!$E$2:$E$501,$S64))</f>
        <v/>
      </c>
      <c r="G64" s="7">
        <f>IF($S64="","",F64*Q64/100)</f>
        <v/>
      </c>
      <c r="H64" s="11">
        <f>IF($S64="","",INDEX('Per Line'!$O$2:$O$501,$S64))</f>
        <v/>
      </c>
      <c r="I64">
        <f>IF($S64="","",Settings!$C$7)</f>
        <v/>
      </c>
      <c r="J64" s="7">
        <f>IF($S64="","",SUMIFS('Per Line'!$K$2:$K$501,'Per Line'!$A$2:$A$501,$B64,'Per Line'!$V$2:$V$501,0))</f>
        <v/>
      </c>
      <c r="K64" s="7">
        <f>IF($S64="","",J64*I64)</f>
        <v/>
      </c>
      <c r="L64">
        <f>IF($S64="","",Settings!$C$6)</f>
        <v/>
      </c>
      <c r="M64" s="7">
        <f>IF($S64="","",SUMIFS('Per Line'!$K$2:$K$501,'Per Line'!$A$2:$A$501,$B64,'Per Line'!$V$2:$V$501,1))</f>
        <v/>
      </c>
      <c r="N64" s="7">
        <f>IF($S64="","",M64*L64)</f>
        <v/>
      </c>
      <c r="O64" s="7">
        <f>IF($S64="","",N64+K64)</f>
        <v/>
      </c>
      <c r="P64" s="7">
        <f>IF($S64="","",Q64-O64)</f>
        <v/>
      </c>
      <c r="Q64" s="7">
        <f>IF($S64="","",J64+M64)</f>
        <v/>
      </c>
      <c r="R64" s="7">
        <f>IF($S64="","",Q64-O64-G64)</f>
        <v/>
      </c>
      <c r="S64" s="13">
        <f>IF(ROWS($S$2:$S64)&lt;=MAX('Per Line'!$U$2:$U$501),MATCH(ROWS($S$2:$S64),'Per Line'!$U$2:$U$501,0),"")</f>
        <v/>
      </c>
    </row>
    <row r="65">
      <c r="A65" s="12" t="n"/>
      <c r="B65">
        <f>IF($S65="","",INDEX('Per Line'!$A$2:$A$501,$S65)&amp;"")</f>
        <v/>
      </c>
      <c r="C65">
        <f>IF($S65="","",INDEX('Per Line'!$B$2:$B$501,$S65)&amp;"")</f>
        <v/>
      </c>
      <c r="D65">
        <f>IF($S65="","",INDEX('Per Line'!$C$2:$C$501,$S65)&amp;"")</f>
        <v/>
      </c>
      <c r="E65">
        <f>IF($S65="","",INDEX('Per Line'!$D$2:$D$501,$S65)&amp;"")</f>
        <v/>
      </c>
      <c r="F65">
        <f>IF($S65="","",INDEX('Per Line'!$E$2:$E$501,$S65))</f>
        <v/>
      </c>
      <c r="G65" s="7">
        <f>IF($S65="","",F65*Q65/100)</f>
        <v/>
      </c>
      <c r="H65" s="11">
        <f>IF($S65="","",INDEX('Per Line'!$O$2:$O$501,$S65))</f>
        <v/>
      </c>
      <c r="I65">
        <f>IF($S65="","",Settings!$C$7)</f>
        <v/>
      </c>
      <c r="J65" s="7">
        <f>IF($S65="","",SUMIFS('Per Line'!$K$2:$K$501,'Per Line'!$A$2:$A$501,$B65,'Per Line'!$V$2:$V$501,0))</f>
        <v/>
      </c>
      <c r="K65" s="7">
        <f>IF($S65="","",J65*I65)</f>
        <v/>
      </c>
      <c r="L65">
        <f>IF($S65="","",Settings!$C$6)</f>
        <v/>
      </c>
      <c r="M65" s="7">
        <f>IF($S65="","",SUMIFS('Per Line'!$K$2:$K$501,'Per Line'!$A$2:$A$501,$B65,'Per Line'!$V$2:$V$501,1))</f>
        <v/>
      </c>
      <c r="N65" s="7">
        <f>IF($S65="","",M65*L65)</f>
        <v/>
      </c>
      <c r="O65" s="7">
        <f>IF($S65="","",N65+K65)</f>
        <v/>
      </c>
      <c r="P65" s="7">
        <f>IF($S65="","",Q65-O65)</f>
        <v/>
      </c>
      <c r="Q65" s="7">
        <f>IF($S65="","",J65+M65)</f>
        <v/>
      </c>
      <c r="R65" s="7">
        <f>IF($S65="","",Q65-O65-G65)</f>
        <v/>
      </c>
      <c r="S65" s="13">
        <f>IF(ROWS($S$2:$S65)&lt;=MAX('Per Line'!$U$2:$U$501),MATCH(ROWS($S$2:$S65),'Per Line'!$U$2:$U$501,0),"")</f>
        <v/>
      </c>
    </row>
    <row r="66">
      <c r="A66" s="12" t="n"/>
      <c r="B66">
        <f>IF($S66="","",INDEX('Per Line'!$A$2:$A$501,$S66)&amp;"")</f>
        <v/>
      </c>
      <c r="C66">
        <f>IF($S66="","",INDEX('Per Line'!$B$2:$B$501,$S66)&amp;"")</f>
        <v/>
      </c>
      <c r="D66">
        <f>IF($S66="","",INDEX('Per Line'!$C$2:$C$501,$S66)&amp;"")</f>
        <v/>
      </c>
      <c r="E66">
        <f>IF($S66="","",INDEX('Per Line'!$D$2:$D$501,$S66)&amp;"")</f>
        <v/>
      </c>
      <c r="F66">
        <f>IF($S66="","",INDEX('Per Line'!$E$2:$E$501,$S66))</f>
        <v/>
      </c>
      <c r="G66" s="7">
        <f>IF($S66="","",F66*Q66/100)</f>
        <v/>
      </c>
      <c r="H66" s="11">
        <f>IF($S66="","",INDEX('Per Line'!$O$2:$O$501,$S66))</f>
        <v/>
      </c>
      <c r="I66">
        <f>IF($S66="","",Settings!$C$7)</f>
        <v/>
      </c>
      <c r="J66" s="7">
        <f>IF($S66="","",SUMIFS('Per Line'!$K$2:$K$501,'Per Line'!$A$2:$A$501,$B66,'Per Line'!$V$2:$V$501,0))</f>
        <v/>
      </c>
      <c r="K66" s="7">
        <f>IF($S66="","",J66*I66)</f>
        <v/>
      </c>
      <c r="L66">
        <f>IF($S66="","",Settings!$C$6)</f>
        <v/>
      </c>
      <c r="M66" s="7">
        <f>IF($S66="","",SUMIFS('Per Line'!$K$2:$K$501,'Per Line'!$A$2:$A$501,$B66,'Per Line'!$V$2:$V$501,1))</f>
        <v/>
      </c>
      <c r="N66" s="7">
        <f>IF($S66="","",M66*L66)</f>
        <v/>
      </c>
      <c r="O66" s="7">
        <f>IF($S66="","",N66+K66)</f>
        <v/>
      </c>
      <c r="P66" s="7">
        <f>IF($S66="","",Q66-O66)</f>
        <v/>
      </c>
      <c r="Q66" s="7">
        <f>IF($S66="","",J66+M66)</f>
        <v/>
      </c>
      <c r="R66" s="7">
        <f>IF($S66="","",Q66-O66-G66)</f>
        <v/>
      </c>
      <c r="S66" s="13">
        <f>IF(ROWS($S$2:$S66)&lt;=MAX('Per Line'!$U$2:$U$501),MATCH(ROWS($S$2:$S66),'Per Line'!$U$2:$U$501,0),"")</f>
        <v/>
      </c>
    </row>
    <row r="67">
      <c r="A67" s="12" t="n"/>
      <c r="B67">
        <f>IF($S67="","",INDEX('Per Line'!$A$2:$A$501,$S67)&amp;"")</f>
        <v/>
      </c>
      <c r="C67">
        <f>IF($S67="","",INDEX('Per Line'!$B$2:$B$501,$S67)&amp;"")</f>
        <v/>
      </c>
      <c r="D67">
        <f>IF($S67="","",INDEX('Per Line'!$C$2:$C$501,$S67)&amp;"")</f>
        <v/>
      </c>
      <c r="E67">
        <f>IF($S67="","",INDEX('Per Line'!$D$2:$D$501,$S67)&amp;"")</f>
        <v/>
      </c>
      <c r="F67">
        <f>IF($S67="","",INDEX('Per Line'!$E$2:$E$501,$S67))</f>
        <v/>
      </c>
      <c r="G67" s="7">
        <f>IF($S67="","",F67*Q67/100)</f>
        <v/>
      </c>
      <c r="H67" s="11">
        <f>IF($S67="","",INDEX('Per Line'!$O$2:$O$501,$S67))</f>
        <v/>
      </c>
      <c r="I67">
        <f>IF($S67="","",Settings!$C$7)</f>
        <v/>
      </c>
      <c r="J67" s="7">
        <f>IF($S67="","",SUMIFS('Per Line'!$K$2:$K$501,'Per Line'!$A$2:$A$501,$B67,'Per Line'!$V$2:$V$501,0))</f>
        <v/>
      </c>
      <c r="K67" s="7">
        <f>IF($S67="","",J67*I67)</f>
        <v/>
      </c>
      <c r="L67">
        <f>IF($S67="","",Settings!$C$6)</f>
        <v/>
      </c>
      <c r="M67" s="7">
        <f>IF($S67="","",SUMIFS('Per Line'!$K$2:$K$501,'Per Line'!$A$2:$A$501,$B67,'Per Line'!$V$2:$V$501,1))</f>
        <v/>
      </c>
      <c r="N67" s="7">
        <f>IF($S67="","",M67*L67)</f>
        <v/>
      </c>
      <c r="O67" s="7">
        <f>IF($S67="","",N67+K67)</f>
        <v/>
      </c>
      <c r="P67" s="7">
        <f>IF($S67="","",Q67-O67)</f>
        <v/>
      </c>
      <c r="Q67" s="7">
        <f>IF($S67="","",J67+M67)</f>
        <v/>
      </c>
      <c r="R67" s="7">
        <f>IF($S67="","",Q67-O67-G67)</f>
        <v/>
      </c>
      <c r="S67" s="13">
        <f>IF(ROWS($S$2:$S67)&lt;=MAX('Per Line'!$U$2:$U$501),MATCH(ROWS($S$2:$S67),'Per Line'!$U$2:$U$501,0),"")</f>
        <v/>
      </c>
    </row>
    <row r="68">
      <c r="A68" s="12" t="n"/>
      <c r="B68">
        <f>IF($S68="","",INDEX('Per Line'!$A$2:$A$501,$S68)&amp;"")</f>
        <v/>
      </c>
      <c r="C68">
        <f>IF($S68="","",INDEX('Per Line'!$B$2:$B$501,$S68)&amp;"")</f>
        <v/>
      </c>
      <c r="D68">
        <f>IF($S68="","",INDEX('Per Line'!$C$2:$C$501,$S68)&amp;"")</f>
        <v/>
      </c>
      <c r="E68">
        <f>IF($S68="","",INDEX('Per Line'!$D$2:$D$501,$S68)&amp;"")</f>
        <v/>
      </c>
      <c r="F68">
        <f>IF($S68="","",INDEX('Per Line'!$E$2:$E$501,$S68))</f>
        <v/>
      </c>
      <c r="G68" s="7">
        <f>IF($S68="","",F68*Q68/100)</f>
        <v/>
      </c>
      <c r="H68" s="11">
        <f>IF($S68="","",INDEX('Per Line'!$O$2:$O$501,$S68))</f>
        <v/>
      </c>
      <c r="I68">
        <f>IF($S68="","",Settings!$C$7)</f>
        <v/>
      </c>
      <c r="J68" s="7">
        <f>IF($S68="","",SUMIFS('Per Line'!$K$2:$K$501,'Per Line'!$A$2:$A$501,$B68,'Per Line'!$V$2:$V$501,0))</f>
        <v/>
      </c>
      <c r="K68" s="7">
        <f>IF($S68="","",J68*I68)</f>
        <v/>
      </c>
      <c r="L68">
        <f>IF($S68="","",Settings!$C$6)</f>
        <v/>
      </c>
      <c r="M68" s="7">
        <f>IF($S68="","",SUMIFS('Per Line'!$K$2:$K$501,'Per Line'!$A$2:$A$501,$B68,'Per Line'!$V$2:$V$501,1))</f>
        <v/>
      </c>
      <c r="N68" s="7">
        <f>IF($S68="","",M68*L68)</f>
        <v/>
      </c>
      <c r="O68" s="7">
        <f>IF($S68="","",N68+K68)</f>
        <v/>
      </c>
      <c r="P68" s="7">
        <f>IF($S68="","",Q68-O68)</f>
        <v/>
      </c>
      <c r="Q68" s="7">
        <f>IF($S68="","",J68+M68)</f>
        <v/>
      </c>
      <c r="R68" s="7">
        <f>IF($S68="","",Q68-O68-G68)</f>
        <v/>
      </c>
      <c r="S68" s="13">
        <f>IF(ROWS($S$2:$S68)&lt;=MAX('Per Line'!$U$2:$U$501),MATCH(ROWS($S$2:$S68),'Per Line'!$U$2:$U$501,0),"")</f>
        <v/>
      </c>
    </row>
    <row r="69">
      <c r="A69" s="12" t="n"/>
      <c r="B69">
        <f>IF($S69="","",INDEX('Per Line'!$A$2:$A$501,$S69)&amp;"")</f>
        <v/>
      </c>
      <c r="C69">
        <f>IF($S69="","",INDEX('Per Line'!$B$2:$B$501,$S69)&amp;"")</f>
        <v/>
      </c>
      <c r="D69">
        <f>IF($S69="","",INDEX('Per Line'!$C$2:$C$501,$S69)&amp;"")</f>
        <v/>
      </c>
      <c r="E69">
        <f>IF($S69="","",INDEX('Per Line'!$D$2:$D$501,$S69)&amp;"")</f>
        <v/>
      </c>
      <c r="F69">
        <f>IF($S69="","",INDEX('Per Line'!$E$2:$E$501,$S69))</f>
        <v/>
      </c>
      <c r="G69" s="7">
        <f>IF($S69="","",F69*Q69/100)</f>
        <v/>
      </c>
      <c r="H69" s="11">
        <f>IF($S69="","",INDEX('Per Line'!$O$2:$O$501,$S69))</f>
        <v/>
      </c>
      <c r="I69">
        <f>IF($S69="","",Settings!$C$7)</f>
        <v/>
      </c>
      <c r="J69" s="7">
        <f>IF($S69="","",SUMIFS('Per Line'!$K$2:$K$501,'Per Line'!$A$2:$A$501,$B69,'Per Line'!$V$2:$V$501,0))</f>
        <v/>
      </c>
      <c r="K69" s="7">
        <f>IF($S69="","",J69*I69)</f>
        <v/>
      </c>
      <c r="L69">
        <f>IF($S69="","",Settings!$C$6)</f>
        <v/>
      </c>
      <c r="M69" s="7">
        <f>IF($S69="","",SUMIFS('Per Line'!$K$2:$K$501,'Per Line'!$A$2:$A$501,$B69,'Per Line'!$V$2:$V$501,1))</f>
        <v/>
      </c>
      <c r="N69" s="7">
        <f>IF($S69="","",M69*L69)</f>
        <v/>
      </c>
      <c r="O69" s="7">
        <f>IF($S69="","",N69+K69)</f>
        <v/>
      </c>
      <c r="P69" s="7">
        <f>IF($S69="","",Q69-O69)</f>
        <v/>
      </c>
      <c r="Q69" s="7">
        <f>IF($S69="","",J69+M69)</f>
        <v/>
      </c>
      <c r="R69" s="7">
        <f>IF($S69="","",Q69-O69-G69)</f>
        <v/>
      </c>
      <c r="S69" s="13">
        <f>IF(ROWS($S$2:$S69)&lt;=MAX('Per Line'!$U$2:$U$501),MATCH(ROWS($S$2:$S69),'Per Line'!$U$2:$U$501,0),"")</f>
        <v/>
      </c>
    </row>
    <row r="70">
      <c r="A70" s="12" t="n"/>
      <c r="B70">
        <f>IF($S70="","",INDEX('Per Line'!$A$2:$A$501,$S70)&amp;"")</f>
        <v/>
      </c>
      <c r="C70">
        <f>IF($S70="","",INDEX('Per Line'!$B$2:$B$501,$S70)&amp;"")</f>
        <v/>
      </c>
      <c r="D70">
        <f>IF($S70="","",INDEX('Per Line'!$C$2:$C$501,$S70)&amp;"")</f>
        <v/>
      </c>
      <c r="E70">
        <f>IF($S70="","",INDEX('Per Line'!$D$2:$D$501,$S70)&amp;"")</f>
        <v/>
      </c>
      <c r="F70">
        <f>IF($S70="","",INDEX('Per Line'!$E$2:$E$501,$S70))</f>
        <v/>
      </c>
      <c r="G70" s="7">
        <f>IF($S70="","",F70*Q70/100)</f>
        <v/>
      </c>
      <c r="H70" s="11">
        <f>IF($S70="","",INDEX('Per Line'!$O$2:$O$501,$S70))</f>
        <v/>
      </c>
      <c r="I70">
        <f>IF($S70="","",Settings!$C$7)</f>
        <v/>
      </c>
      <c r="J70" s="7">
        <f>IF($S70="","",SUMIFS('Per Line'!$K$2:$K$501,'Per Line'!$A$2:$A$501,$B70,'Per Line'!$V$2:$V$501,0))</f>
        <v/>
      </c>
      <c r="K70" s="7">
        <f>IF($S70="","",J70*I70)</f>
        <v/>
      </c>
      <c r="L70">
        <f>IF($S70="","",Settings!$C$6)</f>
        <v/>
      </c>
      <c r="M70" s="7">
        <f>IF($S70="","",SUMIFS('Per Line'!$K$2:$K$501,'Per Line'!$A$2:$A$501,$B70,'Per Line'!$V$2:$V$501,1))</f>
        <v/>
      </c>
      <c r="N70" s="7">
        <f>IF($S70="","",M70*L70)</f>
        <v/>
      </c>
      <c r="O70" s="7">
        <f>IF($S70="","",N70+K70)</f>
        <v/>
      </c>
      <c r="P70" s="7">
        <f>IF($S70="","",Q70-O70)</f>
        <v/>
      </c>
      <c r="Q70" s="7">
        <f>IF($S70="","",J70+M70)</f>
        <v/>
      </c>
      <c r="R70" s="7">
        <f>IF($S70="","",Q70-O70-G70)</f>
        <v/>
      </c>
      <c r="S70" s="13">
        <f>IF(ROWS($S$2:$S70)&lt;=MAX('Per Line'!$U$2:$U$501),MATCH(ROWS($S$2:$S70),'Per Line'!$U$2:$U$501,0),"")</f>
        <v/>
      </c>
    </row>
    <row r="71">
      <c r="A71" s="12" t="n"/>
      <c r="B71">
        <f>IF($S71="","",INDEX('Per Line'!$A$2:$A$501,$S71)&amp;"")</f>
        <v/>
      </c>
      <c r="C71">
        <f>IF($S71="","",INDEX('Per Line'!$B$2:$B$501,$S71)&amp;"")</f>
        <v/>
      </c>
      <c r="D71">
        <f>IF($S71="","",INDEX('Per Line'!$C$2:$C$501,$S71)&amp;"")</f>
        <v/>
      </c>
      <c r="E71">
        <f>IF($S71="","",INDEX('Per Line'!$D$2:$D$501,$S71)&amp;"")</f>
        <v/>
      </c>
      <c r="F71">
        <f>IF($S71="","",INDEX('Per Line'!$E$2:$E$501,$S71))</f>
        <v/>
      </c>
      <c r="G71" s="7">
        <f>IF($S71="","",F71*Q71/100)</f>
        <v/>
      </c>
      <c r="H71" s="11">
        <f>IF($S71="","",INDEX('Per Line'!$O$2:$O$501,$S71))</f>
        <v/>
      </c>
      <c r="I71">
        <f>IF($S71="","",Settings!$C$7)</f>
        <v/>
      </c>
      <c r="J71" s="7">
        <f>IF($S71="","",SUMIFS('Per Line'!$K$2:$K$501,'Per Line'!$A$2:$A$501,$B71,'Per Line'!$V$2:$V$501,0))</f>
        <v/>
      </c>
      <c r="K71" s="7">
        <f>IF($S71="","",J71*I71)</f>
        <v/>
      </c>
      <c r="L71">
        <f>IF($S71="","",Settings!$C$6)</f>
        <v/>
      </c>
      <c r="M71" s="7">
        <f>IF($S71="","",SUMIFS('Per Line'!$K$2:$K$501,'Per Line'!$A$2:$A$501,$B71,'Per Line'!$V$2:$V$501,1))</f>
        <v/>
      </c>
      <c r="N71" s="7">
        <f>IF($S71="","",M71*L71)</f>
        <v/>
      </c>
      <c r="O71" s="7">
        <f>IF($S71="","",N71+K71)</f>
        <v/>
      </c>
      <c r="P71" s="7">
        <f>IF($S71="","",Q71-O71)</f>
        <v/>
      </c>
      <c r="Q71" s="7">
        <f>IF($S71="","",J71+M71)</f>
        <v/>
      </c>
      <c r="R71" s="7">
        <f>IF($S71="","",Q71-O71-G71)</f>
        <v/>
      </c>
      <c r="S71" s="13">
        <f>IF(ROWS($S$2:$S71)&lt;=MAX('Per Line'!$U$2:$U$501),MATCH(ROWS($S$2:$S71),'Per Line'!$U$2:$U$501,0),"")</f>
        <v/>
      </c>
    </row>
    <row r="72">
      <c r="A72" s="12" t="n"/>
      <c r="B72">
        <f>IF($S72="","",INDEX('Per Line'!$A$2:$A$501,$S72)&amp;"")</f>
        <v/>
      </c>
      <c r="C72">
        <f>IF($S72="","",INDEX('Per Line'!$B$2:$B$501,$S72)&amp;"")</f>
        <v/>
      </c>
      <c r="D72">
        <f>IF($S72="","",INDEX('Per Line'!$C$2:$C$501,$S72)&amp;"")</f>
        <v/>
      </c>
      <c r="E72">
        <f>IF($S72="","",INDEX('Per Line'!$D$2:$D$501,$S72)&amp;"")</f>
        <v/>
      </c>
      <c r="F72">
        <f>IF($S72="","",INDEX('Per Line'!$E$2:$E$501,$S72))</f>
        <v/>
      </c>
      <c r="G72" s="7">
        <f>IF($S72="","",F72*Q72/100)</f>
        <v/>
      </c>
      <c r="H72" s="11">
        <f>IF($S72="","",INDEX('Per Line'!$O$2:$O$501,$S72))</f>
        <v/>
      </c>
      <c r="I72">
        <f>IF($S72="","",Settings!$C$7)</f>
        <v/>
      </c>
      <c r="J72" s="7">
        <f>IF($S72="","",SUMIFS('Per Line'!$K$2:$K$501,'Per Line'!$A$2:$A$501,$B72,'Per Line'!$V$2:$V$501,0))</f>
        <v/>
      </c>
      <c r="K72" s="7">
        <f>IF($S72="","",J72*I72)</f>
        <v/>
      </c>
      <c r="L72">
        <f>IF($S72="","",Settings!$C$6)</f>
        <v/>
      </c>
      <c r="M72" s="7">
        <f>IF($S72="","",SUMIFS('Per Line'!$K$2:$K$501,'Per Line'!$A$2:$A$501,$B72,'Per Line'!$V$2:$V$501,1))</f>
        <v/>
      </c>
      <c r="N72" s="7">
        <f>IF($S72="","",M72*L72)</f>
        <v/>
      </c>
      <c r="O72" s="7">
        <f>IF($S72="","",N72+K72)</f>
        <v/>
      </c>
      <c r="P72" s="7">
        <f>IF($S72="","",Q72-O72)</f>
        <v/>
      </c>
      <c r="Q72" s="7">
        <f>IF($S72="","",J72+M72)</f>
        <v/>
      </c>
      <c r="R72" s="7">
        <f>IF($S72="","",Q72-O72-G72)</f>
        <v/>
      </c>
      <c r="S72" s="13">
        <f>IF(ROWS($S$2:$S72)&lt;=MAX('Per Line'!$U$2:$U$501),MATCH(ROWS($S$2:$S72),'Per Line'!$U$2:$U$501,0),"")</f>
        <v/>
      </c>
    </row>
    <row r="73">
      <c r="A73" s="12" t="n"/>
      <c r="B73">
        <f>IF($S73="","",INDEX('Per Line'!$A$2:$A$501,$S73)&amp;"")</f>
        <v/>
      </c>
      <c r="C73">
        <f>IF($S73="","",INDEX('Per Line'!$B$2:$B$501,$S73)&amp;"")</f>
        <v/>
      </c>
      <c r="D73">
        <f>IF($S73="","",INDEX('Per Line'!$C$2:$C$501,$S73)&amp;"")</f>
        <v/>
      </c>
      <c r="E73">
        <f>IF($S73="","",INDEX('Per Line'!$D$2:$D$501,$S73)&amp;"")</f>
        <v/>
      </c>
      <c r="F73">
        <f>IF($S73="","",INDEX('Per Line'!$E$2:$E$501,$S73))</f>
        <v/>
      </c>
      <c r="G73" s="7">
        <f>IF($S73="","",F73*Q73/100)</f>
        <v/>
      </c>
      <c r="H73" s="11">
        <f>IF($S73="","",INDEX('Per Line'!$O$2:$O$501,$S73))</f>
        <v/>
      </c>
      <c r="I73">
        <f>IF($S73="","",Settings!$C$7)</f>
        <v/>
      </c>
      <c r="J73" s="7">
        <f>IF($S73="","",SUMIFS('Per Line'!$K$2:$K$501,'Per Line'!$A$2:$A$501,$B73,'Per Line'!$V$2:$V$501,0))</f>
        <v/>
      </c>
      <c r="K73" s="7">
        <f>IF($S73="","",J73*I73)</f>
        <v/>
      </c>
      <c r="L73">
        <f>IF($S73="","",Settings!$C$6)</f>
        <v/>
      </c>
      <c r="M73" s="7">
        <f>IF($S73="","",SUMIFS('Per Line'!$K$2:$K$501,'Per Line'!$A$2:$A$501,$B73,'Per Line'!$V$2:$V$501,1))</f>
        <v/>
      </c>
      <c r="N73" s="7">
        <f>IF($S73="","",M73*L73)</f>
        <v/>
      </c>
      <c r="O73" s="7">
        <f>IF($S73="","",N73+K73)</f>
        <v/>
      </c>
      <c r="P73" s="7">
        <f>IF($S73="","",Q73-O73)</f>
        <v/>
      </c>
      <c r="Q73" s="7">
        <f>IF($S73="","",J73+M73)</f>
        <v/>
      </c>
      <c r="R73" s="7">
        <f>IF($S73="","",Q73-O73-G73)</f>
        <v/>
      </c>
      <c r="S73" s="13">
        <f>IF(ROWS($S$2:$S73)&lt;=MAX('Per Line'!$U$2:$U$501),MATCH(ROWS($S$2:$S73),'Per Line'!$U$2:$U$501,0),"")</f>
        <v/>
      </c>
    </row>
    <row r="74">
      <c r="A74" s="12" t="n"/>
      <c r="B74">
        <f>IF($S74="","",INDEX('Per Line'!$A$2:$A$501,$S74)&amp;"")</f>
        <v/>
      </c>
      <c r="C74">
        <f>IF($S74="","",INDEX('Per Line'!$B$2:$B$501,$S74)&amp;"")</f>
        <v/>
      </c>
      <c r="D74">
        <f>IF($S74="","",INDEX('Per Line'!$C$2:$C$501,$S74)&amp;"")</f>
        <v/>
      </c>
      <c r="E74">
        <f>IF($S74="","",INDEX('Per Line'!$D$2:$D$501,$S74)&amp;"")</f>
        <v/>
      </c>
      <c r="F74">
        <f>IF($S74="","",INDEX('Per Line'!$E$2:$E$501,$S74))</f>
        <v/>
      </c>
      <c r="G74" s="7">
        <f>IF($S74="","",F74*Q74/100)</f>
        <v/>
      </c>
      <c r="H74" s="11">
        <f>IF($S74="","",INDEX('Per Line'!$O$2:$O$501,$S74))</f>
        <v/>
      </c>
      <c r="I74">
        <f>IF($S74="","",Settings!$C$7)</f>
        <v/>
      </c>
      <c r="J74" s="7">
        <f>IF($S74="","",SUMIFS('Per Line'!$K$2:$K$501,'Per Line'!$A$2:$A$501,$B74,'Per Line'!$V$2:$V$501,0))</f>
        <v/>
      </c>
      <c r="K74" s="7">
        <f>IF($S74="","",J74*I74)</f>
        <v/>
      </c>
      <c r="L74">
        <f>IF($S74="","",Settings!$C$6)</f>
        <v/>
      </c>
      <c r="M74" s="7">
        <f>IF($S74="","",SUMIFS('Per Line'!$K$2:$K$501,'Per Line'!$A$2:$A$501,$B74,'Per Line'!$V$2:$V$501,1))</f>
        <v/>
      </c>
      <c r="N74" s="7">
        <f>IF($S74="","",M74*L74)</f>
        <v/>
      </c>
      <c r="O74" s="7">
        <f>IF($S74="","",N74+K74)</f>
        <v/>
      </c>
      <c r="P74" s="7">
        <f>IF($S74="","",Q74-O74)</f>
        <v/>
      </c>
      <c r="Q74" s="7">
        <f>IF($S74="","",J74+M74)</f>
        <v/>
      </c>
      <c r="R74" s="7">
        <f>IF($S74="","",Q74-O74-G74)</f>
        <v/>
      </c>
      <c r="S74" s="13">
        <f>IF(ROWS($S$2:$S74)&lt;=MAX('Per Line'!$U$2:$U$501),MATCH(ROWS($S$2:$S74),'Per Line'!$U$2:$U$501,0),"")</f>
        <v/>
      </c>
    </row>
    <row r="75">
      <c r="A75" s="12" t="n"/>
      <c r="B75">
        <f>IF($S75="","",INDEX('Per Line'!$A$2:$A$501,$S75)&amp;"")</f>
        <v/>
      </c>
      <c r="C75">
        <f>IF($S75="","",INDEX('Per Line'!$B$2:$B$501,$S75)&amp;"")</f>
        <v/>
      </c>
      <c r="D75">
        <f>IF($S75="","",INDEX('Per Line'!$C$2:$C$501,$S75)&amp;"")</f>
        <v/>
      </c>
      <c r="E75">
        <f>IF($S75="","",INDEX('Per Line'!$D$2:$D$501,$S75)&amp;"")</f>
        <v/>
      </c>
      <c r="F75">
        <f>IF($S75="","",INDEX('Per Line'!$E$2:$E$501,$S75))</f>
        <v/>
      </c>
      <c r="G75" s="7">
        <f>IF($S75="","",F75*Q75/100)</f>
        <v/>
      </c>
      <c r="H75" s="11">
        <f>IF($S75="","",INDEX('Per Line'!$O$2:$O$501,$S75))</f>
        <v/>
      </c>
      <c r="I75">
        <f>IF($S75="","",Settings!$C$7)</f>
        <v/>
      </c>
      <c r="J75" s="7">
        <f>IF($S75="","",SUMIFS('Per Line'!$K$2:$K$501,'Per Line'!$A$2:$A$501,$B75,'Per Line'!$V$2:$V$501,0))</f>
        <v/>
      </c>
      <c r="K75" s="7">
        <f>IF($S75="","",J75*I75)</f>
        <v/>
      </c>
      <c r="L75">
        <f>IF($S75="","",Settings!$C$6)</f>
        <v/>
      </c>
      <c r="M75" s="7">
        <f>IF($S75="","",SUMIFS('Per Line'!$K$2:$K$501,'Per Line'!$A$2:$A$501,$B75,'Per Line'!$V$2:$V$501,1))</f>
        <v/>
      </c>
      <c r="N75" s="7">
        <f>IF($S75="","",M75*L75)</f>
        <v/>
      </c>
      <c r="O75" s="7">
        <f>IF($S75="","",N75+K75)</f>
        <v/>
      </c>
      <c r="P75" s="7">
        <f>IF($S75="","",Q75-O75)</f>
        <v/>
      </c>
      <c r="Q75" s="7">
        <f>IF($S75="","",J75+M75)</f>
        <v/>
      </c>
      <c r="R75" s="7">
        <f>IF($S75="","",Q75-O75-G75)</f>
        <v/>
      </c>
      <c r="S75" s="13">
        <f>IF(ROWS($S$2:$S75)&lt;=MAX('Per Line'!$U$2:$U$501),MATCH(ROWS($S$2:$S75),'Per Line'!$U$2:$U$501,0),"")</f>
        <v/>
      </c>
    </row>
    <row r="76">
      <c r="A76" s="12" t="n"/>
      <c r="B76">
        <f>IF($S76="","",INDEX('Per Line'!$A$2:$A$501,$S76)&amp;"")</f>
        <v/>
      </c>
      <c r="C76">
        <f>IF($S76="","",INDEX('Per Line'!$B$2:$B$501,$S76)&amp;"")</f>
        <v/>
      </c>
      <c r="D76">
        <f>IF($S76="","",INDEX('Per Line'!$C$2:$C$501,$S76)&amp;"")</f>
        <v/>
      </c>
      <c r="E76">
        <f>IF($S76="","",INDEX('Per Line'!$D$2:$D$501,$S76)&amp;"")</f>
        <v/>
      </c>
      <c r="F76">
        <f>IF($S76="","",INDEX('Per Line'!$E$2:$E$501,$S76))</f>
        <v/>
      </c>
      <c r="G76" s="7">
        <f>IF($S76="","",F76*Q76/100)</f>
        <v/>
      </c>
      <c r="H76" s="11">
        <f>IF($S76="","",INDEX('Per Line'!$O$2:$O$501,$S76))</f>
        <v/>
      </c>
      <c r="I76">
        <f>IF($S76="","",Settings!$C$7)</f>
        <v/>
      </c>
      <c r="J76" s="7">
        <f>IF($S76="","",SUMIFS('Per Line'!$K$2:$K$501,'Per Line'!$A$2:$A$501,$B76,'Per Line'!$V$2:$V$501,0))</f>
        <v/>
      </c>
      <c r="K76" s="7">
        <f>IF($S76="","",J76*I76)</f>
        <v/>
      </c>
      <c r="L76">
        <f>IF($S76="","",Settings!$C$6)</f>
        <v/>
      </c>
      <c r="M76" s="7">
        <f>IF($S76="","",SUMIFS('Per Line'!$K$2:$K$501,'Per Line'!$A$2:$A$501,$B76,'Per Line'!$V$2:$V$501,1))</f>
        <v/>
      </c>
      <c r="N76" s="7">
        <f>IF($S76="","",M76*L76)</f>
        <v/>
      </c>
      <c r="O76" s="7">
        <f>IF($S76="","",N76+K76)</f>
        <v/>
      </c>
      <c r="P76" s="7">
        <f>IF($S76="","",Q76-O76)</f>
        <v/>
      </c>
      <c r="Q76" s="7">
        <f>IF($S76="","",J76+M76)</f>
        <v/>
      </c>
      <c r="R76" s="7">
        <f>IF($S76="","",Q76-O76-G76)</f>
        <v/>
      </c>
      <c r="S76" s="13">
        <f>IF(ROWS($S$2:$S76)&lt;=MAX('Per Line'!$U$2:$U$501),MATCH(ROWS($S$2:$S76),'Per Line'!$U$2:$U$501,0),"")</f>
        <v/>
      </c>
    </row>
    <row r="77">
      <c r="A77" s="12" t="n"/>
      <c r="B77">
        <f>IF($S77="","",INDEX('Per Line'!$A$2:$A$501,$S77)&amp;"")</f>
        <v/>
      </c>
      <c r="C77">
        <f>IF($S77="","",INDEX('Per Line'!$B$2:$B$501,$S77)&amp;"")</f>
        <v/>
      </c>
      <c r="D77">
        <f>IF($S77="","",INDEX('Per Line'!$C$2:$C$501,$S77)&amp;"")</f>
        <v/>
      </c>
      <c r="E77">
        <f>IF($S77="","",INDEX('Per Line'!$D$2:$D$501,$S77)&amp;"")</f>
        <v/>
      </c>
      <c r="F77">
        <f>IF($S77="","",INDEX('Per Line'!$E$2:$E$501,$S77))</f>
        <v/>
      </c>
      <c r="G77" s="7">
        <f>IF($S77="","",F77*Q77/100)</f>
        <v/>
      </c>
      <c r="H77" s="11">
        <f>IF($S77="","",INDEX('Per Line'!$O$2:$O$501,$S77))</f>
        <v/>
      </c>
      <c r="I77">
        <f>IF($S77="","",Settings!$C$7)</f>
        <v/>
      </c>
      <c r="J77" s="7">
        <f>IF($S77="","",SUMIFS('Per Line'!$K$2:$K$501,'Per Line'!$A$2:$A$501,$B77,'Per Line'!$V$2:$V$501,0))</f>
        <v/>
      </c>
      <c r="K77" s="7">
        <f>IF($S77="","",J77*I77)</f>
        <v/>
      </c>
      <c r="L77">
        <f>IF($S77="","",Settings!$C$6)</f>
        <v/>
      </c>
      <c r="M77" s="7">
        <f>IF($S77="","",SUMIFS('Per Line'!$K$2:$K$501,'Per Line'!$A$2:$A$501,$B77,'Per Line'!$V$2:$V$501,1))</f>
        <v/>
      </c>
      <c r="N77" s="7">
        <f>IF($S77="","",M77*L77)</f>
        <v/>
      </c>
      <c r="O77" s="7">
        <f>IF($S77="","",N77+K77)</f>
        <v/>
      </c>
      <c r="P77" s="7">
        <f>IF($S77="","",Q77-O77)</f>
        <v/>
      </c>
      <c r="Q77" s="7">
        <f>IF($S77="","",J77+M77)</f>
        <v/>
      </c>
      <c r="R77" s="7">
        <f>IF($S77="","",Q77-O77-G77)</f>
        <v/>
      </c>
      <c r="S77" s="13">
        <f>IF(ROWS($S$2:$S77)&lt;=MAX('Per Line'!$U$2:$U$501),MATCH(ROWS($S$2:$S77),'Per Line'!$U$2:$U$501,0),"")</f>
        <v/>
      </c>
    </row>
    <row r="78">
      <c r="A78" s="12" t="n"/>
      <c r="B78">
        <f>IF($S78="","",INDEX('Per Line'!$A$2:$A$501,$S78)&amp;"")</f>
        <v/>
      </c>
      <c r="C78">
        <f>IF($S78="","",INDEX('Per Line'!$B$2:$B$501,$S78)&amp;"")</f>
        <v/>
      </c>
      <c r="D78">
        <f>IF($S78="","",INDEX('Per Line'!$C$2:$C$501,$S78)&amp;"")</f>
        <v/>
      </c>
      <c r="E78">
        <f>IF($S78="","",INDEX('Per Line'!$D$2:$D$501,$S78)&amp;"")</f>
        <v/>
      </c>
      <c r="F78">
        <f>IF($S78="","",INDEX('Per Line'!$E$2:$E$501,$S78))</f>
        <v/>
      </c>
      <c r="G78" s="7">
        <f>IF($S78="","",F78*Q78/100)</f>
        <v/>
      </c>
      <c r="H78" s="11">
        <f>IF($S78="","",INDEX('Per Line'!$O$2:$O$501,$S78))</f>
        <v/>
      </c>
      <c r="I78">
        <f>IF($S78="","",Settings!$C$7)</f>
        <v/>
      </c>
      <c r="J78" s="7">
        <f>IF($S78="","",SUMIFS('Per Line'!$K$2:$K$501,'Per Line'!$A$2:$A$501,$B78,'Per Line'!$V$2:$V$501,0))</f>
        <v/>
      </c>
      <c r="K78" s="7">
        <f>IF($S78="","",J78*I78)</f>
        <v/>
      </c>
      <c r="L78">
        <f>IF($S78="","",Settings!$C$6)</f>
        <v/>
      </c>
      <c r="M78" s="7">
        <f>IF($S78="","",SUMIFS('Per Line'!$K$2:$K$501,'Per Line'!$A$2:$A$501,$B78,'Per Line'!$V$2:$V$501,1))</f>
        <v/>
      </c>
      <c r="N78" s="7">
        <f>IF($S78="","",M78*L78)</f>
        <v/>
      </c>
      <c r="O78" s="7">
        <f>IF($S78="","",N78+K78)</f>
        <v/>
      </c>
      <c r="P78" s="7">
        <f>IF($S78="","",Q78-O78)</f>
        <v/>
      </c>
      <c r="Q78" s="7">
        <f>IF($S78="","",J78+M78)</f>
        <v/>
      </c>
      <c r="R78" s="7">
        <f>IF($S78="","",Q78-O78-G78)</f>
        <v/>
      </c>
      <c r="S78" s="13">
        <f>IF(ROWS($S$2:$S78)&lt;=MAX('Per Line'!$U$2:$U$501),MATCH(ROWS($S$2:$S78),'Per Line'!$U$2:$U$501,0),"")</f>
        <v/>
      </c>
    </row>
    <row r="79">
      <c r="A79" s="12" t="n"/>
      <c r="B79">
        <f>IF($S79="","",INDEX('Per Line'!$A$2:$A$501,$S79)&amp;"")</f>
        <v/>
      </c>
      <c r="C79">
        <f>IF($S79="","",INDEX('Per Line'!$B$2:$B$501,$S79)&amp;"")</f>
        <v/>
      </c>
      <c r="D79">
        <f>IF($S79="","",INDEX('Per Line'!$C$2:$C$501,$S79)&amp;"")</f>
        <v/>
      </c>
      <c r="E79">
        <f>IF($S79="","",INDEX('Per Line'!$D$2:$D$501,$S79)&amp;"")</f>
        <v/>
      </c>
      <c r="F79">
        <f>IF($S79="","",INDEX('Per Line'!$E$2:$E$501,$S79))</f>
        <v/>
      </c>
      <c r="G79" s="7">
        <f>IF($S79="","",F79*Q79/100)</f>
        <v/>
      </c>
      <c r="H79" s="11">
        <f>IF($S79="","",INDEX('Per Line'!$O$2:$O$501,$S79))</f>
        <v/>
      </c>
      <c r="I79">
        <f>IF($S79="","",Settings!$C$7)</f>
        <v/>
      </c>
      <c r="J79" s="7">
        <f>IF($S79="","",SUMIFS('Per Line'!$K$2:$K$501,'Per Line'!$A$2:$A$501,$B79,'Per Line'!$V$2:$V$501,0))</f>
        <v/>
      </c>
      <c r="K79" s="7">
        <f>IF($S79="","",J79*I79)</f>
        <v/>
      </c>
      <c r="L79">
        <f>IF($S79="","",Settings!$C$6)</f>
        <v/>
      </c>
      <c r="M79" s="7">
        <f>IF($S79="","",SUMIFS('Per Line'!$K$2:$K$501,'Per Line'!$A$2:$A$501,$B79,'Per Line'!$V$2:$V$501,1))</f>
        <v/>
      </c>
      <c r="N79" s="7">
        <f>IF($S79="","",M79*L79)</f>
        <v/>
      </c>
      <c r="O79" s="7">
        <f>IF($S79="","",N79+K79)</f>
        <v/>
      </c>
      <c r="P79" s="7">
        <f>IF($S79="","",Q79-O79)</f>
        <v/>
      </c>
      <c r="Q79" s="7">
        <f>IF($S79="","",J79+M79)</f>
        <v/>
      </c>
      <c r="R79" s="7">
        <f>IF($S79="","",Q79-O79-G79)</f>
        <v/>
      </c>
      <c r="S79" s="13">
        <f>IF(ROWS($S$2:$S79)&lt;=MAX('Per Line'!$U$2:$U$501),MATCH(ROWS($S$2:$S79),'Per Line'!$U$2:$U$501,0),"")</f>
        <v/>
      </c>
    </row>
    <row r="80">
      <c r="A80" s="12" t="n"/>
      <c r="B80">
        <f>IF($S80="","",INDEX('Per Line'!$A$2:$A$501,$S80)&amp;"")</f>
        <v/>
      </c>
      <c r="C80">
        <f>IF($S80="","",INDEX('Per Line'!$B$2:$B$501,$S80)&amp;"")</f>
        <v/>
      </c>
      <c r="D80">
        <f>IF($S80="","",INDEX('Per Line'!$C$2:$C$501,$S80)&amp;"")</f>
        <v/>
      </c>
      <c r="E80">
        <f>IF($S80="","",INDEX('Per Line'!$D$2:$D$501,$S80)&amp;"")</f>
        <v/>
      </c>
      <c r="F80">
        <f>IF($S80="","",INDEX('Per Line'!$E$2:$E$501,$S80))</f>
        <v/>
      </c>
      <c r="G80" s="7">
        <f>IF($S80="","",F80*Q80/100)</f>
        <v/>
      </c>
      <c r="H80" s="11">
        <f>IF($S80="","",INDEX('Per Line'!$O$2:$O$501,$S80))</f>
        <v/>
      </c>
      <c r="I80">
        <f>IF($S80="","",Settings!$C$7)</f>
        <v/>
      </c>
      <c r="J80" s="7">
        <f>IF($S80="","",SUMIFS('Per Line'!$K$2:$K$501,'Per Line'!$A$2:$A$501,$B80,'Per Line'!$V$2:$V$501,0))</f>
        <v/>
      </c>
      <c r="K80" s="7">
        <f>IF($S80="","",J80*I80)</f>
        <v/>
      </c>
      <c r="L80">
        <f>IF($S80="","",Settings!$C$6)</f>
        <v/>
      </c>
      <c r="M80" s="7">
        <f>IF($S80="","",SUMIFS('Per Line'!$K$2:$K$501,'Per Line'!$A$2:$A$501,$B80,'Per Line'!$V$2:$V$501,1))</f>
        <v/>
      </c>
      <c r="N80" s="7">
        <f>IF($S80="","",M80*L80)</f>
        <v/>
      </c>
      <c r="O80" s="7">
        <f>IF($S80="","",N80+K80)</f>
        <v/>
      </c>
      <c r="P80" s="7">
        <f>IF($S80="","",Q80-O80)</f>
        <v/>
      </c>
      <c r="Q80" s="7">
        <f>IF($S80="","",J80+M80)</f>
        <v/>
      </c>
      <c r="R80" s="7">
        <f>IF($S80="","",Q80-O80-G80)</f>
        <v/>
      </c>
      <c r="S80" s="13">
        <f>IF(ROWS($S$2:$S80)&lt;=MAX('Per Line'!$U$2:$U$501),MATCH(ROWS($S$2:$S80),'Per Line'!$U$2:$U$501,0),"")</f>
        <v/>
      </c>
    </row>
    <row r="81">
      <c r="A81" s="12" t="n"/>
      <c r="B81">
        <f>IF($S81="","",INDEX('Per Line'!$A$2:$A$501,$S81)&amp;"")</f>
        <v/>
      </c>
      <c r="C81">
        <f>IF($S81="","",INDEX('Per Line'!$B$2:$B$501,$S81)&amp;"")</f>
        <v/>
      </c>
      <c r="D81">
        <f>IF($S81="","",INDEX('Per Line'!$C$2:$C$501,$S81)&amp;"")</f>
        <v/>
      </c>
      <c r="E81">
        <f>IF($S81="","",INDEX('Per Line'!$D$2:$D$501,$S81)&amp;"")</f>
        <v/>
      </c>
      <c r="F81">
        <f>IF($S81="","",INDEX('Per Line'!$E$2:$E$501,$S81))</f>
        <v/>
      </c>
      <c r="G81" s="7">
        <f>IF($S81="","",F81*Q81/100)</f>
        <v/>
      </c>
      <c r="H81" s="11">
        <f>IF($S81="","",INDEX('Per Line'!$O$2:$O$501,$S81))</f>
        <v/>
      </c>
      <c r="I81">
        <f>IF($S81="","",Settings!$C$7)</f>
        <v/>
      </c>
      <c r="J81" s="7">
        <f>IF($S81="","",SUMIFS('Per Line'!$K$2:$K$501,'Per Line'!$A$2:$A$501,$B81,'Per Line'!$V$2:$V$501,0))</f>
        <v/>
      </c>
      <c r="K81" s="7">
        <f>IF($S81="","",J81*I81)</f>
        <v/>
      </c>
      <c r="L81">
        <f>IF($S81="","",Settings!$C$6)</f>
        <v/>
      </c>
      <c r="M81" s="7">
        <f>IF($S81="","",SUMIFS('Per Line'!$K$2:$K$501,'Per Line'!$A$2:$A$501,$B81,'Per Line'!$V$2:$V$501,1))</f>
        <v/>
      </c>
      <c r="N81" s="7">
        <f>IF($S81="","",M81*L81)</f>
        <v/>
      </c>
      <c r="O81" s="7">
        <f>IF($S81="","",N81+K81)</f>
        <v/>
      </c>
      <c r="P81" s="7">
        <f>IF($S81="","",Q81-O81)</f>
        <v/>
      </c>
      <c r="Q81" s="7">
        <f>IF($S81="","",J81+M81)</f>
        <v/>
      </c>
      <c r="R81" s="7">
        <f>IF($S81="","",Q81-O81-G81)</f>
        <v/>
      </c>
      <c r="S81" s="13">
        <f>IF(ROWS($S$2:$S81)&lt;=MAX('Per Line'!$U$2:$U$501),MATCH(ROWS($S$2:$S81),'Per Line'!$U$2:$U$501,0),"")</f>
        <v/>
      </c>
    </row>
    <row r="82">
      <c r="A82" s="12" t="n"/>
      <c r="B82">
        <f>IF($S82="","",INDEX('Per Line'!$A$2:$A$501,$S82)&amp;"")</f>
        <v/>
      </c>
      <c r="C82">
        <f>IF($S82="","",INDEX('Per Line'!$B$2:$B$501,$S82)&amp;"")</f>
        <v/>
      </c>
      <c r="D82">
        <f>IF($S82="","",INDEX('Per Line'!$C$2:$C$501,$S82)&amp;"")</f>
        <v/>
      </c>
      <c r="E82">
        <f>IF($S82="","",INDEX('Per Line'!$D$2:$D$501,$S82)&amp;"")</f>
        <v/>
      </c>
      <c r="F82">
        <f>IF($S82="","",INDEX('Per Line'!$E$2:$E$501,$S82))</f>
        <v/>
      </c>
      <c r="G82" s="7">
        <f>IF($S82="","",F82*Q82/100)</f>
        <v/>
      </c>
      <c r="H82" s="11">
        <f>IF($S82="","",INDEX('Per Line'!$O$2:$O$501,$S82))</f>
        <v/>
      </c>
      <c r="I82">
        <f>IF($S82="","",Settings!$C$7)</f>
        <v/>
      </c>
      <c r="J82" s="7">
        <f>IF($S82="","",SUMIFS('Per Line'!$K$2:$K$501,'Per Line'!$A$2:$A$501,$B82,'Per Line'!$V$2:$V$501,0))</f>
        <v/>
      </c>
      <c r="K82" s="7">
        <f>IF($S82="","",J82*I82)</f>
        <v/>
      </c>
      <c r="L82">
        <f>IF($S82="","",Settings!$C$6)</f>
        <v/>
      </c>
      <c r="M82" s="7">
        <f>IF($S82="","",SUMIFS('Per Line'!$K$2:$K$501,'Per Line'!$A$2:$A$501,$B82,'Per Line'!$V$2:$V$501,1))</f>
        <v/>
      </c>
      <c r="N82" s="7">
        <f>IF($S82="","",M82*L82)</f>
        <v/>
      </c>
      <c r="O82" s="7">
        <f>IF($S82="","",N82+K82)</f>
        <v/>
      </c>
      <c r="P82" s="7">
        <f>IF($S82="","",Q82-O82)</f>
        <v/>
      </c>
      <c r="Q82" s="7">
        <f>IF($S82="","",J82+M82)</f>
        <v/>
      </c>
      <c r="R82" s="7">
        <f>IF($S82="","",Q82-O82-G82)</f>
        <v/>
      </c>
      <c r="S82" s="13">
        <f>IF(ROWS($S$2:$S82)&lt;=MAX('Per Line'!$U$2:$U$501),MATCH(ROWS($S$2:$S82),'Per Line'!$U$2:$U$501,0),"")</f>
        <v/>
      </c>
    </row>
    <row r="83">
      <c r="A83" s="12" t="n"/>
      <c r="B83">
        <f>IF($S83="","",INDEX('Per Line'!$A$2:$A$501,$S83)&amp;"")</f>
        <v/>
      </c>
      <c r="C83">
        <f>IF($S83="","",INDEX('Per Line'!$B$2:$B$501,$S83)&amp;"")</f>
        <v/>
      </c>
      <c r="D83">
        <f>IF($S83="","",INDEX('Per Line'!$C$2:$C$501,$S83)&amp;"")</f>
        <v/>
      </c>
      <c r="E83">
        <f>IF($S83="","",INDEX('Per Line'!$D$2:$D$501,$S83)&amp;"")</f>
        <v/>
      </c>
      <c r="F83">
        <f>IF($S83="","",INDEX('Per Line'!$E$2:$E$501,$S83))</f>
        <v/>
      </c>
      <c r="G83" s="7">
        <f>IF($S83="","",F83*Q83/100)</f>
        <v/>
      </c>
      <c r="H83" s="11">
        <f>IF($S83="","",INDEX('Per Line'!$O$2:$O$501,$S83))</f>
        <v/>
      </c>
      <c r="I83">
        <f>IF($S83="","",Settings!$C$7)</f>
        <v/>
      </c>
      <c r="J83" s="7">
        <f>IF($S83="","",SUMIFS('Per Line'!$K$2:$K$501,'Per Line'!$A$2:$A$501,$B83,'Per Line'!$V$2:$V$501,0))</f>
        <v/>
      </c>
      <c r="K83" s="7">
        <f>IF($S83="","",J83*I83)</f>
        <v/>
      </c>
      <c r="L83">
        <f>IF($S83="","",Settings!$C$6)</f>
        <v/>
      </c>
      <c r="M83" s="7">
        <f>IF($S83="","",SUMIFS('Per Line'!$K$2:$K$501,'Per Line'!$A$2:$A$501,$B83,'Per Line'!$V$2:$V$501,1))</f>
        <v/>
      </c>
      <c r="N83" s="7">
        <f>IF($S83="","",M83*L83)</f>
        <v/>
      </c>
      <c r="O83" s="7">
        <f>IF($S83="","",N83+K83)</f>
        <v/>
      </c>
      <c r="P83" s="7">
        <f>IF($S83="","",Q83-O83)</f>
        <v/>
      </c>
      <c r="Q83" s="7">
        <f>IF($S83="","",J83+M83)</f>
        <v/>
      </c>
      <c r="R83" s="7">
        <f>IF($S83="","",Q83-O83-G83)</f>
        <v/>
      </c>
      <c r="S83" s="13">
        <f>IF(ROWS($S$2:$S83)&lt;=MAX('Per Line'!$U$2:$U$501),MATCH(ROWS($S$2:$S83),'Per Line'!$U$2:$U$501,0),"")</f>
        <v/>
      </c>
    </row>
    <row r="84">
      <c r="A84" s="12" t="n"/>
      <c r="B84">
        <f>IF($S84="","",INDEX('Per Line'!$A$2:$A$501,$S84)&amp;"")</f>
        <v/>
      </c>
      <c r="C84">
        <f>IF($S84="","",INDEX('Per Line'!$B$2:$B$501,$S84)&amp;"")</f>
        <v/>
      </c>
      <c r="D84">
        <f>IF($S84="","",INDEX('Per Line'!$C$2:$C$501,$S84)&amp;"")</f>
        <v/>
      </c>
      <c r="E84">
        <f>IF($S84="","",INDEX('Per Line'!$D$2:$D$501,$S84)&amp;"")</f>
        <v/>
      </c>
      <c r="F84">
        <f>IF($S84="","",INDEX('Per Line'!$E$2:$E$501,$S84))</f>
        <v/>
      </c>
      <c r="G84" s="7">
        <f>IF($S84="","",F84*Q84/100)</f>
        <v/>
      </c>
      <c r="H84" s="11">
        <f>IF($S84="","",INDEX('Per Line'!$O$2:$O$501,$S84))</f>
        <v/>
      </c>
      <c r="I84">
        <f>IF($S84="","",Settings!$C$7)</f>
        <v/>
      </c>
      <c r="J84" s="7">
        <f>IF($S84="","",SUMIFS('Per Line'!$K$2:$K$501,'Per Line'!$A$2:$A$501,$B84,'Per Line'!$V$2:$V$501,0))</f>
        <v/>
      </c>
      <c r="K84" s="7">
        <f>IF($S84="","",J84*I84)</f>
        <v/>
      </c>
      <c r="L84">
        <f>IF($S84="","",Settings!$C$6)</f>
        <v/>
      </c>
      <c r="M84" s="7">
        <f>IF($S84="","",SUMIFS('Per Line'!$K$2:$K$501,'Per Line'!$A$2:$A$501,$B84,'Per Line'!$V$2:$V$501,1))</f>
        <v/>
      </c>
      <c r="N84" s="7">
        <f>IF($S84="","",M84*L84)</f>
        <v/>
      </c>
      <c r="O84" s="7">
        <f>IF($S84="","",N84+K84)</f>
        <v/>
      </c>
      <c r="P84" s="7">
        <f>IF($S84="","",Q84-O84)</f>
        <v/>
      </c>
      <c r="Q84" s="7">
        <f>IF($S84="","",J84+M84)</f>
        <v/>
      </c>
      <c r="R84" s="7">
        <f>IF($S84="","",Q84-O84-G84)</f>
        <v/>
      </c>
      <c r="S84" s="13">
        <f>IF(ROWS($S$2:$S84)&lt;=MAX('Per Line'!$U$2:$U$501),MATCH(ROWS($S$2:$S84),'Per Line'!$U$2:$U$501,0),"")</f>
        <v/>
      </c>
    </row>
    <row r="85">
      <c r="A85" s="12" t="n"/>
      <c r="B85">
        <f>IF($S85="","",INDEX('Per Line'!$A$2:$A$501,$S85)&amp;"")</f>
        <v/>
      </c>
      <c r="C85">
        <f>IF($S85="","",INDEX('Per Line'!$B$2:$B$501,$S85)&amp;"")</f>
        <v/>
      </c>
      <c r="D85">
        <f>IF($S85="","",INDEX('Per Line'!$C$2:$C$501,$S85)&amp;"")</f>
        <v/>
      </c>
      <c r="E85">
        <f>IF($S85="","",INDEX('Per Line'!$D$2:$D$501,$S85)&amp;"")</f>
        <v/>
      </c>
      <c r="F85">
        <f>IF($S85="","",INDEX('Per Line'!$E$2:$E$501,$S85))</f>
        <v/>
      </c>
      <c r="G85" s="7">
        <f>IF($S85="","",F85*Q85/100)</f>
        <v/>
      </c>
      <c r="H85" s="11">
        <f>IF($S85="","",INDEX('Per Line'!$O$2:$O$501,$S85))</f>
        <v/>
      </c>
      <c r="I85">
        <f>IF($S85="","",Settings!$C$7)</f>
        <v/>
      </c>
      <c r="J85" s="7">
        <f>IF($S85="","",SUMIFS('Per Line'!$K$2:$K$501,'Per Line'!$A$2:$A$501,$B85,'Per Line'!$V$2:$V$501,0))</f>
        <v/>
      </c>
      <c r="K85" s="7">
        <f>IF($S85="","",J85*I85)</f>
        <v/>
      </c>
      <c r="L85">
        <f>IF($S85="","",Settings!$C$6)</f>
        <v/>
      </c>
      <c r="M85" s="7">
        <f>IF($S85="","",SUMIFS('Per Line'!$K$2:$K$501,'Per Line'!$A$2:$A$501,$B85,'Per Line'!$V$2:$V$501,1))</f>
        <v/>
      </c>
      <c r="N85" s="7">
        <f>IF($S85="","",M85*L85)</f>
        <v/>
      </c>
      <c r="O85" s="7">
        <f>IF($S85="","",N85+K85)</f>
        <v/>
      </c>
      <c r="P85" s="7">
        <f>IF($S85="","",Q85-O85)</f>
        <v/>
      </c>
      <c r="Q85" s="7">
        <f>IF($S85="","",J85+M85)</f>
        <v/>
      </c>
      <c r="R85" s="7">
        <f>IF($S85="","",Q85-O85-G85)</f>
        <v/>
      </c>
      <c r="S85" s="13">
        <f>IF(ROWS($S$2:$S85)&lt;=MAX('Per Line'!$U$2:$U$501),MATCH(ROWS($S$2:$S85),'Per Line'!$U$2:$U$501,0),"")</f>
        <v/>
      </c>
    </row>
    <row r="86">
      <c r="A86" s="12" t="n"/>
      <c r="B86">
        <f>IF($S86="","",INDEX('Per Line'!$A$2:$A$501,$S86)&amp;"")</f>
        <v/>
      </c>
      <c r="C86">
        <f>IF($S86="","",INDEX('Per Line'!$B$2:$B$501,$S86)&amp;"")</f>
        <v/>
      </c>
      <c r="D86">
        <f>IF($S86="","",INDEX('Per Line'!$C$2:$C$501,$S86)&amp;"")</f>
        <v/>
      </c>
      <c r="E86">
        <f>IF($S86="","",INDEX('Per Line'!$D$2:$D$501,$S86)&amp;"")</f>
        <v/>
      </c>
      <c r="F86">
        <f>IF($S86="","",INDEX('Per Line'!$E$2:$E$501,$S86))</f>
        <v/>
      </c>
      <c r="G86" s="7">
        <f>IF($S86="","",F86*Q86/100)</f>
        <v/>
      </c>
      <c r="H86" s="11">
        <f>IF($S86="","",INDEX('Per Line'!$O$2:$O$501,$S86))</f>
        <v/>
      </c>
      <c r="I86">
        <f>IF($S86="","",Settings!$C$7)</f>
        <v/>
      </c>
      <c r="J86" s="7">
        <f>IF($S86="","",SUMIFS('Per Line'!$K$2:$K$501,'Per Line'!$A$2:$A$501,$B86,'Per Line'!$V$2:$V$501,0))</f>
        <v/>
      </c>
      <c r="K86" s="7">
        <f>IF($S86="","",J86*I86)</f>
        <v/>
      </c>
      <c r="L86">
        <f>IF($S86="","",Settings!$C$6)</f>
        <v/>
      </c>
      <c r="M86" s="7">
        <f>IF($S86="","",SUMIFS('Per Line'!$K$2:$K$501,'Per Line'!$A$2:$A$501,$B86,'Per Line'!$V$2:$V$501,1))</f>
        <v/>
      </c>
      <c r="N86" s="7">
        <f>IF($S86="","",M86*L86)</f>
        <v/>
      </c>
      <c r="O86" s="7">
        <f>IF($S86="","",N86+K86)</f>
        <v/>
      </c>
      <c r="P86" s="7">
        <f>IF($S86="","",Q86-O86)</f>
        <v/>
      </c>
      <c r="Q86" s="7">
        <f>IF($S86="","",J86+M86)</f>
        <v/>
      </c>
      <c r="R86" s="7">
        <f>IF($S86="","",Q86-O86-G86)</f>
        <v/>
      </c>
      <c r="S86" s="13">
        <f>IF(ROWS($S$2:$S86)&lt;=MAX('Per Line'!$U$2:$U$501),MATCH(ROWS($S$2:$S86),'Per Line'!$U$2:$U$501,0),"")</f>
        <v/>
      </c>
    </row>
    <row r="87">
      <c r="A87" s="12" t="n"/>
      <c r="B87">
        <f>IF($S87="","",INDEX('Per Line'!$A$2:$A$501,$S87)&amp;"")</f>
        <v/>
      </c>
      <c r="C87">
        <f>IF($S87="","",INDEX('Per Line'!$B$2:$B$501,$S87)&amp;"")</f>
        <v/>
      </c>
      <c r="D87">
        <f>IF($S87="","",INDEX('Per Line'!$C$2:$C$501,$S87)&amp;"")</f>
        <v/>
      </c>
      <c r="E87">
        <f>IF($S87="","",INDEX('Per Line'!$D$2:$D$501,$S87)&amp;"")</f>
        <v/>
      </c>
      <c r="F87">
        <f>IF($S87="","",INDEX('Per Line'!$E$2:$E$501,$S87))</f>
        <v/>
      </c>
      <c r="G87" s="7">
        <f>IF($S87="","",F87*Q87/100)</f>
        <v/>
      </c>
      <c r="H87" s="11">
        <f>IF($S87="","",INDEX('Per Line'!$O$2:$O$501,$S87))</f>
        <v/>
      </c>
      <c r="I87">
        <f>IF($S87="","",Settings!$C$7)</f>
        <v/>
      </c>
      <c r="J87" s="7">
        <f>IF($S87="","",SUMIFS('Per Line'!$K$2:$K$501,'Per Line'!$A$2:$A$501,$B87,'Per Line'!$V$2:$V$501,0))</f>
        <v/>
      </c>
      <c r="K87" s="7">
        <f>IF($S87="","",J87*I87)</f>
        <v/>
      </c>
      <c r="L87">
        <f>IF($S87="","",Settings!$C$6)</f>
        <v/>
      </c>
      <c r="M87" s="7">
        <f>IF($S87="","",SUMIFS('Per Line'!$K$2:$K$501,'Per Line'!$A$2:$A$501,$B87,'Per Line'!$V$2:$V$501,1))</f>
        <v/>
      </c>
      <c r="N87" s="7">
        <f>IF($S87="","",M87*L87)</f>
        <v/>
      </c>
      <c r="O87" s="7">
        <f>IF($S87="","",N87+K87)</f>
        <v/>
      </c>
      <c r="P87" s="7">
        <f>IF($S87="","",Q87-O87)</f>
        <v/>
      </c>
      <c r="Q87" s="7">
        <f>IF($S87="","",J87+M87)</f>
        <v/>
      </c>
      <c r="R87" s="7">
        <f>IF($S87="","",Q87-O87-G87)</f>
        <v/>
      </c>
      <c r="S87" s="13">
        <f>IF(ROWS($S$2:$S87)&lt;=MAX('Per Line'!$U$2:$U$501),MATCH(ROWS($S$2:$S87),'Per Line'!$U$2:$U$501,0),"")</f>
        <v/>
      </c>
    </row>
    <row r="88">
      <c r="A88" s="12" t="n"/>
      <c r="B88">
        <f>IF($S88="","",INDEX('Per Line'!$A$2:$A$501,$S88)&amp;"")</f>
        <v/>
      </c>
      <c r="C88">
        <f>IF($S88="","",INDEX('Per Line'!$B$2:$B$501,$S88)&amp;"")</f>
        <v/>
      </c>
      <c r="D88">
        <f>IF($S88="","",INDEX('Per Line'!$C$2:$C$501,$S88)&amp;"")</f>
        <v/>
      </c>
      <c r="E88">
        <f>IF($S88="","",INDEX('Per Line'!$D$2:$D$501,$S88)&amp;"")</f>
        <v/>
      </c>
      <c r="F88">
        <f>IF($S88="","",INDEX('Per Line'!$E$2:$E$501,$S88))</f>
        <v/>
      </c>
      <c r="G88" s="7">
        <f>IF($S88="","",F88*Q88/100)</f>
        <v/>
      </c>
      <c r="H88" s="11">
        <f>IF($S88="","",INDEX('Per Line'!$O$2:$O$501,$S88))</f>
        <v/>
      </c>
      <c r="I88">
        <f>IF($S88="","",Settings!$C$7)</f>
        <v/>
      </c>
      <c r="J88" s="7">
        <f>IF($S88="","",SUMIFS('Per Line'!$K$2:$K$501,'Per Line'!$A$2:$A$501,$B88,'Per Line'!$V$2:$V$501,0))</f>
        <v/>
      </c>
      <c r="K88" s="7">
        <f>IF($S88="","",J88*I88)</f>
        <v/>
      </c>
      <c r="L88">
        <f>IF($S88="","",Settings!$C$6)</f>
        <v/>
      </c>
      <c r="M88" s="7">
        <f>IF($S88="","",SUMIFS('Per Line'!$K$2:$K$501,'Per Line'!$A$2:$A$501,$B88,'Per Line'!$V$2:$V$501,1))</f>
        <v/>
      </c>
      <c r="N88" s="7">
        <f>IF($S88="","",M88*L88)</f>
        <v/>
      </c>
      <c r="O88" s="7">
        <f>IF($S88="","",N88+K88)</f>
        <v/>
      </c>
      <c r="P88" s="7">
        <f>IF($S88="","",Q88-O88)</f>
        <v/>
      </c>
      <c r="Q88" s="7">
        <f>IF($S88="","",J88+M88)</f>
        <v/>
      </c>
      <c r="R88" s="7">
        <f>IF($S88="","",Q88-O88-G88)</f>
        <v/>
      </c>
      <c r="S88" s="13">
        <f>IF(ROWS($S$2:$S88)&lt;=MAX('Per Line'!$U$2:$U$501),MATCH(ROWS($S$2:$S88),'Per Line'!$U$2:$U$501,0),"")</f>
        <v/>
      </c>
    </row>
    <row r="89">
      <c r="A89" s="12" t="n"/>
      <c r="B89">
        <f>IF($S89="","",INDEX('Per Line'!$A$2:$A$501,$S89)&amp;"")</f>
        <v/>
      </c>
      <c r="C89">
        <f>IF($S89="","",INDEX('Per Line'!$B$2:$B$501,$S89)&amp;"")</f>
        <v/>
      </c>
      <c r="D89">
        <f>IF($S89="","",INDEX('Per Line'!$C$2:$C$501,$S89)&amp;"")</f>
        <v/>
      </c>
      <c r="E89">
        <f>IF($S89="","",INDEX('Per Line'!$D$2:$D$501,$S89)&amp;"")</f>
        <v/>
      </c>
      <c r="F89">
        <f>IF($S89="","",INDEX('Per Line'!$E$2:$E$501,$S89))</f>
        <v/>
      </c>
      <c r="G89" s="7">
        <f>IF($S89="","",F89*Q89/100)</f>
        <v/>
      </c>
      <c r="H89" s="11">
        <f>IF($S89="","",INDEX('Per Line'!$O$2:$O$501,$S89))</f>
        <v/>
      </c>
      <c r="I89">
        <f>IF($S89="","",Settings!$C$7)</f>
        <v/>
      </c>
      <c r="J89" s="7">
        <f>IF($S89="","",SUMIFS('Per Line'!$K$2:$K$501,'Per Line'!$A$2:$A$501,$B89,'Per Line'!$V$2:$V$501,0))</f>
        <v/>
      </c>
      <c r="K89" s="7">
        <f>IF($S89="","",J89*I89)</f>
        <v/>
      </c>
      <c r="L89">
        <f>IF($S89="","",Settings!$C$6)</f>
        <v/>
      </c>
      <c r="M89" s="7">
        <f>IF($S89="","",SUMIFS('Per Line'!$K$2:$K$501,'Per Line'!$A$2:$A$501,$B89,'Per Line'!$V$2:$V$501,1))</f>
        <v/>
      </c>
      <c r="N89" s="7">
        <f>IF($S89="","",M89*L89)</f>
        <v/>
      </c>
      <c r="O89" s="7">
        <f>IF($S89="","",N89+K89)</f>
        <v/>
      </c>
      <c r="P89" s="7">
        <f>IF($S89="","",Q89-O89)</f>
        <v/>
      </c>
      <c r="Q89" s="7">
        <f>IF($S89="","",J89+M89)</f>
        <v/>
      </c>
      <c r="R89" s="7">
        <f>IF($S89="","",Q89-O89-G89)</f>
        <v/>
      </c>
      <c r="S89" s="13">
        <f>IF(ROWS($S$2:$S89)&lt;=MAX('Per Line'!$U$2:$U$501),MATCH(ROWS($S$2:$S89),'Per Line'!$U$2:$U$501,0),"")</f>
        <v/>
      </c>
    </row>
    <row r="90">
      <c r="A90" s="12" t="n"/>
      <c r="B90">
        <f>IF($S90="","",INDEX('Per Line'!$A$2:$A$501,$S90)&amp;"")</f>
        <v/>
      </c>
      <c r="C90">
        <f>IF($S90="","",INDEX('Per Line'!$B$2:$B$501,$S90)&amp;"")</f>
        <v/>
      </c>
      <c r="D90">
        <f>IF($S90="","",INDEX('Per Line'!$C$2:$C$501,$S90)&amp;"")</f>
        <v/>
      </c>
      <c r="E90">
        <f>IF($S90="","",INDEX('Per Line'!$D$2:$D$501,$S90)&amp;"")</f>
        <v/>
      </c>
      <c r="F90">
        <f>IF($S90="","",INDEX('Per Line'!$E$2:$E$501,$S90))</f>
        <v/>
      </c>
      <c r="G90" s="7">
        <f>IF($S90="","",F90*Q90/100)</f>
        <v/>
      </c>
      <c r="H90" s="11">
        <f>IF($S90="","",INDEX('Per Line'!$O$2:$O$501,$S90))</f>
        <v/>
      </c>
      <c r="I90">
        <f>IF($S90="","",Settings!$C$7)</f>
        <v/>
      </c>
      <c r="J90" s="7">
        <f>IF($S90="","",SUMIFS('Per Line'!$K$2:$K$501,'Per Line'!$A$2:$A$501,$B90,'Per Line'!$V$2:$V$501,0))</f>
        <v/>
      </c>
      <c r="K90" s="7">
        <f>IF($S90="","",J90*I90)</f>
        <v/>
      </c>
      <c r="L90">
        <f>IF($S90="","",Settings!$C$6)</f>
        <v/>
      </c>
      <c r="M90" s="7">
        <f>IF($S90="","",SUMIFS('Per Line'!$K$2:$K$501,'Per Line'!$A$2:$A$501,$B90,'Per Line'!$V$2:$V$501,1))</f>
        <v/>
      </c>
      <c r="N90" s="7">
        <f>IF($S90="","",M90*L90)</f>
        <v/>
      </c>
      <c r="O90" s="7">
        <f>IF($S90="","",N90+K90)</f>
        <v/>
      </c>
      <c r="P90" s="7">
        <f>IF($S90="","",Q90-O90)</f>
        <v/>
      </c>
      <c r="Q90" s="7">
        <f>IF($S90="","",J90+M90)</f>
        <v/>
      </c>
      <c r="R90" s="7">
        <f>IF($S90="","",Q90-O90-G90)</f>
        <v/>
      </c>
      <c r="S90" s="13">
        <f>IF(ROWS($S$2:$S90)&lt;=MAX('Per Line'!$U$2:$U$501),MATCH(ROWS($S$2:$S90),'Per Line'!$U$2:$U$501,0),"")</f>
        <v/>
      </c>
    </row>
    <row r="91">
      <c r="A91" s="12" t="n"/>
      <c r="B91">
        <f>IF($S91="","",INDEX('Per Line'!$A$2:$A$501,$S91)&amp;"")</f>
        <v/>
      </c>
      <c r="C91">
        <f>IF($S91="","",INDEX('Per Line'!$B$2:$B$501,$S91)&amp;"")</f>
        <v/>
      </c>
      <c r="D91">
        <f>IF($S91="","",INDEX('Per Line'!$C$2:$C$501,$S91)&amp;"")</f>
        <v/>
      </c>
      <c r="E91">
        <f>IF($S91="","",INDEX('Per Line'!$D$2:$D$501,$S91)&amp;"")</f>
        <v/>
      </c>
      <c r="F91">
        <f>IF($S91="","",INDEX('Per Line'!$E$2:$E$501,$S91))</f>
        <v/>
      </c>
      <c r="G91" s="7">
        <f>IF($S91="","",F91*Q91/100)</f>
        <v/>
      </c>
      <c r="H91" s="11">
        <f>IF($S91="","",INDEX('Per Line'!$O$2:$O$501,$S91))</f>
        <v/>
      </c>
      <c r="I91">
        <f>IF($S91="","",Settings!$C$7)</f>
        <v/>
      </c>
      <c r="J91" s="7">
        <f>IF($S91="","",SUMIFS('Per Line'!$K$2:$K$501,'Per Line'!$A$2:$A$501,$B91,'Per Line'!$V$2:$V$501,0))</f>
        <v/>
      </c>
      <c r="K91" s="7">
        <f>IF($S91="","",J91*I91)</f>
        <v/>
      </c>
      <c r="L91">
        <f>IF($S91="","",Settings!$C$6)</f>
        <v/>
      </c>
      <c r="M91" s="7">
        <f>IF($S91="","",SUMIFS('Per Line'!$K$2:$K$501,'Per Line'!$A$2:$A$501,$B91,'Per Line'!$V$2:$V$501,1))</f>
        <v/>
      </c>
      <c r="N91" s="7">
        <f>IF($S91="","",M91*L91)</f>
        <v/>
      </c>
      <c r="O91" s="7">
        <f>IF($S91="","",N91+K91)</f>
        <v/>
      </c>
      <c r="P91" s="7">
        <f>IF($S91="","",Q91-O91)</f>
        <v/>
      </c>
      <c r="Q91" s="7">
        <f>IF($S91="","",J91+M91)</f>
        <v/>
      </c>
      <c r="R91" s="7">
        <f>IF($S91="","",Q91-O91-G91)</f>
        <v/>
      </c>
      <c r="S91" s="13">
        <f>IF(ROWS($S$2:$S91)&lt;=MAX('Per Line'!$U$2:$U$501),MATCH(ROWS($S$2:$S91),'Per Line'!$U$2:$U$501,0),"")</f>
        <v/>
      </c>
    </row>
    <row r="92">
      <c r="A92" s="12" t="n"/>
      <c r="B92">
        <f>IF($S92="","",INDEX('Per Line'!$A$2:$A$501,$S92)&amp;"")</f>
        <v/>
      </c>
      <c r="C92">
        <f>IF($S92="","",INDEX('Per Line'!$B$2:$B$501,$S92)&amp;"")</f>
        <v/>
      </c>
      <c r="D92">
        <f>IF($S92="","",INDEX('Per Line'!$C$2:$C$501,$S92)&amp;"")</f>
        <v/>
      </c>
      <c r="E92">
        <f>IF($S92="","",INDEX('Per Line'!$D$2:$D$501,$S92)&amp;"")</f>
        <v/>
      </c>
      <c r="F92">
        <f>IF($S92="","",INDEX('Per Line'!$E$2:$E$501,$S92))</f>
        <v/>
      </c>
      <c r="G92" s="7">
        <f>IF($S92="","",F92*Q92/100)</f>
        <v/>
      </c>
      <c r="H92" s="11">
        <f>IF($S92="","",INDEX('Per Line'!$O$2:$O$501,$S92))</f>
        <v/>
      </c>
      <c r="I92">
        <f>IF($S92="","",Settings!$C$7)</f>
        <v/>
      </c>
      <c r="J92" s="7">
        <f>IF($S92="","",SUMIFS('Per Line'!$K$2:$K$501,'Per Line'!$A$2:$A$501,$B92,'Per Line'!$V$2:$V$501,0))</f>
        <v/>
      </c>
      <c r="K92" s="7">
        <f>IF($S92="","",J92*I92)</f>
        <v/>
      </c>
      <c r="L92">
        <f>IF($S92="","",Settings!$C$6)</f>
        <v/>
      </c>
      <c r="M92" s="7">
        <f>IF($S92="","",SUMIFS('Per Line'!$K$2:$K$501,'Per Line'!$A$2:$A$501,$B92,'Per Line'!$V$2:$V$501,1))</f>
        <v/>
      </c>
      <c r="N92" s="7">
        <f>IF($S92="","",M92*L92)</f>
        <v/>
      </c>
      <c r="O92" s="7">
        <f>IF($S92="","",N92+K92)</f>
        <v/>
      </c>
      <c r="P92" s="7">
        <f>IF($S92="","",Q92-O92)</f>
        <v/>
      </c>
      <c r="Q92" s="7">
        <f>IF($S92="","",J92+M92)</f>
        <v/>
      </c>
      <c r="R92" s="7">
        <f>IF($S92="","",Q92-O92-G92)</f>
        <v/>
      </c>
      <c r="S92" s="13">
        <f>IF(ROWS($S$2:$S92)&lt;=MAX('Per Line'!$U$2:$U$501),MATCH(ROWS($S$2:$S92),'Per Line'!$U$2:$U$501,0),"")</f>
        <v/>
      </c>
    </row>
    <row r="93">
      <c r="A93" s="12" t="n"/>
      <c r="B93">
        <f>IF($S93="","",INDEX('Per Line'!$A$2:$A$501,$S93)&amp;"")</f>
        <v/>
      </c>
      <c r="C93">
        <f>IF($S93="","",INDEX('Per Line'!$B$2:$B$501,$S93)&amp;"")</f>
        <v/>
      </c>
      <c r="D93">
        <f>IF($S93="","",INDEX('Per Line'!$C$2:$C$501,$S93)&amp;"")</f>
        <v/>
      </c>
      <c r="E93">
        <f>IF($S93="","",INDEX('Per Line'!$D$2:$D$501,$S93)&amp;"")</f>
        <v/>
      </c>
      <c r="F93">
        <f>IF($S93="","",INDEX('Per Line'!$E$2:$E$501,$S93))</f>
        <v/>
      </c>
      <c r="G93" s="7">
        <f>IF($S93="","",F93*Q93/100)</f>
        <v/>
      </c>
      <c r="H93" s="11">
        <f>IF($S93="","",INDEX('Per Line'!$O$2:$O$501,$S93))</f>
        <v/>
      </c>
      <c r="I93">
        <f>IF($S93="","",Settings!$C$7)</f>
        <v/>
      </c>
      <c r="J93" s="7">
        <f>IF($S93="","",SUMIFS('Per Line'!$K$2:$K$501,'Per Line'!$A$2:$A$501,$B93,'Per Line'!$V$2:$V$501,0))</f>
        <v/>
      </c>
      <c r="K93" s="7">
        <f>IF($S93="","",J93*I93)</f>
        <v/>
      </c>
      <c r="L93">
        <f>IF($S93="","",Settings!$C$6)</f>
        <v/>
      </c>
      <c r="M93" s="7">
        <f>IF($S93="","",SUMIFS('Per Line'!$K$2:$K$501,'Per Line'!$A$2:$A$501,$B93,'Per Line'!$V$2:$V$501,1))</f>
        <v/>
      </c>
      <c r="N93" s="7">
        <f>IF($S93="","",M93*L93)</f>
        <v/>
      </c>
      <c r="O93" s="7">
        <f>IF($S93="","",N93+K93)</f>
        <v/>
      </c>
      <c r="P93" s="7">
        <f>IF($S93="","",Q93-O93)</f>
        <v/>
      </c>
      <c r="Q93" s="7">
        <f>IF($S93="","",J93+M93)</f>
        <v/>
      </c>
      <c r="R93" s="7">
        <f>IF($S93="","",Q93-O93-G93)</f>
        <v/>
      </c>
      <c r="S93" s="13">
        <f>IF(ROWS($S$2:$S93)&lt;=MAX('Per Line'!$U$2:$U$501),MATCH(ROWS($S$2:$S93),'Per Line'!$U$2:$U$501,0),"")</f>
        <v/>
      </c>
    </row>
    <row r="94">
      <c r="A94" s="12" t="n"/>
      <c r="B94">
        <f>IF($S94="","",INDEX('Per Line'!$A$2:$A$501,$S94)&amp;"")</f>
        <v/>
      </c>
      <c r="C94">
        <f>IF($S94="","",INDEX('Per Line'!$B$2:$B$501,$S94)&amp;"")</f>
        <v/>
      </c>
      <c r="D94">
        <f>IF($S94="","",INDEX('Per Line'!$C$2:$C$501,$S94)&amp;"")</f>
        <v/>
      </c>
      <c r="E94">
        <f>IF($S94="","",INDEX('Per Line'!$D$2:$D$501,$S94)&amp;"")</f>
        <v/>
      </c>
      <c r="F94">
        <f>IF($S94="","",INDEX('Per Line'!$E$2:$E$501,$S94))</f>
        <v/>
      </c>
      <c r="G94" s="7">
        <f>IF($S94="","",F94*Q94/100)</f>
        <v/>
      </c>
      <c r="H94" s="11">
        <f>IF($S94="","",INDEX('Per Line'!$O$2:$O$501,$S94))</f>
        <v/>
      </c>
      <c r="I94">
        <f>IF($S94="","",Settings!$C$7)</f>
        <v/>
      </c>
      <c r="J94" s="7">
        <f>IF($S94="","",SUMIFS('Per Line'!$K$2:$K$501,'Per Line'!$A$2:$A$501,$B94,'Per Line'!$V$2:$V$501,0))</f>
        <v/>
      </c>
      <c r="K94" s="7">
        <f>IF($S94="","",J94*I94)</f>
        <v/>
      </c>
      <c r="L94">
        <f>IF($S94="","",Settings!$C$6)</f>
        <v/>
      </c>
      <c r="M94" s="7">
        <f>IF($S94="","",SUMIFS('Per Line'!$K$2:$K$501,'Per Line'!$A$2:$A$501,$B94,'Per Line'!$V$2:$V$501,1))</f>
        <v/>
      </c>
      <c r="N94" s="7">
        <f>IF($S94="","",M94*L94)</f>
        <v/>
      </c>
      <c r="O94" s="7">
        <f>IF($S94="","",N94+K94)</f>
        <v/>
      </c>
      <c r="P94" s="7">
        <f>IF($S94="","",Q94-O94)</f>
        <v/>
      </c>
      <c r="Q94" s="7">
        <f>IF($S94="","",J94+M94)</f>
        <v/>
      </c>
      <c r="R94" s="7">
        <f>IF($S94="","",Q94-O94-G94)</f>
        <v/>
      </c>
      <c r="S94" s="13">
        <f>IF(ROWS($S$2:$S94)&lt;=MAX('Per Line'!$U$2:$U$501),MATCH(ROWS($S$2:$S94),'Per Line'!$U$2:$U$501,0),"")</f>
        <v/>
      </c>
    </row>
    <row r="95">
      <c r="A95" s="12" t="n"/>
      <c r="B95">
        <f>IF($S95="","",INDEX('Per Line'!$A$2:$A$501,$S95)&amp;"")</f>
        <v/>
      </c>
      <c r="C95">
        <f>IF($S95="","",INDEX('Per Line'!$B$2:$B$501,$S95)&amp;"")</f>
        <v/>
      </c>
      <c r="D95">
        <f>IF($S95="","",INDEX('Per Line'!$C$2:$C$501,$S95)&amp;"")</f>
        <v/>
      </c>
      <c r="E95">
        <f>IF($S95="","",INDEX('Per Line'!$D$2:$D$501,$S95)&amp;"")</f>
        <v/>
      </c>
      <c r="F95">
        <f>IF($S95="","",INDEX('Per Line'!$E$2:$E$501,$S95))</f>
        <v/>
      </c>
      <c r="G95" s="7">
        <f>IF($S95="","",F95*Q95/100)</f>
        <v/>
      </c>
      <c r="H95" s="11">
        <f>IF($S95="","",INDEX('Per Line'!$O$2:$O$501,$S95))</f>
        <v/>
      </c>
      <c r="I95">
        <f>IF($S95="","",Settings!$C$7)</f>
        <v/>
      </c>
      <c r="J95" s="7">
        <f>IF($S95="","",SUMIFS('Per Line'!$K$2:$K$501,'Per Line'!$A$2:$A$501,$B95,'Per Line'!$V$2:$V$501,0))</f>
        <v/>
      </c>
      <c r="K95" s="7">
        <f>IF($S95="","",J95*I95)</f>
        <v/>
      </c>
      <c r="L95">
        <f>IF($S95="","",Settings!$C$6)</f>
        <v/>
      </c>
      <c r="M95" s="7">
        <f>IF($S95="","",SUMIFS('Per Line'!$K$2:$K$501,'Per Line'!$A$2:$A$501,$B95,'Per Line'!$V$2:$V$501,1))</f>
        <v/>
      </c>
      <c r="N95" s="7">
        <f>IF($S95="","",M95*L95)</f>
        <v/>
      </c>
      <c r="O95" s="7">
        <f>IF($S95="","",N95+K95)</f>
        <v/>
      </c>
      <c r="P95" s="7">
        <f>IF($S95="","",Q95-O95)</f>
        <v/>
      </c>
      <c r="Q95" s="7">
        <f>IF($S95="","",J95+M95)</f>
        <v/>
      </c>
      <c r="R95" s="7">
        <f>IF($S95="","",Q95-O95-G95)</f>
        <v/>
      </c>
      <c r="S95" s="13">
        <f>IF(ROWS($S$2:$S95)&lt;=MAX('Per Line'!$U$2:$U$501),MATCH(ROWS($S$2:$S95),'Per Line'!$U$2:$U$501,0),"")</f>
        <v/>
      </c>
    </row>
    <row r="96">
      <c r="A96" s="12" t="n"/>
      <c r="B96">
        <f>IF($S96="","",INDEX('Per Line'!$A$2:$A$501,$S96)&amp;"")</f>
        <v/>
      </c>
      <c r="C96">
        <f>IF($S96="","",INDEX('Per Line'!$B$2:$B$501,$S96)&amp;"")</f>
        <v/>
      </c>
      <c r="D96">
        <f>IF($S96="","",INDEX('Per Line'!$C$2:$C$501,$S96)&amp;"")</f>
        <v/>
      </c>
      <c r="E96">
        <f>IF($S96="","",INDEX('Per Line'!$D$2:$D$501,$S96)&amp;"")</f>
        <v/>
      </c>
      <c r="F96">
        <f>IF($S96="","",INDEX('Per Line'!$E$2:$E$501,$S96))</f>
        <v/>
      </c>
      <c r="G96" s="7">
        <f>IF($S96="","",F96*Q96/100)</f>
        <v/>
      </c>
      <c r="H96" s="11">
        <f>IF($S96="","",INDEX('Per Line'!$O$2:$O$501,$S96))</f>
        <v/>
      </c>
      <c r="I96">
        <f>IF($S96="","",Settings!$C$7)</f>
        <v/>
      </c>
      <c r="J96" s="7">
        <f>IF($S96="","",SUMIFS('Per Line'!$K$2:$K$501,'Per Line'!$A$2:$A$501,$B96,'Per Line'!$V$2:$V$501,0))</f>
        <v/>
      </c>
      <c r="K96" s="7">
        <f>IF($S96="","",J96*I96)</f>
        <v/>
      </c>
      <c r="L96">
        <f>IF($S96="","",Settings!$C$6)</f>
        <v/>
      </c>
      <c r="M96" s="7">
        <f>IF($S96="","",SUMIFS('Per Line'!$K$2:$K$501,'Per Line'!$A$2:$A$501,$B96,'Per Line'!$V$2:$V$501,1))</f>
        <v/>
      </c>
      <c r="N96" s="7">
        <f>IF($S96="","",M96*L96)</f>
        <v/>
      </c>
      <c r="O96" s="7">
        <f>IF($S96="","",N96+K96)</f>
        <v/>
      </c>
      <c r="P96" s="7">
        <f>IF($S96="","",Q96-O96)</f>
        <v/>
      </c>
      <c r="Q96" s="7">
        <f>IF($S96="","",J96+M96)</f>
        <v/>
      </c>
      <c r="R96" s="7">
        <f>IF($S96="","",Q96-O96-G96)</f>
        <v/>
      </c>
      <c r="S96" s="13">
        <f>IF(ROWS($S$2:$S96)&lt;=MAX('Per Line'!$U$2:$U$501),MATCH(ROWS($S$2:$S96),'Per Line'!$U$2:$U$501,0),"")</f>
        <v/>
      </c>
    </row>
    <row r="97">
      <c r="A97" s="12" t="n"/>
      <c r="B97">
        <f>IF($S97="","",INDEX('Per Line'!$A$2:$A$501,$S97)&amp;"")</f>
        <v/>
      </c>
      <c r="C97">
        <f>IF($S97="","",INDEX('Per Line'!$B$2:$B$501,$S97)&amp;"")</f>
        <v/>
      </c>
      <c r="D97">
        <f>IF($S97="","",INDEX('Per Line'!$C$2:$C$501,$S97)&amp;"")</f>
        <v/>
      </c>
      <c r="E97">
        <f>IF($S97="","",INDEX('Per Line'!$D$2:$D$501,$S97)&amp;"")</f>
        <v/>
      </c>
      <c r="F97">
        <f>IF($S97="","",INDEX('Per Line'!$E$2:$E$501,$S97))</f>
        <v/>
      </c>
      <c r="G97" s="7">
        <f>IF($S97="","",F97*Q97/100)</f>
        <v/>
      </c>
      <c r="H97" s="11">
        <f>IF($S97="","",INDEX('Per Line'!$O$2:$O$501,$S97))</f>
        <v/>
      </c>
      <c r="I97">
        <f>IF($S97="","",Settings!$C$7)</f>
        <v/>
      </c>
      <c r="J97" s="7">
        <f>IF($S97="","",SUMIFS('Per Line'!$K$2:$K$501,'Per Line'!$A$2:$A$501,$B97,'Per Line'!$V$2:$V$501,0))</f>
        <v/>
      </c>
      <c r="K97" s="7">
        <f>IF($S97="","",J97*I97)</f>
        <v/>
      </c>
      <c r="L97">
        <f>IF($S97="","",Settings!$C$6)</f>
        <v/>
      </c>
      <c r="M97" s="7">
        <f>IF($S97="","",SUMIFS('Per Line'!$K$2:$K$501,'Per Line'!$A$2:$A$501,$B97,'Per Line'!$V$2:$V$501,1))</f>
        <v/>
      </c>
      <c r="N97" s="7">
        <f>IF($S97="","",M97*L97)</f>
        <v/>
      </c>
      <c r="O97" s="7">
        <f>IF($S97="","",N97+K97)</f>
        <v/>
      </c>
      <c r="P97" s="7">
        <f>IF($S97="","",Q97-O97)</f>
        <v/>
      </c>
      <c r="Q97" s="7">
        <f>IF($S97="","",J97+M97)</f>
        <v/>
      </c>
      <c r="R97" s="7">
        <f>IF($S97="","",Q97-O97-G97)</f>
        <v/>
      </c>
      <c r="S97" s="13">
        <f>IF(ROWS($S$2:$S97)&lt;=MAX('Per Line'!$U$2:$U$501),MATCH(ROWS($S$2:$S97),'Per Line'!$U$2:$U$501,0),"")</f>
        <v/>
      </c>
    </row>
    <row r="98">
      <c r="A98" s="12" t="n"/>
      <c r="B98">
        <f>IF($S98="","",INDEX('Per Line'!$A$2:$A$501,$S98)&amp;"")</f>
        <v/>
      </c>
      <c r="C98">
        <f>IF($S98="","",INDEX('Per Line'!$B$2:$B$501,$S98)&amp;"")</f>
        <v/>
      </c>
      <c r="D98">
        <f>IF($S98="","",INDEX('Per Line'!$C$2:$C$501,$S98)&amp;"")</f>
        <v/>
      </c>
      <c r="E98">
        <f>IF($S98="","",INDEX('Per Line'!$D$2:$D$501,$S98)&amp;"")</f>
        <v/>
      </c>
      <c r="F98">
        <f>IF($S98="","",INDEX('Per Line'!$E$2:$E$501,$S98))</f>
        <v/>
      </c>
      <c r="G98" s="7">
        <f>IF($S98="","",F98*Q98/100)</f>
        <v/>
      </c>
      <c r="H98" s="11">
        <f>IF($S98="","",INDEX('Per Line'!$O$2:$O$501,$S98))</f>
        <v/>
      </c>
      <c r="I98">
        <f>IF($S98="","",Settings!$C$7)</f>
        <v/>
      </c>
      <c r="J98" s="7">
        <f>IF($S98="","",SUMIFS('Per Line'!$K$2:$K$501,'Per Line'!$A$2:$A$501,$B98,'Per Line'!$V$2:$V$501,0))</f>
        <v/>
      </c>
      <c r="K98" s="7">
        <f>IF($S98="","",J98*I98)</f>
        <v/>
      </c>
      <c r="L98">
        <f>IF($S98="","",Settings!$C$6)</f>
        <v/>
      </c>
      <c r="M98" s="7">
        <f>IF($S98="","",SUMIFS('Per Line'!$K$2:$K$501,'Per Line'!$A$2:$A$501,$B98,'Per Line'!$V$2:$V$501,1))</f>
        <v/>
      </c>
      <c r="N98" s="7">
        <f>IF($S98="","",M98*L98)</f>
        <v/>
      </c>
      <c r="O98" s="7">
        <f>IF($S98="","",N98+K98)</f>
        <v/>
      </c>
      <c r="P98" s="7">
        <f>IF($S98="","",Q98-O98)</f>
        <v/>
      </c>
      <c r="Q98" s="7">
        <f>IF($S98="","",J98+M98)</f>
        <v/>
      </c>
      <c r="R98" s="7">
        <f>IF($S98="","",Q98-O98-G98)</f>
        <v/>
      </c>
      <c r="S98" s="13">
        <f>IF(ROWS($S$2:$S98)&lt;=MAX('Per Line'!$U$2:$U$501),MATCH(ROWS($S$2:$S98),'Per Line'!$U$2:$U$501,0),"")</f>
        <v/>
      </c>
    </row>
    <row r="99">
      <c r="A99" s="12" t="n"/>
      <c r="B99">
        <f>IF($S99="","",INDEX('Per Line'!$A$2:$A$501,$S99)&amp;"")</f>
        <v/>
      </c>
      <c r="C99">
        <f>IF($S99="","",INDEX('Per Line'!$B$2:$B$501,$S99)&amp;"")</f>
        <v/>
      </c>
      <c r="D99">
        <f>IF($S99="","",INDEX('Per Line'!$C$2:$C$501,$S99)&amp;"")</f>
        <v/>
      </c>
      <c r="E99">
        <f>IF($S99="","",INDEX('Per Line'!$D$2:$D$501,$S99)&amp;"")</f>
        <v/>
      </c>
      <c r="F99">
        <f>IF($S99="","",INDEX('Per Line'!$E$2:$E$501,$S99))</f>
        <v/>
      </c>
      <c r="G99" s="7">
        <f>IF($S99="","",F99*Q99/100)</f>
        <v/>
      </c>
      <c r="H99" s="11">
        <f>IF($S99="","",INDEX('Per Line'!$O$2:$O$501,$S99))</f>
        <v/>
      </c>
      <c r="I99">
        <f>IF($S99="","",Settings!$C$7)</f>
        <v/>
      </c>
      <c r="J99" s="7">
        <f>IF($S99="","",SUMIFS('Per Line'!$K$2:$K$501,'Per Line'!$A$2:$A$501,$B99,'Per Line'!$V$2:$V$501,0))</f>
        <v/>
      </c>
      <c r="K99" s="7">
        <f>IF($S99="","",J99*I99)</f>
        <v/>
      </c>
      <c r="L99">
        <f>IF($S99="","",Settings!$C$6)</f>
        <v/>
      </c>
      <c r="M99" s="7">
        <f>IF($S99="","",SUMIFS('Per Line'!$K$2:$K$501,'Per Line'!$A$2:$A$501,$B99,'Per Line'!$V$2:$V$501,1))</f>
        <v/>
      </c>
      <c r="N99" s="7">
        <f>IF($S99="","",M99*L99)</f>
        <v/>
      </c>
      <c r="O99" s="7">
        <f>IF($S99="","",N99+K99)</f>
        <v/>
      </c>
      <c r="P99" s="7">
        <f>IF($S99="","",Q99-O99)</f>
        <v/>
      </c>
      <c r="Q99" s="7">
        <f>IF($S99="","",J99+M99)</f>
        <v/>
      </c>
      <c r="R99" s="7">
        <f>IF($S99="","",Q99-O99-G99)</f>
        <v/>
      </c>
      <c r="S99" s="13">
        <f>IF(ROWS($S$2:$S99)&lt;=MAX('Per Line'!$U$2:$U$501),MATCH(ROWS($S$2:$S99),'Per Line'!$U$2:$U$501,0),"")</f>
        <v/>
      </c>
    </row>
    <row r="100">
      <c r="A100" s="12" t="n"/>
      <c r="B100">
        <f>IF($S100="","",INDEX('Per Line'!$A$2:$A$501,$S100)&amp;"")</f>
        <v/>
      </c>
      <c r="C100">
        <f>IF($S100="","",INDEX('Per Line'!$B$2:$B$501,$S100)&amp;"")</f>
        <v/>
      </c>
      <c r="D100">
        <f>IF($S100="","",INDEX('Per Line'!$C$2:$C$501,$S100)&amp;"")</f>
        <v/>
      </c>
      <c r="E100">
        <f>IF($S100="","",INDEX('Per Line'!$D$2:$D$501,$S100)&amp;"")</f>
        <v/>
      </c>
      <c r="F100">
        <f>IF($S100="","",INDEX('Per Line'!$E$2:$E$501,$S100))</f>
        <v/>
      </c>
      <c r="G100" s="7">
        <f>IF($S100="","",F100*Q100/100)</f>
        <v/>
      </c>
      <c r="H100" s="11">
        <f>IF($S100="","",INDEX('Per Line'!$O$2:$O$501,$S100))</f>
        <v/>
      </c>
      <c r="I100">
        <f>IF($S100="","",Settings!$C$7)</f>
        <v/>
      </c>
      <c r="J100" s="7">
        <f>IF($S100="","",SUMIFS('Per Line'!$K$2:$K$501,'Per Line'!$A$2:$A$501,$B100,'Per Line'!$V$2:$V$501,0))</f>
        <v/>
      </c>
      <c r="K100" s="7">
        <f>IF($S100="","",J100*I100)</f>
        <v/>
      </c>
      <c r="L100">
        <f>IF($S100="","",Settings!$C$6)</f>
        <v/>
      </c>
      <c r="M100" s="7">
        <f>IF($S100="","",SUMIFS('Per Line'!$K$2:$K$501,'Per Line'!$A$2:$A$501,$B100,'Per Line'!$V$2:$V$501,1))</f>
        <v/>
      </c>
      <c r="N100" s="7">
        <f>IF($S100="","",M100*L100)</f>
        <v/>
      </c>
      <c r="O100" s="7">
        <f>IF($S100="","",N100+K100)</f>
        <v/>
      </c>
      <c r="P100" s="7">
        <f>IF($S100="","",Q100-O100)</f>
        <v/>
      </c>
      <c r="Q100" s="7">
        <f>IF($S100="","",J100+M100)</f>
        <v/>
      </c>
      <c r="R100" s="7">
        <f>IF($S100="","",Q100-O100-G100)</f>
        <v/>
      </c>
      <c r="S100" s="13">
        <f>IF(ROWS($S$2:$S100)&lt;=MAX('Per Line'!$U$2:$U$501),MATCH(ROWS($S$2:$S100),'Per Line'!$U$2:$U$501,0),"")</f>
        <v/>
      </c>
    </row>
    <row r="101">
      <c r="A101" s="12" t="n"/>
      <c r="B101">
        <f>IF($S101="","",INDEX('Per Line'!$A$2:$A$501,$S101)&amp;"")</f>
        <v/>
      </c>
      <c r="C101">
        <f>IF($S101="","",INDEX('Per Line'!$B$2:$B$501,$S101)&amp;"")</f>
        <v/>
      </c>
      <c r="D101">
        <f>IF($S101="","",INDEX('Per Line'!$C$2:$C$501,$S101)&amp;"")</f>
        <v/>
      </c>
      <c r="E101">
        <f>IF($S101="","",INDEX('Per Line'!$D$2:$D$501,$S101)&amp;"")</f>
        <v/>
      </c>
      <c r="F101">
        <f>IF($S101="","",INDEX('Per Line'!$E$2:$E$501,$S101))</f>
        <v/>
      </c>
      <c r="G101" s="7">
        <f>IF($S101="","",F101*Q101/100)</f>
        <v/>
      </c>
      <c r="H101" s="11">
        <f>IF($S101="","",INDEX('Per Line'!$O$2:$O$501,$S101))</f>
        <v/>
      </c>
      <c r="I101">
        <f>IF($S101="","",Settings!$C$7)</f>
        <v/>
      </c>
      <c r="J101" s="7">
        <f>IF($S101="","",SUMIFS('Per Line'!$K$2:$K$501,'Per Line'!$A$2:$A$501,$B101,'Per Line'!$V$2:$V$501,0))</f>
        <v/>
      </c>
      <c r="K101" s="7">
        <f>IF($S101="","",J101*I101)</f>
        <v/>
      </c>
      <c r="L101">
        <f>IF($S101="","",Settings!$C$6)</f>
        <v/>
      </c>
      <c r="M101" s="7">
        <f>IF($S101="","",SUMIFS('Per Line'!$K$2:$K$501,'Per Line'!$A$2:$A$501,$B101,'Per Line'!$V$2:$V$501,1))</f>
        <v/>
      </c>
      <c r="N101" s="7">
        <f>IF($S101="","",M101*L101)</f>
        <v/>
      </c>
      <c r="O101" s="7">
        <f>IF($S101="","",N101+K101)</f>
        <v/>
      </c>
      <c r="P101" s="7">
        <f>IF($S101="","",Q101-O101)</f>
        <v/>
      </c>
      <c r="Q101" s="7">
        <f>IF($S101="","",J101+M101)</f>
        <v/>
      </c>
      <c r="R101" s="7">
        <f>IF($S101="","",Q101-O101-G101)</f>
        <v/>
      </c>
      <c r="S101" s="13">
        <f>IF(ROWS($S$2:$S101)&lt;=MAX('Per Line'!$U$2:$U$501),MATCH(ROWS($S$2:$S101),'Per Line'!$U$2:$U$501,0),"")</f>
        <v/>
      </c>
    </row>
    <row r="102">
      <c r="A102" s="12" t="n"/>
      <c r="B102">
        <f>IF($S102="","",INDEX('Per Line'!$A$2:$A$501,$S102)&amp;"")</f>
        <v/>
      </c>
      <c r="C102">
        <f>IF($S102="","",INDEX('Per Line'!$B$2:$B$501,$S102)&amp;"")</f>
        <v/>
      </c>
      <c r="D102">
        <f>IF($S102="","",INDEX('Per Line'!$C$2:$C$501,$S102)&amp;"")</f>
        <v/>
      </c>
      <c r="E102">
        <f>IF($S102="","",INDEX('Per Line'!$D$2:$D$501,$S102)&amp;"")</f>
        <v/>
      </c>
      <c r="F102">
        <f>IF($S102="","",INDEX('Per Line'!$E$2:$E$501,$S102))</f>
        <v/>
      </c>
      <c r="G102" s="7">
        <f>IF($S102="","",F102*Q102/100)</f>
        <v/>
      </c>
      <c r="H102" s="11">
        <f>IF($S102="","",INDEX('Per Line'!$O$2:$O$501,$S102))</f>
        <v/>
      </c>
      <c r="I102">
        <f>IF($S102="","",Settings!$C$7)</f>
        <v/>
      </c>
      <c r="J102" s="7">
        <f>IF($S102="","",SUMIFS('Per Line'!$K$2:$K$501,'Per Line'!$A$2:$A$501,$B102,'Per Line'!$V$2:$V$501,0))</f>
        <v/>
      </c>
      <c r="K102" s="7">
        <f>IF($S102="","",J102*I102)</f>
        <v/>
      </c>
      <c r="L102">
        <f>IF($S102="","",Settings!$C$6)</f>
        <v/>
      </c>
      <c r="M102" s="7">
        <f>IF($S102="","",SUMIFS('Per Line'!$K$2:$K$501,'Per Line'!$A$2:$A$501,$B102,'Per Line'!$V$2:$V$501,1))</f>
        <v/>
      </c>
      <c r="N102" s="7">
        <f>IF($S102="","",M102*L102)</f>
        <v/>
      </c>
      <c r="O102" s="7">
        <f>IF($S102="","",N102+K102)</f>
        <v/>
      </c>
      <c r="P102" s="7">
        <f>IF($S102="","",Q102-O102)</f>
        <v/>
      </c>
      <c r="Q102" s="7">
        <f>IF($S102="","",J102+M102)</f>
        <v/>
      </c>
      <c r="R102" s="7">
        <f>IF($S102="","",Q102-O102-G102)</f>
        <v/>
      </c>
      <c r="S102" s="13">
        <f>IF(ROWS($S$2:$S102)&lt;=MAX('Per Line'!$U$2:$U$501),MATCH(ROWS($S$2:$S102),'Per Line'!$U$2:$U$501,0),"")</f>
        <v/>
      </c>
    </row>
    <row r="103">
      <c r="A103" s="12" t="n"/>
      <c r="B103">
        <f>IF($S103="","",INDEX('Per Line'!$A$2:$A$501,$S103)&amp;"")</f>
        <v/>
      </c>
      <c r="C103">
        <f>IF($S103="","",INDEX('Per Line'!$B$2:$B$501,$S103)&amp;"")</f>
        <v/>
      </c>
      <c r="D103">
        <f>IF($S103="","",INDEX('Per Line'!$C$2:$C$501,$S103)&amp;"")</f>
        <v/>
      </c>
      <c r="E103">
        <f>IF($S103="","",INDEX('Per Line'!$D$2:$D$501,$S103)&amp;"")</f>
        <v/>
      </c>
      <c r="F103">
        <f>IF($S103="","",INDEX('Per Line'!$E$2:$E$501,$S103))</f>
        <v/>
      </c>
      <c r="G103" s="7">
        <f>IF($S103="","",F103*Q103/100)</f>
        <v/>
      </c>
      <c r="H103" s="11">
        <f>IF($S103="","",INDEX('Per Line'!$O$2:$O$501,$S103))</f>
        <v/>
      </c>
      <c r="I103">
        <f>IF($S103="","",Settings!$C$7)</f>
        <v/>
      </c>
      <c r="J103" s="7">
        <f>IF($S103="","",SUMIFS('Per Line'!$K$2:$K$501,'Per Line'!$A$2:$A$501,$B103,'Per Line'!$V$2:$V$501,0))</f>
        <v/>
      </c>
      <c r="K103" s="7">
        <f>IF($S103="","",J103*I103)</f>
        <v/>
      </c>
      <c r="L103">
        <f>IF($S103="","",Settings!$C$6)</f>
        <v/>
      </c>
      <c r="M103" s="7">
        <f>IF($S103="","",SUMIFS('Per Line'!$K$2:$K$501,'Per Line'!$A$2:$A$501,$B103,'Per Line'!$V$2:$V$501,1))</f>
        <v/>
      </c>
      <c r="N103" s="7">
        <f>IF($S103="","",M103*L103)</f>
        <v/>
      </c>
      <c r="O103" s="7">
        <f>IF($S103="","",N103+K103)</f>
        <v/>
      </c>
      <c r="P103" s="7">
        <f>IF($S103="","",Q103-O103)</f>
        <v/>
      </c>
      <c r="Q103" s="7">
        <f>IF($S103="","",J103+M103)</f>
        <v/>
      </c>
      <c r="R103" s="7">
        <f>IF($S103="","",Q103-O103-G103)</f>
        <v/>
      </c>
      <c r="S103" s="13">
        <f>IF(ROWS($S$2:$S103)&lt;=MAX('Per Line'!$U$2:$U$501),MATCH(ROWS($S$2:$S103),'Per Line'!$U$2:$U$501,0),"")</f>
        <v/>
      </c>
    </row>
    <row r="104">
      <c r="A104" s="12" t="n"/>
      <c r="B104">
        <f>IF($S104="","",INDEX('Per Line'!$A$2:$A$501,$S104)&amp;"")</f>
        <v/>
      </c>
      <c r="C104">
        <f>IF($S104="","",INDEX('Per Line'!$B$2:$B$501,$S104)&amp;"")</f>
        <v/>
      </c>
      <c r="D104">
        <f>IF($S104="","",INDEX('Per Line'!$C$2:$C$501,$S104)&amp;"")</f>
        <v/>
      </c>
      <c r="E104">
        <f>IF($S104="","",INDEX('Per Line'!$D$2:$D$501,$S104)&amp;"")</f>
        <v/>
      </c>
      <c r="F104">
        <f>IF($S104="","",INDEX('Per Line'!$E$2:$E$501,$S104))</f>
        <v/>
      </c>
      <c r="G104" s="7">
        <f>IF($S104="","",F104*Q104/100)</f>
        <v/>
      </c>
      <c r="H104" s="11">
        <f>IF($S104="","",INDEX('Per Line'!$O$2:$O$501,$S104))</f>
        <v/>
      </c>
      <c r="I104">
        <f>IF($S104="","",Settings!$C$7)</f>
        <v/>
      </c>
      <c r="J104" s="7">
        <f>IF($S104="","",SUMIFS('Per Line'!$K$2:$K$501,'Per Line'!$A$2:$A$501,$B104,'Per Line'!$V$2:$V$501,0))</f>
        <v/>
      </c>
      <c r="K104" s="7">
        <f>IF($S104="","",J104*I104)</f>
        <v/>
      </c>
      <c r="L104">
        <f>IF($S104="","",Settings!$C$6)</f>
        <v/>
      </c>
      <c r="M104" s="7">
        <f>IF($S104="","",SUMIFS('Per Line'!$K$2:$K$501,'Per Line'!$A$2:$A$501,$B104,'Per Line'!$V$2:$V$501,1))</f>
        <v/>
      </c>
      <c r="N104" s="7">
        <f>IF($S104="","",M104*L104)</f>
        <v/>
      </c>
      <c r="O104" s="7">
        <f>IF($S104="","",N104+K104)</f>
        <v/>
      </c>
      <c r="P104" s="7">
        <f>IF($S104="","",Q104-O104)</f>
        <v/>
      </c>
      <c r="Q104" s="7">
        <f>IF($S104="","",J104+M104)</f>
        <v/>
      </c>
      <c r="R104" s="7">
        <f>IF($S104="","",Q104-O104-G104)</f>
        <v/>
      </c>
      <c r="S104" s="13">
        <f>IF(ROWS($S$2:$S104)&lt;=MAX('Per Line'!$U$2:$U$501),MATCH(ROWS($S$2:$S104),'Per Line'!$U$2:$U$501,0),"")</f>
        <v/>
      </c>
    </row>
    <row r="105">
      <c r="A105" s="12" t="n"/>
      <c r="B105">
        <f>IF($S105="","",INDEX('Per Line'!$A$2:$A$501,$S105)&amp;"")</f>
        <v/>
      </c>
      <c r="C105">
        <f>IF($S105="","",INDEX('Per Line'!$B$2:$B$501,$S105)&amp;"")</f>
        <v/>
      </c>
      <c r="D105">
        <f>IF($S105="","",INDEX('Per Line'!$C$2:$C$501,$S105)&amp;"")</f>
        <v/>
      </c>
      <c r="E105">
        <f>IF($S105="","",INDEX('Per Line'!$D$2:$D$501,$S105)&amp;"")</f>
        <v/>
      </c>
      <c r="F105">
        <f>IF($S105="","",INDEX('Per Line'!$E$2:$E$501,$S105))</f>
        <v/>
      </c>
      <c r="G105" s="7">
        <f>IF($S105="","",F105*Q105/100)</f>
        <v/>
      </c>
      <c r="H105" s="11">
        <f>IF($S105="","",INDEX('Per Line'!$O$2:$O$501,$S105))</f>
        <v/>
      </c>
      <c r="I105">
        <f>IF($S105="","",Settings!$C$7)</f>
        <v/>
      </c>
      <c r="J105" s="7">
        <f>IF($S105="","",SUMIFS('Per Line'!$K$2:$K$501,'Per Line'!$A$2:$A$501,$B105,'Per Line'!$V$2:$V$501,0))</f>
        <v/>
      </c>
      <c r="K105" s="7">
        <f>IF($S105="","",J105*I105)</f>
        <v/>
      </c>
      <c r="L105">
        <f>IF($S105="","",Settings!$C$6)</f>
        <v/>
      </c>
      <c r="M105" s="7">
        <f>IF($S105="","",SUMIFS('Per Line'!$K$2:$K$501,'Per Line'!$A$2:$A$501,$B105,'Per Line'!$V$2:$V$501,1))</f>
        <v/>
      </c>
      <c r="N105" s="7">
        <f>IF($S105="","",M105*L105)</f>
        <v/>
      </c>
      <c r="O105" s="7">
        <f>IF($S105="","",N105+K105)</f>
        <v/>
      </c>
      <c r="P105" s="7">
        <f>IF($S105="","",Q105-O105)</f>
        <v/>
      </c>
      <c r="Q105" s="7">
        <f>IF($S105="","",J105+M105)</f>
        <v/>
      </c>
      <c r="R105" s="7">
        <f>IF($S105="","",Q105-O105-G105)</f>
        <v/>
      </c>
      <c r="S105" s="13">
        <f>IF(ROWS($S$2:$S105)&lt;=MAX('Per Line'!$U$2:$U$501),MATCH(ROWS($S$2:$S105),'Per Line'!$U$2:$U$501,0),"")</f>
        <v/>
      </c>
    </row>
    <row r="106">
      <c r="A106" s="12" t="n"/>
      <c r="B106">
        <f>IF($S106="","",INDEX('Per Line'!$A$2:$A$501,$S106)&amp;"")</f>
        <v/>
      </c>
      <c r="C106">
        <f>IF($S106="","",INDEX('Per Line'!$B$2:$B$501,$S106)&amp;"")</f>
        <v/>
      </c>
      <c r="D106">
        <f>IF($S106="","",INDEX('Per Line'!$C$2:$C$501,$S106)&amp;"")</f>
        <v/>
      </c>
      <c r="E106">
        <f>IF($S106="","",INDEX('Per Line'!$D$2:$D$501,$S106)&amp;"")</f>
        <v/>
      </c>
      <c r="F106">
        <f>IF($S106="","",INDEX('Per Line'!$E$2:$E$501,$S106))</f>
        <v/>
      </c>
      <c r="G106" s="7">
        <f>IF($S106="","",F106*Q106/100)</f>
        <v/>
      </c>
      <c r="H106" s="11">
        <f>IF($S106="","",INDEX('Per Line'!$O$2:$O$501,$S106))</f>
        <v/>
      </c>
      <c r="I106">
        <f>IF($S106="","",Settings!$C$7)</f>
        <v/>
      </c>
      <c r="J106" s="7">
        <f>IF($S106="","",SUMIFS('Per Line'!$K$2:$K$501,'Per Line'!$A$2:$A$501,$B106,'Per Line'!$V$2:$V$501,0))</f>
        <v/>
      </c>
      <c r="K106" s="7">
        <f>IF($S106="","",J106*I106)</f>
        <v/>
      </c>
      <c r="L106">
        <f>IF($S106="","",Settings!$C$6)</f>
        <v/>
      </c>
      <c r="M106" s="7">
        <f>IF($S106="","",SUMIFS('Per Line'!$K$2:$K$501,'Per Line'!$A$2:$A$501,$B106,'Per Line'!$V$2:$V$501,1))</f>
        <v/>
      </c>
      <c r="N106" s="7">
        <f>IF($S106="","",M106*L106)</f>
        <v/>
      </c>
      <c r="O106" s="7">
        <f>IF($S106="","",N106+K106)</f>
        <v/>
      </c>
      <c r="P106" s="7">
        <f>IF($S106="","",Q106-O106)</f>
        <v/>
      </c>
      <c r="Q106" s="7">
        <f>IF($S106="","",J106+M106)</f>
        <v/>
      </c>
      <c r="R106" s="7">
        <f>IF($S106="","",Q106-O106-G106)</f>
        <v/>
      </c>
      <c r="S106" s="13">
        <f>IF(ROWS($S$2:$S106)&lt;=MAX('Per Line'!$U$2:$U$501),MATCH(ROWS($S$2:$S106),'Per Line'!$U$2:$U$501,0),"")</f>
        <v/>
      </c>
    </row>
    <row r="107">
      <c r="A107" s="12" t="n"/>
      <c r="B107">
        <f>IF($S107="","",INDEX('Per Line'!$A$2:$A$501,$S107)&amp;"")</f>
        <v/>
      </c>
      <c r="C107">
        <f>IF($S107="","",INDEX('Per Line'!$B$2:$B$501,$S107)&amp;"")</f>
        <v/>
      </c>
      <c r="D107">
        <f>IF($S107="","",INDEX('Per Line'!$C$2:$C$501,$S107)&amp;"")</f>
        <v/>
      </c>
      <c r="E107">
        <f>IF($S107="","",INDEX('Per Line'!$D$2:$D$501,$S107)&amp;"")</f>
        <v/>
      </c>
      <c r="F107">
        <f>IF($S107="","",INDEX('Per Line'!$E$2:$E$501,$S107))</f>
        <v/>
      </c>
      <c r="G107" s="7">
        <f>IF($S107="","",F107*Q107/100)</f>
        <v/>
      </c>
      <c r="H107" s="11">
        <f>IF($S107="","",INDEX('Per Line'!$O$2:$O$501,$S107))</f>
        <v/>
      </c>
      <c r="I107">
        <f>IF($S107="","",Settings!$C$7)</f>
        <v/>
      </c>
      <c r="J107" s="7">
        <f>IF($S107="","",SUMIFS('Per Line'!$K$2:$K$501,'Per Line'!$A$2:$A$501,$B107,'Per Line'!$V$2:$V$501,0))</f>
        <v/>
      </c>
      <c r="K107" s="7">
        <f>IF($S107="","",J107*I107)</f>
        <v/>
      </c>
      <c r="L107">
        <f>IF($S107="","",Settings!$C$6)</f>
        <v/>
      </c>
      <c r="M107" s="7">
        <f>IF($S107="","",SUMIFS('Per Line'!$K$2:$K$501,'Per Line'!$A$2:$A$501,$B107,'Per Line'!$V$2:$V$501,1))</f>
        <v/>
      </c>
      <c r="N107" s="7">
        <f>IF($S107="","",M107*L107)</f>
        <v/>
      </c>
      <c r="O107" s="7">
        <f>IF($S107="","",N107+K107)</f>
        <v/>
      </c>
      <c r="P107" s="7">
        <f>IF($S107="","",Q107-O107)</f>
        <v/>
      </c>
      <c r="Q107" s="7">
        <f>IF($S107="","",J107+M107)</f>
        <v/>
      </c>
      <c r="R107" s="7">
        <f>IF($S107="","",Q107-O107-G107)</f>
        <v/>
      </c>
      <c r="S107" s="13">
        <f>IF(ROWS($S$2:$S107)&lt;=MAX('Per Line'!$U$2:$U$501),MATCH(ROWS($S$2:$S107),'Per Line'!$U$2:$U$501,0),"")</f>
        <v/>
      </c>
    </row>
    <row r="108">
      <c r="A108" s="12" t="n"/>
      <c r="B108">
        <f>IF($S108="","",INDEX('Per Line'!$A$2:$A$501,$S108)&amp;"")</f>
        <v/>
      </c>
      <c r="C108">
        <f>IF($S108="","",INDEX('Per Line'!$B$2:$B$501,$S108)&amp;"")</f>
        <v/>
      </c>
      <c r="D108">
        <f>IF($S108="","",INDEX('Per Line'!$C$2:$C$501,$S108)&amp;"")</f>
        <v/>
      </c>
      <c r="E108">
        <f>IF($S108="","",INDEX('Per Line'!$D$2:$D$501,$S108)&amp;"")</f>
        <v/>
      </c>
      <c r="F108">
        <f>IF($S108="","",INDEX('Per Line'!$E$2:$E$501,$S108))</f>
        <v/>
      </c>
      <c r="G108" s="7">
        <f>IF($S108="","",F108*Q108/100)</f>
        <v/>
      </c>
      <c r="H108" s="11">
        <f>IF($S108="","",INDEX('Per Line'!$O$2:$O$501,$S108))</f>
        <v/>
      </c>
      <c r="I108">
        <f>IF($S108="","",Settings!$C$7)</f>
        <v/>
      </c>
      <c r="J108" s="7">
        <f>IF($S108="","",SUMIFS('Per Line'!$K$2:$K$501,'Per Line'!$A$2:$A$501,$B108,'Per Line'!$V$2:$V$501,0))</f>
        <v/>
      </c>
      <c r="K108" s="7">
        <f>IF($S108="","",J108*I108)</f>
        <v/>
      </c>
      <c r="L108">
        <f>IF($S108="","",Settings!$C$6)</f>
        <v/>
      </c>
      <c r="M108" s="7">
        <f>IF($S108="","",SUMIFS('Per Line'!$K$2:$K$501,'Per Line'!$A$2:$A$501,$B108,'Per Line'!$V$2:$V$501,1))</f>
        <v/>
      </c>
      <c r="N108" s="7">
        <f>IF($S108="","",M108*L108)</f>
        <v/>
      </c>
      <c r="O108" s="7">
        <f>IF($S108="","",N108+K108)</f>
        <v/>
      </c>
      <c r="P108" s="7">
        <f>IF($S108="","",Q108-O108)</f>
        <v/>
      </c>
      <c r="Q108" s="7">
        <f>IF($S108="","",J108+M108)</f>
        <v/>
      </c>
      <c r="R108" s="7">
        <f>IF($S108="","",Q108-O108-G108)</f>
        <v/>
      </c>
      <c r="S108" s="13">
        <f>IF(ROWS($S$2:$S108)&lt;=MAX('Per Line'!$U$2:$U$501),MATCH(ROWS($S$2:$S108),'Per Line'!$U$2:$U$501,0),"")</f>
        <v/>
      </c>
    </row>
    <row r="109">
      <c r="A109" s="12" t="n"/>
      <c r="B109">
        <f>IF($S109="","",INDEX('Per Line'!$A$2:$A$501,$S109)&amp;"")</f>
        <v/>
      </c>
      <c r="C109">
        <f>IF($S109="","",INDEX('Per Line'!$B$2:$B$501,$S109)&amp;"")</f>
        <v/>
      </c>
      <c r="D109">
        <f>IF($S109="","",INDEX('Per Line'!$C$2:$C$501,$S109)&amp;"")</f>
        <v/>
      </c>
      <c r="E109">
        <f>IF($S109="","",INDEX('Per Line'!$D$2:$D$501,$S109)&amp;"")</f>
        <v/>
      </c>
      <c r="F109">
        <f>IF($S109="","",INDEX('Per Line'!$E$2:$E$501,$S109))</f>
        <v/>
      </c>
      <c r="G109" s="7">
        <f>IF($S109="","",F109*Q109/100)</f>
        <v/>
      </c>
      <c r="H109" s="11">
        <f>IF($S109="","",INDEX('Per Line'!$O$2:$O$501,$S109))</f>
        <v/>
      </c>
      <c r="I109">
        <f>IF($S109="","",Settings!$C$7)</f>
        <v/>
      </c>
      <c r="J109" s="7">
        <f>IF($S109="","",SUMIFS('Per Line'!$K$2:$K$501,'Per Line'!$A$2:$A$501,$B109,'Per Line'!$V$2:$V$501,0))</f>
        <v/>
      </c>
      <c r="K109" s="7">
        <f>IF($S109="","",J109*I109)</f>
        <v/>
      </c>
      <c r="L109">
        <f>IF($S109="","",Settings!$C$6)</f>
        <v/>
      </c>
      <c r="M109" s="7">
        <f>IF($S109="","",SUMIFS('Per Line'!$K$2:$K$501,'Per Line'!$A$2:$A$501,$B109,'Per Line'!$V$2:$V$501,1))</f>
        <v/>
      </c>
      <c r="N109" s="7">
        <f>IF($S109="","",M109*L109)</f>
        <v/>
      </c>
      <c r="O109" s="7">
        <f>IF($S109="","",N109+K109)</f>
        <v/>
      </c>
      <c r="P109" s="7">
        <f>IF($S109="","",Q109-O109)</f>
        <v/>
      </c>
      <c r="Q109" s="7">
        <f>IF($S109="","",J109+M109)</f>
        <v/>
      </c>
      <c r="R109" s="7">
        <f>IF($S109="","",Q109-O109-G109)</f>
        <v/>
      </c>
      <c r="S109" s="13">
        <f>IF(ROWS($S$2:$S109)&lt;=MAX('Per Line'!$U$2:$U$501),MATCH(ROWS($S$2:$S109),'Per Line'!$U$2:$U$501,0),"")</f>
        <v/>
      </c>
    </row>
    <row r="110">
      <c r="A110" s="12" t="n"/>
      <c r="B110">
        <f>IF($S110="","",INDEX('Per Line'!$A$2:$A$501,$S110)&amp;"")</f>
        <v/>
      </c>
      <c r="C110">
        <f>IF($S110="","",INDEX('Per Line'!$B$2:$B$501,$S110)&amp;"")</f>
        <v/>
      </c>
      <c r="D110">
        <f>IF($S110="","",INDEX('Per Line'!$C$2:$C$501,$S110)&amp;"")</f>
        <v/>
      </c>
      <c r="E110">
        <f>IF($S110="","",INDEX('Per Line'!$D$2:$D$501,$S110)&amp;"")</f>
        <v/>
      </c>
      <c r="F110">
        <f>IF($S110="","",INDEX('Per Line'!$E$2:$E$501,$S110))</f>
        <v/>
      </c>
      <c r="G110" s="7">
        <f>IF($S110="","",F110*Q110/100)</f>
        <v/>
      </c>
      <c r="H110" s="11">
        <f>IF($S110="","",INDEX('Per Line'!$O$2:$O$501,$S110))</f>
        <v/>
      </c>
      <c r="I110">
        <f>IF($S110="","",Settings!$C$7)</f>
        <v/>
      </c>
      <c r="J110" s="7">
        <f>IF($S110="","",SUMIFS('Per Line'!$K$2:$K$501,'Per Line'!$A$2:$A$501,$B110,'Per Line'!$V$2:$V$501,0))</f>
        <v/>
      </c>
      <c r="K110" s="7">
        <f>IF($S110="","",J110*I110)</f>
        <v/>
      </c>
      <c r="L110">
        <f>IF($S110="","",Settings!$C$6)</f>
        <v/>
      </c>
      <c r="M110" s="7">
        <f>IF($S110="","",SUMIFS('Per Line'!$K$2:$K$501,'Per Line'!$A$2:$A$501,$B110,'Per Line'!$V$2:$V$501,1))</f>
        <v/>
      </c>
      <c r="N110" s="7">
        <f>IF($S110="","",M110*L110)</f>
        <v/>
      </c>
      <c r="O110" s="7">
        <f>IF($S110="","",N110+K110)</f>
        <v/>
      </c>
      <c r="P110" s="7">
        <f>IF($S110="","",Q110-O110)</f>
        <v/>
      </c>
      <c r="Q110" s="7">
        <f>IF($S110="","",J110+M110)</f>
        <v/>
      </c>
      <c r="R110" s="7">
        <f>IF($S110="","",Q110-O110-G110)</f>
        <v/>
      </c>
      <c r="S110" s="13">
        <f>IF(ROWS($S$2:$S110)&lt;=MAX('Per Line'!$U$2:$U$501),MATCH(ROWS($S$2:$S110),'Per Line'!$U$2:$U$501,0),"")</f>
        <v/>
      </c>
    </row>
    <row r="111">
      <c r="A111" s="12" t="n"/>
      <c r="B111">
        <f>IF($S111="","",INDEX('Per Line'!$A$2:$A$501,$S111)&amp;"")</f>
        <v/>
      </c>
      <c r="C111">
        <f>IF($S111="","",INDEX('Per Line'!$B$2:$B$501,$S111)&amp;"")</f>
        <v/>
      </c>
      <c r="D111">
        <f>IF($S111="","",INDEX('Per Line'!$C$2:$C$501,$S111)&amp;"")</f>
        <v/>
      </c>
      <c r="E111">
        <f>IF($S111="","",INDEX('Per Line'!$D$2:$D$501,$S111)&amp;"")</f>
        <v/>
      </c>
      <c r="F111">
        <f>IF($S111="","",INDEX('Per Line'!$E$2:$E$501,$S111))</f>
        <v/>
      </c>
      <c r="G111" s="7">
        <f>IF($S111="","",F111*Q111/100)</f>
        <v/>
      </c>
      <c r="H111" s="11">
        <f>IF($S111="","",INDEX('Per Line'!$O$2:$O$501,$S111))</f>
        <v/>
      </c>
      <c r="I111">
        <f>IF($S111="","",Settings!$C$7)</f>
        <v/>
      </c>
      <c r="J111" s="7">
        <f>IF($S111="","",SUMIFS('Per Line'!$K$2:$K$501,'Per Line'!$A$2:$A$501,$B111,'Per Line'!$V$2:$V$501,0))</f>
        <v/>
      </c>
      <c r="K111" s="7">
        <f>IF($S111="","",J111*I111)</f>
        <v/>
      </c>
      <c r="L111">
        <f>IF($S111="","",Settings!$C$6)</f>
        <v/>
      </c>
      <c r="M111" s="7">
        <f>IF($S111="","",SUMIFS('Per Line'!$K$2:$K$501,'Per Line'!$A$2:$A$501,$B111,'Per Line'!$V$2:$V$501,1))</f>
        <v/>
      </c>
      <c r="N111" s="7">
        <f>IF($S111="","",M111*L111)</f>
        <v/>
      </c>
      <c r="O111" s="7">
        <f>IF($S111="","",N111+K111)</f>
        <v/>
      </c>
      <c r="P111" s="7">
        <f>IF($S111="","",Q111-O111)</f>
        <v/>
      </c>
      <c r="Q111" s="7">
        <f>IF($S111="","",J111+M111)</f>
        <v/>
      </c>
      <c r="R111" s="7">
        <f>IF($S111="","",Q111-O111-G111)</f>
        <v/>
      </c>
      <c r="S111" s="13">
        <f>IF(ROWS($S$2:$S111)&lt;=MAX('Per Line'!$U$2:$U$501),MATCH(ROWS($S$2:$S111),'Per Line'!$U$2:$U$501,0),"")</f>
        <v/>
      </c>
    </row>
    <row r="112">
      <c r="A112" s="12" t="n"/>
      <c r="B112">
        <f>IF($S112="","",INDEX('Per Line'!$A$2:$A$501,$S112)&amp;"")</f>
        <v/>
      </c>
      <c r="C112">
        <f>IF($S112="","",INDEX('Per Line'!$B$2:$B$501,$S112)&amp;"")</f>
        <v/>
      </c>
      <c r="D112">
        <f>IF($S112="","",INDEX('Per Line'!$C$2:$C$501,$S112)&amp;"")</f>
        <v/>
      </c>
      <c r="E112">
        <f>IF($S112="","",INDEX('Per Line'!$D$2:$D$501,$S112)&amp;"")</f>
        <v/>
      </c>
      <c r="F112">
        <f>IF($S112="","",INDEX('Per Line'!$E$2:$E$501,$S112))</f>
        <v/>
      </c>
      <c r="G112" s="7">
        <f>IF($S112="","",F112*Q112/100)</f>
        <v/>
      </c>
      <c r="H112" s="11">
        <f>IF($S112="","",INDEX('Per Line'!$O$2:$O$501,$S112))</f>
        <v/>
      </c>
      <c r="I112">
        <f>IF($S112="","",Settings!$C$7)</f>
        <v/>
      </c>
      <c r="J112" s="7">
        <f>IF($S112="","",SUMIFS('Per Line'!$K$2:$K$501,'Per Line'!$A$2:$A$501,$B112,'Per Line'!$V$2:$V$501,0))</f>
        <v/>
      </c>
      <c r="K112" s="7">
        <f>IF($S112="","",J112*I112)</f>
        <v/>
      </c>
      <c r="L112">
        <f>IF($S112="","",Settings!$C$6)</f>
        <v/>
      </c>
      <c r="M112" s="7">
        <f>IF($S112="","",SUMIFS('Per Line'!$K$2:$K$501,'Per Line'!$A$2:$A$501,$B112,'Per Line'!$V$2:$V$501,1))</f>
        <v/>
      </c>
      <c r="N112" s="7">
        <f>IF($S112="","",M112*L112)</f>
        <v/>
      </c>
      <c r="O112" s="7">
        <f>IF($S112="","",N112+K112)</f>
        <v/>
      </c>
      <c r="P112" s="7">
        <f>IF($S112="","",Q112-O112)</f>
        <v/>
      </c>
      <c r="Q112" s="7">
        <f>IF($S112="","",J112+M112)</f>
        <v/>
      </c>
      <c r="R112" s="7">
        <f>IF($S112="","",Q112-O112-G112)</f>
        <v/>
      </c>
      <c r="S112" s="13">
        <f>IF(ROWS($S$2:$S112)&lt;=MAX('Per Line'!$U$2:$U$501),MATCH(ROWS($S$2:$S112),'Per Line'!$U$2:$U$501,0),"")</f>
        <v/>
      </c>
    </row>
    <row r="113">
      <c r="A113" s="12" t="n"/>
      <c r="B113">
        <f>IF($S113="","",INDEX('Per Line'!$A$2:$A$501,$S113)&amp;"")</f>
        <v/>
      </c>
      <c r="C113">
        <f>IF($S113="","",INDEX('Per Line'!$B$2:$B$501,$S113)&amp;"")</f>
        <v/>
      </c>
      <c r="D113">
        <f>IF($S113="","",INDEX('Per Line'!$C$2:$C$501,$S113)&amp;"")</f>
        <v/>
      </c>
      <c r="E113">
        <f>IF($S113="","",INDEX('Per Line'!$D$2:$D$501,$S113)&amp;"")</f>
        <v/>
      </c>
      <c r="F113">
        <f>IF($S113="","",INDEX('Per Line'!$E$2:$E$501,$S113))</f>
        <v/>
      </c>
      <c r="G113" s="7">
        <f>IF($S113="","",F113*Q113/100)</f>
        <v/>
      </c>
      <c r="H113" s="11">
        <f>IF($S113="","",INDEX('Per Line'!$O$2:$O$501,$S113))</f>
        <v/>
      </c>
      <c r="I113">
        <f>IF($S113="","",Settings!$C$7)</f>
        <v/>
      </c>
      <c r="J113" s="7">
        <f>IF($S113="","",SUMIFS('Per Line'!$K$2:$K$501,'Per Line'!$A$2:$A$501,$B113,'Per Line'!$V$2:$V$501,0))</f>
        <v/>
      </c>
      <c r="K113" s="7">
        <f>IF($S113="","",J113*I113)</f>
        <v/>
      </c>
      <c r="L113">
        <f>IF($S113="","",Settings!$C$6)</f>
        <v/>
      </c>
      <c r="M113" s="7">
        <f>IF($S113="","",SUMIFS('Per Line'!$K$2:$K$501,'Per Line'!$A$2:$A$501,$B113,'Per Line'!$V$2:$V$501,1))</f>
        <v/>
      </c>
      <c r="N113" s="7">
        <f>IF($S113="","",M113*L113)</f>
        <v/>
      </c>
      <c r="O113" s="7">
        <f>IF($S113="","",N113+K113)</f>
        <v/>
      </c>
      <c r="P113" s="7">
        <f>IF($S113="","",Q113-O113)</f>
        <v/>
      </c>
      <c r="Q113" s="7">
        <f>IF($S113="","",J113+M113)</f>
        <v/>
      </c>
      <c r="R113" s="7">
        <f>IF($S113="","",Q113-O113-G113)</f>
        <v/>
      </c>
      <c r="S113" s="13">
        <f>IF(ROWS($S$2:$S113)&lt;=MAX('Per Line'!$U$2:$U$501),MATCH(ROWS($S$2:$S113),'Per Line'!$U$2:$U$501,0),"")</f>
        <v/>
      </c>
    </row>
    <row r="114">
      <c r="A114" s="12" t="n"/>
      <c r="B114">
        <f>IF($S114="","",INDEX('Per Line'!$A$2:$A$501,$S114)&amp;"")</f>
        <v/>
      </c>
      <c r="C114">
        <f>IF($S114="","",INDEX('Per Line'!$B$2:$B$501,$S114)&amp;"")</f>
        <v/>
      </c>
      <c r="D114">
        <f>IF($S114="","",INDEX('Per Line'!$C$2:$C$501,$S114)&amp;"")</f>
        <v/>
      </c>
      <c r="E114">
        <f>IF($S114="","",INDEX('Per Line'!$D$2:$D$501,$S114)&amp;"")</f>
        <v/>
      </c>
      <c r="F114">
        <f>IF($S114="","",INDEX('Per Line'!$E$2:$E$501,$S114))</f>
        <v/>
      </c>
      <c r="G114" s="7">
        <f>IF($S114="","",F114*Q114/100)</f>
        <v/>
      </c>
      <c r="H114" s="11">
        <f>IF($S114="","",INDEX('Per Line'!$O$2:$O$501,$S114))</f>
        <v/>
      </c>
      <c r="I114">
        <f>IF($S114="","",Settings!$C$7)</f>
        <v/>
      </c>
      <c r="J114" s="7">
        <f>IF($S114="","",SUMIFS('Per Line'!$K$2:$K$501,'Per Line'!$A$2:$A$501,$B114,'Per Line'!$V$2:$V$501,0))</f>
        <v/>
      </c>
      <c r="K114" s="7">
        <f>IF($S114="","",J114*I114)</f>
        <v/>
      </c>
      <c r="L114">
        <f>IF($S114="","",Settings!$C$6)</f>
        <v/>
      </c>
      <c r="M114" s="7">
        <f>IF($S114="","",SUMIFS('Per Line'!$K$2:$K$501,'Per Line'!$A$2:$A$501,$B114,'Per Line'!$V$2:$V$501,1))</f>
        <v/>
      </c>
      <c r="N114" s="7">
        <f>IF($S114="","",M114*L114)</f>
        <v/>
      </c>
      <c r="O114" s="7">
        <f>IF($S114="","",N114+K114)</f>
        <v/>
      </c>
      <c r="P114" s="7">
        <f>IF($S114="","",Q114-O114)</f>
        <v/>
      </c>
      <c r="Q114" s="7">
        <f>IF($S114="","",J114+M114)</f>
        <v/>
      </c>
      <c r="R114" s="7">
        <f>IF($S114="","",Q114-O114-G114)</f>
        <v/>
      </c>
      <c r="S114" s="13">
        <f>IF(ROWS($S$2:$S114)&lt;=MAX('Per Line'!$U$2:$U$501),MATCH(ROWS($S$2:$S114),'Per Line'!$U$2:$U$501,0),"")</f>
        <v/>
      </c>
    </row>
    <row r="115">
      <c r="A115" s="12" t="n"/>
      <c r="B115">
        <f>IF($S115="","",INDEX('Per Line'!$A$2:$A$501,$S115)&amp;"")</f>
        <v/>
      </c>
      <c r="C115">
        <f>IF($S115="","",INDEX('Per Line'!$B$2:$B$501,$S115)&amp;"")</f>
        <v/>
      </c>
      <c r="D115">
        <f>IF($S115="","",INDEX('Per Line'!$C$2:$C$501,$S115)&amp;"")</f>
        <v/>
      </c>
      <c r="E115">
        <f>IF($S115="","",INDEX('Per Line'!$D$2:$D$501,$S115)&amp;"")</f>
        <v/>
      </c>
      <c r="F115">
        <f>IF($S115="","",INDEX('Per Line'!$E$2:$E$501,$S115))</f>
        <v/>
      </c>
      <c r="G115" s="7">
        <f>IF($S115="","",F115*Q115/100)</f>
        <v/>
      </c>
      <c r="H115" s="11">
        <f>IF($S115="","",INDEX('Per Line'!$O$2:$O$501,$S115))</f>
        <v/>
      </c>
      <c r="I115">
        <f>IF($S115="","",Settings!$C$7)</f>
        <v/>
      </c>
      <c r="J115" s="7">
        <f>IF($S115="","",SUMIFS('Per Line'!$K$2:$K$501,'Per Line'!$A$2:$A$501,$B115,'Per Line'!$V$2:$V$501,0))</f>
        <v/>
      </c>
      <c r="K115" s="7">
        <f>IF($S115="","",J115*I115)</f>
        <v/>
      </c>
      <c r="L115">
        <f>IF($S115="","",Settings!$C$6)</f>
        <v/>
      </c>
      <c r="M115" s="7">
        <f>IF($S115="","",SUMIFS('Per Line'!$K$2:$K$501,'Per Line'!$A$2:$A$501,$B115,'Per Line'!$V$2:$V$501,1))</f>
        <v/>
      </c>
      <c r="N115" s="7">
        <f>IF($S115="","",M115*L115)</f>
        <v/>
      </c>
      <c r="O115" s="7">
        <f>IF($S115="","",N115+K115)</f>
        <v/>
      </c>
      <c r="P115" s="7">
        <f>IF($S115="","",Q115-O115)</f>
        <v/>
      </c>
      <c r="Q115" s="7">
        <f>IF($S115="","",J115+M115)</f>
        <v/>
      </c>
      <c r="R115" s="7">
        <f>IF($S115="","",Q115-O115-G115)</f>
        <v/>
      </c>
      <c r="S115" s="13">
        <f>IF(ROWS($S$2:$S115)&lt;=MAX('Per Line'!$U$2:$U$501),MATCH(ROWS($S$2:$S115),'Per Line'!$U$2:$U$501,0),"")</f>
        <v/>
      </c>
    </row>
    <row r="116">
      <c r="A116" s="12" t="n"/>
      <c r="B116">
        <f>IF($S116="","",INDEX('Per Line'!$A$2:$A$501,$S116)&amp;"")</f>
        <v/>
      </c>
      <c r="C116">
        <f>IF($S116="","",INDEX('Per Line'!$B$2:$B$501,$S116)&amp;"")</f>
        <v/>
      </c>
      <c r="D116">
        <f>IF($S116="","",INDEX('Per Line'!$C$2:$C$501,$S116)&amp;"")</f>
        <v/>
      </c>
      <c r="E116">
        <f>IF($S116="","",INDEX('Per Line'!$D$2:$D$501,$S116)&amp;"")</f>
        <v/>
      </c>
      <c r="F116">
        <f>IF($S116="","",INDEX('Per Line'!$E$2:$E$501,$S116))</f>
        <v/>
      </c>
      <c r="G116" s="7">
        <f>IF($S116="","",F116*Q116/100)</f>
        <v/>
      </c>
      <c r="H116" s="11">
        <f>IF($S116="","",INDEX('Per Line'!$O$2:$O$501,$S116))</f>
        <v/>
      </c>
      <c r="I116">
        <f>IF($S116="","",Settings!$C$7)</f>
        <v/>
      </c>
      <c r="J116" s="7">
        <f>IF($S116="","",SUMIFS('Per Line'!$K$2:$K$501,'Per Line'!$A$2:$A$501,$B116,'Per Line'!$V$2:$V$501,0))</f>
        <v/>
      </c>
      <c r="K116" s="7">
        <f>IF($S116="","",J116*I116)</f>
        <v/>
      </c>
      <c r="L116">
        <f>IF($S116="","",Settings!$C$6)</f>
        <v/>
      </c>
      <c r="M116" s="7">
        <f>IF($S116="","",SUMIFS('Per Line'!$K$2:$K$501,'Per Line'!$A$2:$A$501,$B116,'Per Line'!$V$2:$V$501,1))</f>
        <v/>
      </c>
      <c r="N116" s="7">
        <f>IF($S116="","",M116*L116)</f>
        <v/>
      </c>
      <c r="O116" s="7">
        <f>IF($S116="","",N116+K116)</f>
        <v/>
      </c>
      <c r="P116" s="7">
        <f>IF($S116="","",Q116-O116)</f>
        <v/>
      </c>
      <c r="Q116" s="7">
        <f>IF($S116="","",J116+M116)</f>
        <v/>
      </c>
      <c r="R116" s="7">
        <f>IF($S116="","",Q116-O116-G116)</f>
        <v/>
      </c>
      <c r="S116" s="13">
        <f>IF(ROWS($S$2:$S116)&lt;=MAX('Per Line'!$U$2:$U$501),MATCH(ROWS($S$2:$S116),'Per Line'!$U$2:$U$501,0),"")</f>
        <v/>
      </c>
    </row>
    <row r="117">
      <c r="A117" s="12" t="n"/>
      <c r="B117">
        <f>IF($S117="","",INDEX('Per Line'!$A$2:$A$501,$S117)&amp;"")</f>
        <v/>
      </c>
      <c r="C117">
        <f>IF($S117="","",INDEX('Per Line'!$B$2:$B$501,$S117)&amp;"")</f>
        <v/>
      </c>
      <c r="D117">
        <f>IF($S117="","",INDEX('Per Line'!$C$2:$C$501,$S117)&amp;"")</f>
        <v/>
      </c>
      <c r="E117">
        <f>IF($S117="","",INDEX('Per Line'!$D$2:$D$501,$S117)&amp;"")</f>
        <v/>
      </c>
      <c r="F117">
        <f>IF($S117="","",INDEX('Per Line'!$E$2:$E$501,$S117))</f>
        <v/>
      </c>
      <c r="G117" s="7">
        <f>IF($S117="","",F117*Q117/100)</f>
        <v/>
      </c>
      <c r="H117" s="11">
        <f>IF($S117="","",INDEX('Per Line'!$O$2:$O$501,$S117))</f>
        <v/>
      </c>
      <c r="I117">
        <f>IF($S117="","",Settings!$C$7)</f>
        <v/>
      </c>
      <c r="J117" s="7">
        <f>IF($S117="","",SUMIFS('Per Line'!$K$2:$K$501,'Per Line'!$A$2:$A$501,$B117,'Per Line'!$V$2:$V$501,0))</f>
        <v/>
      </c>
      <c r="K117" s="7">
        <f>IF($S117="","",J117*I117)</f>
        <v/>
      </c>
      <c r="L117">
        <f>IF($S117="","",Settings!$C$6)</f>
        <v/>
      </c>
      <c r="M117" s="7">
        <f>IF($S117="","",SUMIFS('Per Line'!$K$2:$K$501,'Per Line'!$A$2:$A$501,$B117,'Per Line'!$V$2:$V$501,1))</f>
        <v/>
      </c>
      <c r="N117" s="7">
        <f>IF($S117="","",M117*L117)</f>
        <v/>
      </c>
      <c r="O117" s="7">
        <f>IF($S117="","",N117+K117)</f>
        <v/>
      </c>
      <c r="P117" s="7">
        <f>IF($S117="","",Q117-O117)</f>
        <v/>
      </c>
      <c r="Q117" s="7">
        <f>IF($S117="","",J117+M117)</f>
        <v/>
      </c>
      <c r="R117" s="7">
        <f>IF($S117="","",Q117-O117-G117)</f>
        <v/>
      </c>
      <c r="S117" s="13">
        <f>IF(ROWS($S$2:$S117)&lt;=MAX('Per Line'!$U$2:$U$501),MATCH(ROWS($S$2:$S117),'Per Line'!$U$2:$U$501,0),"")</f>
        <v/>
      </c>
    </row>
    <row r="118">
      <c r="A118" s="12" t="n"/>
      <c r="B118">
        <f>IF($S118="","",INDEX('Per Line'!$A$2:$A$501,$S118)&amp;"")</f>
        <v/>
      </c>
      <c r="C118">
        <f>IF($S118="","",INDEX('Per Line'!$B$2:$B$501,$S118)&amp;"")</f>
        <v/>
      </c>
      <c r="D118">
        <f>IF($S118="","",INDEX('Per Line'!$C$2:$C$501,$S118)&amp;"")</f>
        <v/>
      </c>
      <c r="E118">
        <f>IF($S118="","",INDEX('Per Line'!$D$2:$D$501,$S118)&amp;"")</f>
        <v/>
      </c>
      <c r="F118">
        <f>IF($S118="","",INDEX('Per Line'!$E$2:$E$501,$S118))</f>
        <v/>
      </c>
      <c r="G118" s="7">
        <f>IF($S118="","",F118*Q118/100)</f>
        <v/>
      </c>
      <c r="H118" s="11">
        <f>IF($S118="","",INDEX('Per Line'!$O$2:$O$501,$S118))</f>
        <v/>
      </c>
      <c r="I118">
        <f>IF($S118="","",Settings!$C$7)</f>
        <v/>
      </c>
      <c r="J118" s="7">
        <f>IF($S118="","",SUMIFS('Per Line'!$K$2:$K$501,'Per Line'!$A$2:$A$501,$B118,'Per Line'!$V$2:$V$501,0))</f>
        <v/>
      </c>
      <c r="K118" s="7">
        <f>IF($S118="","",J118*I118)</f>
        <v/>
      </c>
      <c r="L118">
        <f>IF($S118="","",Settings!$C$6)</f>
        <v/>
      </c>
      <c r="M118" s="7">
        <f>IF($S118="","",SUMIFS('Per Line'!$K$2:$K$501,'Per Line'!$A$2:$A$501,$B118,'Per Line'!$V$2:$V$501,1))</f>
        <v/>
      </c>
      <c r="N118" s="7">
        <f>IF($S118="","",M118*L118)</f>
        <v/>
      </c>
      <c r="O118" s="7">
        <f>IF($S118="","",N118+K118)</f>
        <v/>
      </c>
      <c r="P118" s="7">
        <f>IF($S118="","",Q118-O118)</f>
        <v/>
      </c>
      <c r="Q118" s="7">
        <f>IF($S118="","",J118+M118)</f>
        <v/>
      </c>
      <c r="R118" s="7">
        <f>IF($S118="","",Q118-O118-G118)</f>
        <v/>
      </c>
      <c r="S118" s="13">
        <f>IF(ROWS($S$2:$S118)&lt;=MAX('Per Line'!$U$2:$U$501),MATCH(ROWS($S$2:$S118),'Per Line'!$U$2:$U$501,0),"")</f>
        <v/>
      </c>
    </row>
    <row r="119">
      <c r="A119" s="12" t="n"/>
      <c r="B119">
        <f>IF($S119="","",INDEX('Per Line'!$A$2:$A$501,$S119)&amp;"")</f>
        <v/>
      </c>
      <c r="C119">
        <f>IF($S119="","",INDEX('Per Line'!$B$2:$B$501,$S119)&amp;"")</f>
        <v/>
      </c>
      <c r="D119">
        <f>IF($S119="","",INDEX('Per Line'!$C$2:$C$501,$S119)&amp;"")</f>
        <v/>
      </c>
      <c r="E119">
        <f>IF($S119="","",INDEX('Per Line'!$D$2:$D$501,$S119)&amp;"")</f>
        <v/>
      </c>
      <c r="F119">
        <f>IF($S119="","",INDEX('Per Line'!$E$2:$E$501,$S119))</f>
        <v/>
      </c>
      <c r="G119" s="7">
        <f>IF($S119="","",F119*Q119/100)</f>
        <v/>
      </c>
      <c r="H119" s="11">
        <f>IF($S119="","",INDEX('Per Line'!$O$2:$O$501,$S119))</f>
        <v/>
      </c>
      <c r="I119">
        <f>IF($S119="","",Settings!$C$7)</f>
        <v/>
      </c>
      <c r="J119" s="7">
        <f>IF($S119="","",SUMIFS('Per Line'!$K$2:$K$501,'Per Line'!$A$2:$A$501,$B119,'Per Line'!$V$2:$V$501,0))</f>
        <v/>
      </c>
      <c r="K119" s="7">
        <f>IF($S119="","",J119*I119)</f>
        <v/>
      </c>
      <c r="L119">
        <f>IF($S119="","",Settings!$C$6)</f>
        <v/>
      </c>
      <c r="M119" s="7">
        <f>IF($S119="","",SUMIFS('Per Line'!$K$2:$K$501,'Per Line'!$A$2:$A$501,$B119,'Per Line'!$V$2:$V$501,1))</f>
        <v/>
      </c>
      <c r="N119" s="7">
        <f>IF($S119="","",M119*L119)</f>
        <v/>
      </c>
      <c r="O119" s="7">
        <f>IF($S119="","",N119+K119)</f>
        <v/>
      </c>
      <c r="P119" s="7">
        <f>IF($S119="","",Q119-O119)</f>
        <v/>
      </c>
      <c r="Q119" s="7">
        <f>IF($S119="","",J119+M119)</f>
        <v/>
      </c>
      <c r="R119" s="7">
        <f>IF($S119="","",Q119-O119-G119)</f>
        <v/>
      </c>
      <c r="S119" s="13">
        <f>IF(ROWS($S$2:$S119)&lt;=MAX('Per Line'!$U$2:$U$501),MATCH(ROWS($S$2:$S119),'Per Line'!$U$2:$U$501,0),"")</f>
        <v/>
      </c>
    </row>
    <row r="120">
      <c r="A120" s="12" t="n"/>
      <c r="B120">
        <f>IF($S120="","",INDEX('Per Line'!$A$2:$A$501,$S120)&amp;"")</f>
        <v/>
      </c>
      <c r="C120">
        <f>IF($S120="","",INDEX('Per Line'!$B$2:$B$501,$S120)&amp;"")</f>
        <v/>
      </c>
      <c r="D120">
        <f>IF($S120="","",INDEX('Per Line'!$C$2:$C$501,$S120)&amp;"")</f>
        <v/>
      </c>
      <c r="E120">
        <f>IF($S120="","",INDEX('Per Line'!$D$2:$D$501,$S120)&amp;"")</f>
        <v/>
      </c>
      <c r="F120">
        <f>IF($S120="","",INDEX('Per Line'!$E$2:$E$501,$S120))</f>
        <v/>
      </c>
      <c r="G120" s="7">
        <f>IF($S120="","",F120*Q120/100)</f>
        <v/>
      </c>
      <c r="H120" s="11">
        <f>IF($S120="","",INDEX('Per Line'!$O$2:$O$501,$S120))</f>
        <v/>
      </c>
      <c r="I120">
        <f>IF($S120="","",Settings!$C$7)</f>
        <v/>
      </c>
      <c r="J120" s="7">
        <f>IF($S120="","",SUMIFS('Per Line'!$K$2:$K$501,'Per Line'!$A$2:$A$501,$B120,'Per Line'!$V$2:$V$501,0))</f>
        <v/>
      </c>
      <c r="K120" s="7">
        <f>IF($S120="","",J120*I120)</f>
        <v/>
      </c>
      <c r="L120">
        <f>IF($S120="","",Settings!$C$6)</f>
        <v/>
      </c>
      <c r="M120" s="7">
        <f>IF($S120="","",SUMIFS('Per Line'!$K$2:$K$501,'Per Line'!$A$2:$A$501,$B120,'Per Line'!$V$2:$V$501,1))</f>
        <v/>
      </c>
      <c r="N120" s="7">
        <f>IF($S120="","",M120*L120)</f>
        <v/>
      </c>
      <c r="O120" s="7">
        <f>IF($S120="","",N120+K120)</f>
        <v/>
      </c>
      <c r="P120" s="7">
        <f>IF($S120="","",Q120-O120)</f>
        <v/>
      </c>
      <c r="Q120" s="7">
        <f>IF($S120="","",J120+M120)</f>
        <v/>
      </c>
      <c r="R120" s="7">
        <f>IF($S120="","",Q120-O120-G120)</f>
        <v/>
      </c>
      <c r="S120" s="13">
        <f>IF(ROWS($S$2:$S120)&lt;=MAX('Per Line'!$U$2:$U$501),MATCH(ROWS($S$2:$S120),'Per Line'!$U$2:$U$501,0),"")</f>
        <v/>
      </c>
    </row>
    <row r="121">
      <c r="A121" s="12" t="n"/>
      <c r="B121">
        <f>IF($S121="","",INDEX('Per Line'!$A$2:$A$501,$S121)&amp;"")</f>
        <v/>
      </c>
      <c r="C121">
        <f>IF($S121="","",INDEX('Per Line'!$B$2:$B$501,$S121)&amp;"")</f>
        <v/>
      </c>
      <c r="D121">
        <f>IF($S121="","",INDEX('Per Line'!$C$2:$C$501,$S121)&amp;"")</f>
        <v/>
      </c>
      <c r="E121">
        <f>IF($S121="","",INDEX('Per Line'!$D$2:$D$501,$S121)&amp;"")</f>
        <v/>
      </c>
      <c r="F121">
        <f>IF($S121="","",INDEX('Per Line'!$E$2:$E$501,$S121))</f>
        <v/>
      </c>
      <c r="G121" s="7">
        <f>IF($S121="","",F121*Q121/100)</f>
        <v/>
      </c>
      <c r="H121" s="11">
        <f>IF($S121="","",INDEX('Per Line'!$O$2:$O$501,$S121))</f>
        <v/>
      </c>
      <c r="I121">
        <f>IF($S121="","",Settings!$C$7)</f>
        <v/>
      </c>
      <c r="J121" s="7">
        <f>IF($S121="","",SUMIFS('Per Line'!$K$2:$K$501,'Per Line'!$A$2:$A$501,$B121,'Per Line'!$V$2:$V$501,0))</f>
        <v/>
      </c>
      <c r="K121" s="7">
        <f>IF($S121="","",J121*I121)</f>
        <v/>
      </c>
      <c r="L121">
        <f>IF($S121="","",Settings!$C$6)</f>
        <v/>
      </c>
      <c r="M121" s="7">
        <f>IF($S121="","",SUMIFS('Per Line'!$K$2:$K$501,'Per Line'!$A$2:$A$501,$B121,'Per Line'!$V$2:$V$501,1))</f>
        <v/>
      </c>
      <c r="N121" s="7">
        <f>IF($S121="","",M121*L121)</f>
        <v/>
      </c>
      <c r="O121" s="7">
        <f>IF($S121="","",N121+K121)</f>
        <v/>
      </c>
      <c r="P121" s="7">
        <f>IF($S121="","",Q121-O121)</f>
        <v/>
      </c>
      <c r="Q121" s="7">
        <f>IF($S121="","",J121+M121)</f>
        <v/>
      </c>
      <c r="R121" s="7">
        <f>IF($S121="","",Q121-O121-G121)</f>
        <v/>
      </c>
      <c r="S121" s="13">
        <f>IF(ROWS($S$2:$S121)&lt;=MAX('Per Line'!$U$2:$U$501),MATCH(ROWS($S$2:$S121),'Per Line'!$U$2:$U$501,0),"")</f>
        <v/>
      </c>
    </row>
    <row r="122">
      <c r="A122" s="12" t="n"/>
      <c r="B122">
        <f>IF($S122="","",INDEX('Per Line'!$A$2:$A$501,$S122)&amp;"")</f>
        <v/>
      </c>
      <c r="C122">
        <f>IF($S122="","",INDEX('Per Line'!$B$2:$B$501,$S122)&amp;"")</f>
        <v/>
      </c>
      <c r="D122">
        <f>IF($S122="","",INDEX('Per Line'!$C$2:$C$501,$S122)&amp;"")</f>
        <v/>
      </c>
      <c r="E122">
        <f>IF($S122="","",INDEX('Per Line'!$D$2:$D$501,$S122)&amp;"")</f>
        <v/>
      </c>
      <c r="F122">
        <f>IF($S122="","",INDEX('Per Line'!$E$2:$E$501,$S122))</f>
        <v/>
      </c>
      <c r="G122" s="7">
        <f>IF($S122="","",F122*Q122/100)</f>
        <v/>
      </c>
      <c r="H122" s="11">
        <f>IF($S122="","",INDEX('Per Line'!$O$2:$O$501,$S122))</f>
        <v/>
      </c>
      <c r="I122">
        <f>IF($S122="","",Settings!$C$7)</f>
        <v/>
      </c>
      <c r="J122" s="7">
        <f>IF($S122="","",SUMIFS('Per Line'!$K$2:$K$501,'Per Line'!$A$2:$A$501,$B122,'Per Line'!$V$2:$V$501,0))</f>
        <v/>
      </c>
      <c r="K122" s="7">
        <f>IF($S122="","",J122*I122)</f>
        <v/>
      </c>
      <c r="L122">
        <f>IF($S122="","",Settings!$C$6)</f>
        <v/>
      </c>
      <c r="M122" s="7">
        <f>IF($S122="","",SUMIFS('Per Line'!$K$2:$K$501,'Per Line'!$A$2:$A$501,$B122,'Per Line'!$V$2:$V$501,1))</f>
        <v/>
      </c>
      <c r="N122" s="7">
        <f>IF($S122="","",M122*L122)</f>
        <v/>
      </c>
      <c r="O122" s="7">
        <f>IF($S122="","",N122+K122)</f>
        <v/>
      </c>
      <c r="P122" s="7">
        <f>IF($S122="","",Q122-O122)</f>
        <v/>
      </c>
      <c r="Q122" s="7">
        <f>IF($S122="","",J122+M122)</f>
        <v/>
      </c>
      <c r="R122" s="7">
        <f>IF($S122="","",Q122-O122-G122)</f>
        <v/>
      </c>
      <c r="S122" s="13">
        <f>IF(ROWS($S$2:$S122)&lt;=MAX('Per Line'!$U$2:$U$501),MATCH(ROWS($S$2:$S122),'Per Line'!$U$2:$U$501,0),"")</f>
        <v/>
      </c>
    </row>
    <row r="123">
      <c r="A123" s="12" t="n"/>
      <c r="B123">
        <f>IF($S123="","",INDEX('Per Line'!$A$2:$A$501,$S123)&amp;"")</f>
        <v/>
      </c>
      <c r="C123">
        <f>IF($S123="","",INDEX('Per Line'!$B$2:$B$501,$S123)&amp;"")</f>
        <v/>
      </c>
      <c r="D123">
        <f>IF($S123="","",INDEX('Per Line'!$C$2:$C$501,$S123)&amp;"")</f>
        <v/>
      </c>
      <c r="E123">
        <f>IF($S123="","",INDEX('Per Line'!$D$2:$D$501,$S123)&amp;"")</f>
        <v/>
      </c>
      <c r="F123">
        <f>IF($S123="","",INDEX('Per Line'!$E$2:$E$501,$S123))</f>
        <v/>
      </c>
      <c r="G123" s="7">
        <f>IF($S123="","",F123*Q123/100)</f>
        <v/>
      </c>
      <c r="H123" s="11">
        <f>IF($S123="","",INDEX('Per Line'!$O$2:$O$501,$S123))</f>
        <v/>
      </c>
      <c r="I123">
        <f>IF($S123="","",Settings!$C$7)</f>
        <v/>
      </c>
      <c r="J123" s="7">
        <f>IF($S123="","",SUMIFS('Per Line'!$K$2:$K$501,'Per Line'!$A$2:$A$501,$B123,'Per Line'!$V$2:$V$501,0))</f>
        <v/>
      </c>
      <c r="K123" s="7">
        <f>IF($S123="","",J123*I123)</f>
        <v/>
      </c>
      <c r="L123">
        <f>IF($S123="","",Settings!$C$6)</f>
        <v/>
      </c>
      <c r="M123" s="7">
        <f>IF($S123="","",SUMIFS('Per Line'!$K$2:$K$501,'Per Line'!$A$2:$A$501,$B123,'Per Line'!$V$2:$V$501,1))</f>
        <v/>
      </c>
      <c r="N123" s="7">
        <f>IF($S123="","",M123*L123)</f>
        <v/>
      </c>
      <c r="O123" s="7">
        <f>IF($S123="","",N123+K123)</f>
        <v/>
      </c>
      <c r="P123" s="7">
        <f>IF($S123="","",Q123-O123)</f>
        <v/>
      </c>
      <c r="Q123" s="7">
        <f>IF($S123="","",J123+M123)</f>
        <v/>
      </c>
      <c r="R123" s="7">
        <f>IF($S123="","",Q123-O123-G123)</f>
        <v/>
      </c>
      <c r="S123" s="13">
        <f>IF(ROWS($S$2:$S123)&lt;=MAX('Per Line'!$U$2:$U$501),MATCH(ROWS($S$2:$S123),'Per Line'!$U$2:$U$501,0),"")</f>
        <v/>
      </c>
    </row>
    <row r="124">
      <c r="A124" s="12" t="n"/>
      <c r="B124">
        <f>IF($S124="","",INDEX('Per Line'!$A$2:$A$501,$S124)&amp;"")</f>
        <v/>
      </c>
      <c r="C124">
        <f>IF($S124="","",INDEX('Per Line'!$B$2:$B$501,$S124)&amp;"")</f>
        <v/>
      </c>
      <c r="D124">
        <f>IF($S124="","",INDEX('Per Line'!$C$2:$C$501,$S124)&amp;"")</f>
        <v/>
      </c>
      <c r="E124">
        <f>IF($S124="","",INDEX('Per Line'!$D$2:$D$501,$S124)&amp;"")</f>
        <v/>
      </c>
      <c r="F124">
        <f>IF($S124="","",INDEX('Per Line'!$E$2:$E$501,$S124))</f>
        <v/>
      </c>
      <c r="G124" s="7">
        <f>IF($S124="","",F124*Q124/100)</f>
        <v/>
      </c>
      <c r="H124" s="11">
        <f>IF($S124="","",INDEX('Per Line'!$O$2:$O$501,$S124))</f>
        <v/>
      </c>
      <c r="I124">
        <f>IF($S124="","",Settings!$C$7)</f>
        <v/>
      </c>
      <c r="J124" s="7">
        <f>IF($S124="","",SUMIFS('Per Line'!$K$2:$K$501,'Per Line'!$A$2:$A$501,$B124,'Per Line'!$V$2:$V$501,0))</f>
        <v/>
      </c>
      <c r="K124" s="7">
        <f>IF($S124="","",J124*I124)</f>
        <v/>
      </c>
      <c r="L124">
        <f>IF($S124="","",Settings!$C$6)</f>
        <v/>
      </c>
      <c r="M124" s="7">
        <f>IF($S124="","",SUMIFS('Per Line'!$K$2:$K$501,'Per Line'!$A$2:$A$501,$B124,'Per Line'!$V$2:$V$501,1))</f>
        <v/>
      </c>
      <c r="N124" s="7">
        <f>IF($S124="","",M124*L124)</f>
        <v/>
      </c>
      <c r="O124" s="7">
        <f>IF($S124="","",N124+K124)</f>
        <v/>
      </c>
      <c r="P124" s="7">
        <f>IF($S124="","",Q124-O124)</f>
        <v/>
      </c>
      <c r="Q124" s="7">
        <f>IF($S124="","",J124+M124)</f>
        <v/>
      </c>
      <c r="R124" s="7">
        <f>IF($S124="","",Q124-O124-G124)</f>
        <v/>
      </c>
      <c r="S124" s="13">
        <f>IF(ROWS($S$2:$S124)&lt;=MAX('Per Line'!$U$2:$U$501),MATCH(ROWS($S$2:$S124),'Per Line'!$U$2:$U$501,0),"")</f>
        <v/>
      </c>
    </row>
    <row r="125">
      <c r="A125" s="12" t="n"/>
      <c r="B125">
        <f>IF($S125="","",INDEX('Per Line'!$A$2:$A$501,$S125)&amp;"")</f>
        <v/>
      </c>
      <c r="C125">
        <f>IF($S125="","",INDEX('Per Line'!$B$2:$B$501,$S125)&amp;"")</f>
        <v/>
      </c>
      <c r="D125">
        <f>IF($S125="","",INDEX('Per Line'!$C$2:$C$501,$S125)&amp;"")</f>
        <v/>
      </c>
      <c r="E125">
        <f>IF($S125="","",INDEX('Per Line'!$D$2:$D$501,$S125)&amp;"")</f>
        <v/>
      </c>
      <c r="F125">
        <f>IF($S125="","",INDEX('Per Line'!$E$2:$E$501,$S125))</f>
        <v/>
      </c>
      <c r="G125" s="7">
        <f>IF($S125="","",F125*Q125/100)</f>
        <v/>
      </c>
      <c r="H125" s="11">
        <f>IF($S125="","",INDEX('Per Line'!$O$2:$O$501,$S125))</f>
        <v/>
      </c>
      <c r="I125">
        <f>IF($S125="","",Settings!$C$7)</f>
        <v/>
      </c>
      <c r="J125" s="7">
        <f>IF($S125="","",SUMIFS('Per Line'!$K$2:$K$501,'Per Line'!$A$2:$A$501,$B125,'Per Line'!$V$2:$V$501,0))</f>
        <v/>
      </c>
      <c r="K125" s="7">
        <f>IF($S125="","",J125*I125)</f>
        <v/>
      </c>
      <c r="L125">
        <f>IF($S125="","",Settings!$C$6)</f>
        <v/>
      </c>
      <c r="M125" s="7">
        <f>IF($S125="","",SUMIFS('Per Line'!$K$2:$K$501,'Per Line'!$A$2:$A$501,$B125,'Per Line'!$V$2:$V$501,1))</f>
        <v/>
      </c>
      <c r="N125" s="7">
        <f>IF($S125="","",M125*L125)</f>
        <v/>
      </c>
      <c r="O125" s="7">
        <f>IF($S125="","",N125+K125)</f>
        <v/>
      </c>
      <c r="P125" s="7">
        <f>IF($S125="","",Q125-O125)</f>
        <v/>
      </c>
      <c r="Q125" s="7">
        <f>IF($S125="","",J125+M125)</f>
        <v/>
      </c>
      <c r="R125" s="7">
        <f>IF($S125="","",Q125-O125-G125)</f>
        <v/>
      </c>
      <c r="S125" s="13">
        <f>IF(ROWS($S$2:$S125)&lt;=MAX('Per Line'!$U$2:$U$501),MATCH(ROWS($S$2:$S125),'Per Line'!$U$2:$U$501,0),"")</f>
        <v/>
      </c>
    </row>
    <row r="126">
      <c r="A126" s="12" t="n"/>
      <c r="B126">
        <f>IF($S126="","",INDEX('Per Line'!$A$2:$A$501,$S126)&amp;"")</f>
        <v/>
      </c>
      <c r="C126">
        <f>IF($S126="","",INDEX('Per Line'!$B$2:$B$501,$S126)&amp;"")</f>
        <v/>
      </c>
      <c r="D126">
        <f>IF($S126="","",INDEX('Per Line'!$C$2:$C$501,$S126)&amp;"")</f>
        <v/>
      </c>
      <c r="E126">
        <f>IF($S126="","",INDEX('Per Line'!$D$2:$D$501,$S126)&amp;"")</f>
        <v/>
      </c>
      <c r="F126">
        <f>IF($S126="","",INDEX('Per Line'!$E$2:$E$501,$S126))</f>
        <v/>
      </c>
      <c r="G126" s="7">
        <f>IF($S126="","",F126*Q126/100)</f>
        <v/>
      </c>
      <c r="H126" s="11">
        <f>IF($S126="","",INDEX('Per Line'!$O$2:$O$501,$S126))</f>
        <v/>
      </c>
      <c r="I126">
        <f>IF($S126="","",Settings!$C$7)</f>
        <v/>
      </c>
      <c r="J126" s="7">
        <f>IF($S126="","",SUMIFS('Per Line'!$K$2:$K$501,'Per Line'!$A$2:$A$501,$B126,'Per Line'!$V$2:$V$501,0))</f>
        <v/>
      </c>
      <c r="K126" s="7">
        <f>IF($S126="","",J126*I126)</f>
        <v/>
      </c>
      <c r="L126">
        <f>IF($S126="","",Settings!$C$6)</f>
        <v/>
      </c>
      <c r="M126" s="7">
        <f>IF($S126="","",SUMIFS('Per Line'!$K$2:$K$501,'Per Line'!$A$2:$A$501,$B126,'Per Line'!$V$2:$V$501,1))</f>
        <v/>
      </c>
      <c r="N126" s="7">
        <f>IF($S126="","",M126*L126)</f>
        <v/>
      </c>
      <c r="O126" s="7">
        <f>IF($S126="","",N126+K126)</f>
        <v/>
      </c>
      <c r="P126" s="7">
        <f>IF($S126="","",Q126-O126)</f>
        <v/>
      </c>
      <c r="Q126" s="7">
        <f>IF($S126="","",J126+M126)</f>
        <v/>
      </c>
      <c r="R126" s="7">
        <f>IF($S126="","",Q126-O126-G126)</f>
        <v/>
      </c>
      <c r="S126" s="13">
        <f>IF(ROWS($S$2:$S126)&lt;=MAX('Per Line'!$U$2:$U$501),MATCH(ROWS($S$2:$S126),'Per Line'!$U$2:$U$501,0),"")</f>
        <v/>
      </c>
    </row>
    <row r="127">
      <c r="A127" s="12" t="n"/>
      <c r="B127">
        <f>IF($S127="","",INDEX('Per Line'!$A$2:$A$501,$S127)&amp;"")</f>
        <v/>
      </c>
      <c r="C127">
        <f>IF($S127="","",INDEX('Per Line'!$B$2:$B$501,$S127)&amp;"")</f>
        <v/>
      </c>
      <c r="D127">
        <f>IF($S127="","",INDEX('Per Line'!$C$2:$C$501,$S127)&amp;"")</f>
        <v/>
      </c>
      <c r="E127">
        <f>IF($S127="","",INDEX('Per Line'!$D$2:$D$501,$S127)&amp;"")</f>
        <v/>
      </c>
      <c r="F127">
        <f>IF($S127="","",INDEX('Per Line'!$E$2:$E$501,$S127))</f>
        <v/>
      </c>
      <c r="G127" s="7">
        <f>IF($S127="","",F127*Q127/100)</f>
        <v/>
      </c>
      <c r="H127" s="11">
        <f>IF($S127="","",INDEX('Per Line'!$O$2:$O$501,$S127))</f>
        <v/>
      </c>
      <c r="I127">
        <f>IF($S127="","",Settings!$C$7)</f>
        <v/>
      </c>
      <c r="J127" s="7">
        <f>IF($S127="","",SUMIFS('Per Line'!$K$2:$K$501,'Per Line'!$A$2:$A$501,$B127,'Per Line'!$V$2:$V$501,0))</f>
        <v/>
      </c>
      <c r="K127" s="7">
        <f>IF($S127="","",J127*I127)</f>
        <v/>
      </c>
      <c r="L127">
        <f>IF($S127="","",Settings!$C$6)</f>
        <v/>
      </c>
      <c r="M127" s="7">
        <f>IF($S127="","",SUMIFS('Per Line'!$K$2:$K$501,'Per Line'!$A$2:$A$501,$B127,'Per Line'!$V$2:$V$501,1))</f>
        <v/>
      </c>
      <c r="N127" s="7">
        <f>IF($S127="","",M127*L127)</f>
        <v/>
      </c>
      <c r="O127" s="7">
        <f>IF($S127="","",N127+K127)</f>
        <v/>
      </c>
      <c r="P127" s="7">
        <f>IF($S127="","",Q127-O127)</f>
        <v/>
      </c>
      <c r="Q127" s="7">
        <f>IF($S127="","",J127+M127)</f>
        <v/>
      </c>
      <c r="R127" s="7">
        <f>IF($S127="","",Q127-O127-G127)</f>
        <v/>
      </c>
      <c r="S127" s="13">
        <f>IF(ROWS($S$2:$S127)&lt;=MAX('Per Line'!$U$2:$U$501),MATCH(ROWS($S$2:$S127),'Per Line'!$U$2:$U$501,0),"")</f>
        <v/>
      </c>
    </row>
    <row r="128">
      <c r="A128" s="12" t="n"/>
      <c r="B128">
        <f>IF($S128="","",INDEX('Per Line'!$A$2:$A$501,$S128)&amp;"")</f>
        <v/>
      </c>
      <c r="C128">
        <f>IF($S128="","",INDEX('Per Line'!$B$2:$B$501,$S128)&amp;"")</f>
        <v/>
      </c>
      <c r="D128">
        <f>IF($S128="","",INDEX('Per Line'!$C$2:$C$501,$S128)&amp;"")</f>
        <v/>
      </c>
      <c r="E128">
        <f>IF($S128="","",INDEX('Per Line'!$D$2:$D$501,$S128)&amp;"")</f>
        <v/>
      </c>
      <c r="F128">
        <f>IF($S128="","",INDEX('Per Line'!$E$2:$E$501,$S128))</f>
        <v/>
      </c>
      <c r="G128" s="7">
        <f>IF($S128="","",F128*Q128/100)</f>
        <v/>
      </c>
      <c r="H128" s="11">
        <f>IF($S128="","",INDEX('Per Line'!$O$2:$O$501,$S128))</f>
        <v/>
      </c>
      <c r="I128">
        <f>IF($S128="","",Settings!$C$7)</f>
        <v/>
      </c>
      <c r="J128" s="7">
        <f>IF($S128="","",SUMIFS('Per Line'!$K$2:$K$501,'Per Line'!$A$2:$A$501,$B128,'Per Line'!$V$2:$V$501,0))</f>
        <v/>
      </c>
      <c r="K128" s="7">
        <f>IF($S128="","",J128*I128)</f>
        <v/>
      </c>
      <c r="L128">
        <f>IF($S128="","",Settings!$C$6)</f>
        <v/>
      </c>
      <c r="M128" s="7">
        <f>IF($S128="","",SUMIFS('Per Line'!$K$2:$K$501,'Per Line'!$A$2:$A$501,$B128,'Per Line'!$V$2:$V$501,1))</f>
        <v/>
      </c>
      <c r="N128" s="7">
        <f>IF($S128="","",M128*L128)</f>
        <v/>
      </c>
      <c r="O128" s="7">
        <f>IF($S128="","",N128+K128)</f>
        <v/>
      </c>
      <c r="P128" s="7">
        <f>IF($S128="","",Q128-O128)</f>
        <v/>
      </c>
      <c r="Q128" s="7">
        <f>IF($S128="","",J128+M128)</f>
        <v/>
      </c>
      <c r="R128" s="7">
        <f>IF($S128="","",Q128-O128-G128)</f>
        <v/>
      </c>
      <c r="S128" s="13">
        <f>IF(ROWS($S$2:$S128)&lt;=MAX('Per Line'!$U$2:$U$501),MATCH(ROWS($S$2:$S128),'Per Line'!$U$2:$U$501,0),"")</f>
        <v/>
      </c>
    </row>
    <row r="129">
      <c r="A129" s="12" t="n"/>
      <c r="B129">
        <f>IF($S129="","",INDEX('Per Line'!$A$2:$A$501,$S129)&amp;"")</f>
        <v/>
      </c>
      <c r="C129">
        <f>IF($S129="","",INDEX('Per Line'!$B$2:$B$501,$S129)&amp;"")</f>
        <v/>
      </c>
      <c r="D129">
        <f>IF($S129="","",INDEX('Per Line'!$C$2:$C$501,$S129)&amp;"")</f>
        <v/>
      </c>
      <c r="E129">
        <f>IF($S129="","",INDEX('Per Line'!$D$2:$D$501,$S129)&amp;"")</f>
        <v/>
      </c>
      <c r="F129">
        <f>IF($S129="","",INDEX('Per Line'!$E$2:$E$501,$S129))</f>
        <v/>
      </c>
      <c r="G129" s="7">
        <f>IF($S129="","",F129*Q129/100)</f>
        <v/>
      </c>
      <c r="H129" s="11">
        <f>IF($S129="","",INDEX('Per Line'!$O$2:$O$501,$S129))</f>
        <v/>
      </c>
      <c r="I129">
        <f>IF($S129="","",Settings!$C$7)</f>
        <v/>
      </c>
      <c r="J129" s="7">
        <f>IF($S129="","",SUMIFS('Per Line'!$K$2:$K$501,'Per Line'!$A$2:$A$501,$B129,'Per Line'!$V$2:$V$501,0))</f>
        <v/>
      </c>
      <c r="K129" s="7">
        <f>IF($S129="","",J129*I129)</f>
        <v/>
      </c>
      <c r="L129">
        <f>IF($S129="","",Settings!$C$6)</f>
        <v/>
      </c>
      <c r="M129" s="7">
        <f>IF($S129="","",SUMIFS('Per Line'!$K$2:$K$501,'Per Line'!$A$2:$A$501,$B129,'Per Line'!$V$2:$V$501,1))</f>
        <v/>
      </c>
      <c r="N129" s="7">
        <f>IF($S129="","",M129*L129)</f>
        <v/>
      </c>
      <c r="O129" s="7">
        <f>IF($S129="","",N129+K129)</f>
        <v/>
      </c>
      <c r="P129" s="7">
        <f>IF($S129="","",Q129-O129)</f>
        <v/>
      </c>
      <c r="Q129" s="7">
        <f>IF($S129="","",J129+M129)</f>
        <v/>
      </c>
      <c r="R129" s="7">
        <f>IF($S129="","",Q129-O129-G129)</f>
        <v/>
      </c>
      <c r="S129" s="13">
        <f>IF(ROWS($S$2:$S129)&lt;=MAX('Per Line'!$U$2:$U$501),MATCH(ROWS($S$2:$S129),'Per Line'!$U$2:$U$501,0),"")</f>
        <v/>
      </c>
    </row>
    <row r="130">
      <c r="A130" s="12" t="n"/>
      <c r="B130">
        <f>IF($S130="","",INDEX('Per Line'!$A$2:$A$501,$S130)&amp;"")</f>
        <v/>
      </c>
      <c r="C130">
        <f>IF($S130="","",INDEX('Per Line'!$B$2:$B$501,$S130)&amp;"")</f>
        <v/>
      </c>
      <c r="D130">
        <f>IF($S130="","",INDEX('Per Line'!$C$2:$C$501,$S130)&amp;"")</f>
        <v/>
      </c>
      <c r="E130">
        <f>IF($S130="","",INDEX('Per Line'!$D$2:$D$501,$S130)&amp;"")</f>
        <v/>
      </c>
      <c r="F130">
        <f>IF($S130="","",INDEX('Per Line'!$E$2:$E$501,$S130))</f>
        <v/>
      </c>
      <c r="G130" s="7">
        <f>IF($S130="","",F130*Q130/100)</f>
        <v/>
      </c>
      <c r="H130" s="11">
        <f>IF($S130="","",INDEX('Per Line'!$O$2:$O$501,$S130))</f>
        <v/>
      </c>
      <c r="I130">
        <f>IF($S130="","",Settings!$C$7)</f>
        <v/>
      </c>
      <c r="J130" s="7">
        <f>IF($S130="","",SUMIFS('Per Line'!$K$2:$K$501,'Per Line'!$A$2:$A$501,$B130,'Per Line'!$V$2:$V$501,0))</f>
        <v/>
      </c>
      <c r="K130" s="7">
        <f>IF($S130="","",J130*I130)</f>
        <v/>
      </c>
      <c r="L130">
        <f>IF($S130="","",Settings!$C$6)</f>
        <v/>
      </c>
      <c r="M130" s="7">
        <f>IF($S130="","",SUMIFS('Per Line'!$K$2:$K$501,'Per Line'!$A$2:$A$501,$B130,'Per Line'!$V$2:$V$501,1))</f>
        <v/>
      </c>
      <c r="N130" s="7">
        <f>IF($S130="","",M130*L130)</f>
        <v/>
      </c>
      <c r="O130" s="7">
        <f>IF($S130="","",N130+K130)</f>
        <v/>
      </c>
      <c r="P130" s="7">
        <f>IF($S130="","",Q130-O130)</f>
        <v/>
      </c>
      <c r="Q130" s="7">
        <f>IF($S130="","",J130+M130)</f>
        <v/>
      </c>
      <c r="R130" s="7">
        <f>IF($S130="","",Q130-O130-G130)</f>
        <v/>
      </c>
      <c r="S130" s="13">
        <f>IF(ROWS($S$2:$S130)&lt;=MAX('Per Line'!$U$2:$U$501),MATCH(ROWS($S$2:$S130),'Per Line'!$U$2:$U$501,0),"")</f>
        <v/>
      </c>
    </row>
    <row r="131">
      <c r="A131" s="12" t="n"/>
      <c r="B131">
        <f>IF($S131="","",INDEX('Per Line'!$A$2:$A$501,$S131)&amp;"")</f>
        <v/>
      </c>
      <c r="C131">
        <f>IF($S131="","",INDEX('Per Line'!$B$2:$B$501,$S131)&amp;"")</f>
        <v/>
      </c>
      <c r="D131">
        <f>IF($S131="","",INDEX('Per Line'!$C$2:$C$501,$S131)&amp;"")</f>
        <v/>
      </c>
      <c r="E131">
        <f>IF($S131="","",INDEX('Per Line'!$D$2:$D$501,$S131)&amp;"")</f>
        <v/>
      </c>
      <c r="F131">
        <f>IF($S131="","",INDEX('Per Line'!$E$2:$E$501,$S131))</f>
        <v/>
      </c>
      <c r="G131" s="7">
        <f>IF($S131="","",F131*Q131/100)</f>
        <v/>
      </c>
      <c r="H131" s="11">
        <f>IF($S131="","",INDEX('Per Line'!$O$2:$O$501,$S131))</f>
        <v/>
      </c>
      <c r="I131">
        <f>IF($S131="","",Settings!$C$7)</f>
        <v/>
      </c>
      <c r="J131" s="7">
        <f>IF($S131="","",SUMIFS('Per Line'!$K$2:$K$501,'Per Line'!$A$2:$A$501,$B131,'Per Line'!$V$2:$V$501,0))</f>
        <v/>
      </c>
      <c r="K131" s="7">
        <f>IF($S131="","",J131*I131)</f>
        <v/>
      </c>
      <c r="L131">
        <f>IF($S131="","",Settings!$C$6)</f>
        <v/>
      </c>
      <c r="M131" s="7">
        <f>IF($S131="","",SUMIFS('Per Line'!$K$2:$K$501,'Per Line'!$A$2:$A$501,$B131,'Per Line'!$V$2:$V$501,1))</f>
        <v/>
      </c>
      <c r="N131" s="7">
        <f>IF($S131="","",M131*L131)</f>
        <v/>
      </c>
      <c r="O131" s="7">
        <f>IF($S131="","",N131+K131)</f>
        <v/>
      </c>
      <c r="P131" s="7">
        <f>IF($S131="","",Q131-O131)</f>
        <v/>
      </c>
      <c r="Q131" s="7">
        <f>IF($S131="","",J131+M131)</f>
        <v/>
      </c>
      <c r="R131" s="7">
        <f>IF($S131="","",Q131-O131-G131)</f>
        <v/>
      </c>
      <c r="S131" s="13">
        <f>IF(ROWS($S$2:$S131)&lt;=MAX('Per Line'!$U$2:$U$501),MATCH(ROWS($S$2:$S131),'Per Line'!$U$2:$U$501,0),"")</f>
        <v/>
      </c>
    </row>
    <row r="132">
      <c r="A132" s="12" t="n"/>
      <c r="B132">
        <f>IF($S132="","",INDEX('Per Line'!$A$2:$A$501,$S132)&amp;"")</f>
        <v/>
      </c>
      <c r="C132">
        <f>IF($S132="","",INDEX('Per Line'!$B$2:$B$501,$S132)&amp;"")</f>
        <v/>
      </c>
      <c r="D132">
        <f>IF($S132="","",INDEX('Per Line'!$C$2:$C$501,$S132)&amp;"")</f>
        <v/>
      </c>
      <c r="E132">
        <f>IF($S132="","",INDEX('Per Line'!$D$2:$D$501,$S132)&amp;"")</f>
        <v/>
      </c>
      <c r="F132">
        <f>IF($S132="","",INDEX('Per Line'!$E$2:$E$501,$S132))</f>
        <v/>
      </c>
      <c r="G132" s="7">
        <f>IF($S132="","",F132*Q132/100)</f>
        <v/>
      </c>
      <c r="H132" s="11">
        <f>IF($S132="","",INDEX('Per Line'!$O$2:$O$501,$S132))</f>
        <v/>
      </c>
      <c r="I132">
        <f>IF($S132="","",Settings!$C$7)</f>
        <v/>
      </c>
      <c r="J132" s="7">
        <f>IF($S132="","",SUMIFS('Per Line'!$K$2:$K$501,'Per Line'!$A$2:$A$501,$B132,'Per Line'!$V$2:$V$501,0))</f>
        <v/>
      </c>
      <c r="K132" s="7">
        <f>IF($S132="","",J132*I132)</f>
        <v/>
      </c>
      <c r="L132">
        <f>IF($S132="","",Settings!$C$6)</f>
        <v/>
      </c>
      <c r="M132" s="7">
        <f>IF($S132="","",SUMIFS('Per Line'!$K$2:$K$501,'Per Line'!$A$2:$A$501,$B132,'Per Line'!$V$2:$V$501,1))</f>
        <v/>
      </c>
      <c r="N132" s="7">
        <f>IF($S132="","",M132*L132)</f>
        <v/>
      </c>
      <c r="O132" s="7">
        <f>IF($S132="","",N132+K132)</f>
        <v/>
      </c>
      <c r="P132" s="7">
        <f>IF($S132="","",Q132-O132)</f>
        <v/>
      </c>
      <c r="Q132" s="7">
        <f>IF($S132="","",J132+M132)</f>
        <v/>
      </c>
      <c r="R132" s="7">
        <f>IF($S132="","",Q132-O132-G132)</f>
        <v/>
      </c>
      <c r="S132" s="13">
        <f>IF(ROWS($S$2:$S132)&lt;=MAX('Per Line'!$U$2:$U$501),MATCH(ROWS($S$2:$S132),'Per Line'!$U$2:$U$501,0),"")</f>
        <v/>
      </c>
    </row>
    <row r="133">
      <c r="A133" s="12" t="n"/>
      <c r="B133">
        <f>IF($S133="","",INDEX('Per Line'!$A$2:$A$501,$S133)&amp;"")</f>
        <v/>
      </c>
      <c r="C133">
        <f>IF($S133="","",INDEX('Per Line'!$B$2:$B$501,$S133)&amp;"")</f>
        <v/>
      </c>
      <c r="D133">
        <f>IF($S133="","",INDEX('Per Line'!$C$2:$C$501,$S133)&amp;"")</f>
        <v/>
      </c>
      <c r="E133">
        <f>IF($S133="","",INDEX('Per Line'!$D$2:$D$501,$S133)&amp;"")</f>
        <v/>
      </c>
      <c r="F133">
        <f>IF($S133="","",INDEX('Per Line'!$E$2:$E$501,$S133))</f>
        <v/>
      </c>
      <c r="G133" s="7">
        <f>IF($S133="","",F133*Q133/100)</f>
        <v/>
      </c>
      <c r="H133" s="11">
        <f>IF($S133="","",INDEX('Per Line'!$O$2:$O$501,$S133))</f>
        <v/>
      </c>
      <c r="I133">
        <f>IF($S133="","",Settings!$C$7)</f>
        <v/>
      </c>
      <c r="J133" s="7">
        <f>IF($S133="","",SUMIFS('Per Line'!$K$2:$K$501,'Per Line'!$A$2:$A$501,$B133,'Per Line'!$V$2:$V$501,0))</f>
        <v/>
      </c>
      <c r="K133" s="7">
        <f>IF($S133="","",J133*I133)</f>
        <v/>
      </c>
      <c r="L133">
        <f>IF($S133="","",Settings!$C$6)</f>
        <v/>
      </c>
      <c r="M133" s="7">
        <f>IF($S133="","",SUMIFS('Per Line'!$K$2:$K$501,'Per Line'!$A$2:$A$501,$B133,'Per Line'!$V$2:$V$501,1))</f>
        <v/>
      </c>
      <c r="N133" s="7">
        <f>IF($S133="","",M133*L133)</f>
        <v/>
      </c>
      <c r="O133" s="7">
        <f>IF($S133="","",N133+K133)</f>
        <v/>
      </c>
      <c r="P133" s="7">
        <f>IF($S133="","",Q133-O133)</f>
        <v/>
      </c>
      <c r="Q133" s="7">
        <f>IF($S133="","",J133+M133)</f>
        <v/>
      </c>
      <c r="R133" s="7">
        <f>IF($S133="","",Q133-O133-G133)</f>
        <v/>
      </c>
      <c r="S133" s="13">
        <f>IF(ROWS($S$2:$S133)&lt;=MAX('Per Line'!$U$2:$U$501),MATCH(ROWS($S$2:$S133),'Per Line'!$U$2:$U$501,0),"")</f>
        <v/>
      </c>
    </row>
    <row r="134">
      <c r="A134" s="12" t="n"/>
      <c r="B134">
        <f>IF($S134="","",INDEX('Per Line'!$A$2:$A$501,$S134)&amp;"")</f>
        <v/>
      </c>
      <c r="C134">
        <f>IF($S134="","",INDEX('Per Line'!$B$2:$B$501,$S134)&amp;"")</f>
        <v/>
      </c>
      <c r="D134">
        <f>IF($S134="","",INDEX('Per Line'!$C$2:$C$501,$S134)&amp;"")</f>
        <v/>
      </c>
      <c r="E134">
        <f>IF($S134="","",INDEX('Per Line'!$D$2:$D$501,$S134)&amp;"")</f>
        <v/>
      </c>
      <c r="F134">
        <f>IF($S134="","",INDEX('Per Line'!$E$2:$E$501,$S134))</f>
        <v/>
      </c>
      <c r="G134" s="7">
        <f>IF($S134="","",F134*Q134/100)</f>
        <v/>
      </c>
      <c r="H134" s="11">
        <f>IF($S134="","",INDEX('Per Line'!$O$2:$O$501,$S134))</f>
        <v/>
      </c>
      <c r="I134">
        <f>IF($S134="","",Settings!$C$7)</f>
        <v/>
      </c>
      <c r="J134" s="7">
        <f>IF($S134="","",SUMIFS('Per Line'!$K$2:$K$501,'Per Line'!$A$2:$A$501,$B134,'Per Line'!$V$2:$V$501,0))</f>
        <v/>
      </c>
      <c r="K134" s="7">
        <f>IF($S134="","",J134*I134)</f>
        <v/>
      </c>
      <c r="L134">
        <f>IF($S134="","",Settings!$C$6)</f>
        <v/>
      </c>
      <c r="M134" s="7">
        <f>IF($S134="","",SUMIFS('Per Line'!$K$2:$K$501,'Per Line'!$A$2:$A$501,$B134,'Per Line'!$V$2:$V$501,1))</f>
        <v/>
      </c>
      <c r="N134" s="7">
        <f>IF($S134="","",M134*L134)</f>
        <v/>
      </c>
      <c r="O134" s="7">
        <f>IF($S134="","",N134+K134)</f>
        <v/>
      </c>
      <c r="P134" s="7">
        <f>IF($S134="","",Q134-O134)</f>
        <v/>
      </c>
      <c r="Q134" s="7">
        <f>IF($S134="","",J134+M134)</f>
        <v/>
      </c>
      <c r="R134" s="7">
        <f>IF($S134="","",Q134-O134-G134)</f>
        <v/>
      </c>
      <c r="S134" s="13">
        <f>IF(ROWS($S$2:$S134)&lt;=MAX('Per Line'!$U$2:$U$501),MATCH(ROWS($S$2:$S134),'Per Line'!$U$2:$U$501,0),"")</f>
        <v/>
      </c>
    </row>
    <row r="135">
      <c r="A135" s="12" t="n"/>
      <c r="B135">
        <f>IF($S135="","",INDEX('Per Line'!$A$2:$A$501,$S135)&amp;"")</f>
        <v/>
      </c>
      <c r="C135">
        <f>IF($S135="","",INDEX('Per Line'!$B$2:$B$501,$S135)&amp;"")</f>
        <v/>
      </c>
      <c r="D135">
        <f>IF($S135="","",INDEX('Per Line'!$C$2:$C$501,$S135)&amp;"")</f>
        <v/>
      </c>
      <c r="E135">
        <f>IF($S135="","",INDEX('Per Line'!$D$2:$D$501,$S135)&amp;"")</f>
        <v/>
      </c>
      <c r="F135">
        <f>IF($S135="","",INDEX('Per Line'!$E$2:$E$501,$S135))</f>
        <v/>
      </c>
      <c r="G135" s="7">
        <f>IF($S135="","",F135*Q135/100)</f>
        <v/>
      </c>
      <c r="H135" s="11">
        <f>IF($S135="","",INDEX('Per Line'!$O$2:$O$501,$S135))</f>
        <v/>
      </c>
      <c r="I135">
        <f>IF($S135="","",Settings!$C$7)</f>
        <v/>
      </c>
      <c r="J135" s="7">
        <f>IF($S135="","",SUMIFS('Per Line'!$K$2:$K$501,'Per Line'!$A$2:$A$501,$B135,'Per Line'!$V$2:$V$501,0))</f>
        <v/>
      </c>
      <c r="K135" s="7">
        <f>IF($S135="","",J135*I135)</f>
        <v/>
      </c>
      <c r="L135">
        <f>IF($S135="","",Settings!$C$6)</f>
        <v/>
      </c>
      <c r="M135" s="7">
        <f>IF($S135="","",SUMIFS('Per Line'!$K$2:$K$501,'Per Line'!$A$2:$A$501,$B135,'Per Line'!$V$2:$V$501,1))</f>
        <v/>
      </c>
      <c r="N135" s="7">
        <f>IF($S135="","",M135*L135)</f>
        <v/>
      </c>
      <c r="O135" s="7">
        <f>IF($S135="","",N135+K135)</f>
        <v/>
      </c>
      <c r="P135" s="7">
        <f>IF($S135="","",Q135-O135)</f>
        <v/>
      </c>
      <c r="Q135" s="7">
        <f>IF($S135="","",J135+M135)</f>
        <v/>
      </c>
      <c r="R135" s="7">
        <f>IF($S135="","",Q135-O135-G135)</f>
        <v/>
      </c>
      <c r="S135" s="13">
        <f>IF(ROWS($S$2:$S135)&lt;=MAX('Per Line'!$U$2:$U$501),MATCH(ROWS($S$2:$S135),'Per Line'!$U$2:$U$501,0),"")</f>
        <v/>
      </c>
    </row>
    <row r="136">
      <c r="A136" s="12" t="n"/>
      <c r="B136">
        <f>IF($S136="","",INDEX('Per Line'!$A$2:$A$501,$S136)&amp;"")</f>
        <v/>
      </c>
      <c r="C136">
        <f>IF($S136="","",INDEX('Per Line'!$B$2:$B$501,$S136)&amp;"")</f>
        <v/>
      </c>
      <c r="D136">
        <f>IF($S136="","",INDEX('Per Line'!$C$2:$C$501,$S136)&amp;"")</f>
        <v/>
      </c>
      <c r="E136">
        <f>IF($S136="","",INDEX('Per Line'!$D$2:$D$501,$S136)&amp;"")</f>
        <v/>
      </c>
      <c r="F136">
        <f>IF($S136="","",INDEX('Per Line'!$E$2:$E$501,$S136))</f>
        <v/>
      </c>
      <c r="G136" s="7">
        <f>IF($S136="","",F136*Q136/100)</f>
        <v/>
      </c>
      <c r="H136" s="11">
        <f>IF($S136="","",INDEX('Per Line'!$O$2:$O$501,$S136))</f>
        <v/>
      </c>
      <c r="I136">
        <f>IF($S136="","",Settings!$C$7)</f>
        <v/>
      </c>
      <c r="J136" s="7">
        <f>IF($S136="","",SUMIFS('Per Line'!$K$2:$K$501,'Per Line'!$A$2:$A$501,$B136,'Per Line'!$V$2:$V$501,0))</f>
        <v/>
      </c>
      <c r="K136" s="7">
        <f>IF($S136="","",J136*I136)</f>
        <v/>
      </c>
      <c r="L136">
        <f>IF($S136="","",Settings!$C$6)</f>
        <v/>
      </c>
      <c r="M136" s="7">
        <f>IF($S136="","",SUMIFS('Per Line'!$K$2:$K$501,'Per Line'!$A$2:$A$501,$B136,'Per Line'!$V$2:$V$501,1))</f>
        <v/>
      </c>
      <c r="N136" s="7">
        <f>IF($S136="","",M136*L136)</f>
        <v/>
      </c>
      <c r="O136" s="7">
        <f>IF($S136="","",N136+K136)</f>
        <v/>
      </c>
      <c r="P136" s="7">
        <f>IF($S136="","",Q136-O136)</f>
        <v/>
      </c>
      <c r="Q136" s="7">
        <f>IF($S136="","",J136+M136)</f>
        <v/>
      </c>
      <c r="R136" s="7">
        <f>IF($S136="","",Q136-O136-G136)</f>
        <v/>
      </c>
      <c r="S136" s="13">
        <f>IF(ROWS($S$2:$S136)&lt;=MAX('Per Line'!$U$2:$U$501),MATCH(ROWS($S$2:$S136),'Per Line'!$U$2:$U$501,0),"")</f>
        <v/>
      </c>
    </row>
    <row r="137">
      <c r="A137" s="12" t="n"/>
      <c r="B137">
        <f>IF($S137="","",INDEX('Per Line'!$A$2:$A$501,$S137)&amp;"")</f>
        <v/>
      </c>
      <c r="C137">
        <f>IF($S137="","",INDEX('Per Line'!$B$2:$B$501,$S137)&amp;"")</f>
        <v/>
      </c>
      <c r="D137">
        <f>IF($S137="","",INDEX('Per Line'!$C$2:$C$501,$S137)&amp;"")</f>
        <v/>
      </c>
      <c r="E137">
        <f>IF($S137="","",INDEX('Per Line'!$D$2:$D$501,$S137)&amp;"")</f>
        <v/>
      </c>
      <c r="F137">
        <f>IF($S137="","",INDEX('Per Line'!$E$2:$E$501,$S137))</f>
        <v/>
      </c>
      <c r="G137" s="7">
        <f>IF($S137="","",F137*Q137/100)</f>
        <v/>
      </c>
      <c r="H137" s="11">
        <f>IF($S137="","",INDEX('Per Line'!$O$2:$O$501,$S137))</f>
        <v/>
      </c>
      <c r="I137">
        <f>IF($S137="","",Settings!$C$7)</f>
        <v/>
      </c>
      <c r="J137" s="7">
        <f>IF($S137="","",SUMIFS('Per Line'!$K$2:$K$501,'Per Line'!$A$2:$A$501,$B137,'Per Line'!$V$2:$V$501,0))</f>
        <v/>
      </c>
      <c r="K137" s="7">
        <f>IF($S137="","",J137*I137)</f>
        <v/>
      </c>
      <c r="L137">
        <f>IF($S137="","",Settings!$C$6)</f>
        <v/>
      </c>
      <c r="M137" s="7">
        <f>IF($S137="","",SUMIFS('Per Line'!$K$2:$K$501,'Per Line'!$A$2:$A$501,$B137,'Per Line'!$V$2:$V$501,1))</f>
        <v/>
      </c>
      <c r="N137" s="7">
        <f>IF($S137="","",M137*L137)</f>
        <v/>
      </c>
      <c r="O137" s="7">
        <f>IF($S137="","",N137+K137)</f>
        <v/>
      </c>
      <c r="P137" s="7">
        <f>IF($S137="","",Q137-O137)</f>
        <v/>
      </c>
      <c r="Q137" s="7">
        <f>IF($S137="","",J137+M137)</f>
        <v/>
      </c>
      <c r="R137" s="7">
        <f>IF($S137="","",Q137-O137-G137)</f>
        <v/>
      </c>
      <c r="S137" s="13">
        <f>IF(ROWS($S$2:$S137)&lt;=MAX('Per Line'!$U$2:$U$501),MATCH(ROWS($S$2:$S137),'Per Line'!$U$2:$U$501,0),"")</f>
        <v/>
      </c>
    </row>
    <row r="138">
      <c r="A138" s="12" t="n"/>
      <c r="B138">
        <f>IF($S138="","",INDEX('Per Line'!$A$2:$A$501,$S138)&amp;"")</f>
        <v/>
      </c>
      <c r="C138">
        <f>IF($S138="","",INDEX('Per Line'!$B$2:$B$501,$S138)&amp;"")</f>
        <v/>
      </c>
      <c r="D138">
        <f>IF($S138="","",INDEX('Per Line'!$C$2:$C$501,$S138)&amp;"")</f>
        <v/>
      </c>
      <c r="E138">
        <f>IF($S138="","",INDEX('Per Line'!$D$2:$D$501,$S138)&amp;"")</f>
        <v/>
      </c>
      <c r="F138">
        <f>IF($S138="","",INDEX('Per Line'!$E$2:$E$501,$S138))</f>
        <v/>
      </c>
      <c r="G138" s="7">
        <f>IF($S138="","",F138*Q138/100)</f>
        <v/>
      </c>
      <c r="H138" s="11">
        <f>IF($S138="","",INDEX('Per Line'!$O$2:$O$501,$S138))</f>
        <v/>
      </c>
      <c r="I138">
        <f>IF($S138="","",Settings!$C$7)</f>
        <v/>
      </c>
      <c r="J138" s="7">
        <f>IF($S138="","",SUMIFS('Per Line'!$K$2:$K$501,'Per Line'!$A$2:$A$501,$B138,'Per Line'!$V$2:$V$501,0))</f>
        <v/>
      </c>
      <c r="K138" s="7">
        <f>IF($S138="","",J138*I138)</f>
        <v/>
      </c>
      <c r="L138">
        <f>IF($S138="","",Settings!$C$6)</f>
        <v/>
      </c>
      <c r="M138" s="7">
        <f>IF($S138="","",SUMIFS('Per Line'!$K$2:$K$501,'Per Line'!$A$2:$A$501,$B138,'Per Line'!$V$2:$V$501,1))</f>
        <v/>
      </c>
      <c r="N138" s="7">
        <f>IF($S138="","",M138*L138)</f>
        <v/>
      </c>
      <c r="O138" s="7">
        <f>IF($S138="","",N138+K138)</f>
        <v/>
      </c>
      <c r="P138" s="7">
        <f>IF($S138="","",Q138-O138)</f>
        <v/>
      </c>
      <c r="Q138" s="7">
        <f>IF($S138="","",J138+M138)</f>
        <v/>
      </c>
      <c r="R138" s="7">
        <f>IF($S138="","",Q138-O138-G138)</f>
        <v/>
      </c>
      <c r="S138" s="13">
        <f>IF(ROWS($S$2:$S138)&lt;=MAX('Per Line'!$U$2:$U$501),MATCH(ROWS($S$2:$S138),'Per Line'!$U$2:$U$501,0),"")</f>
        <v/>
      </c>
    </row>
    <row r="139">
      <c r="A139" s="12" t="n"/>
      <c r="B139">
        <f>IF($S139="","",INDEX('Per Line'!$A$2:$A$501,$S139)&amp;"")</f>
        <v/>
      </c>
      <c r="C139">
        <f>IF($S139="","",INDEX('Per Line'!$B$2:$B$501,$S139)&amp;"")</f>
        <v/>
      </c>
      <c r="D139">
        <f>IF($S139="","",INDEX('Per Line'!$C$2:$C$501,$S139)&amp;"")</f>
        <v/>
      </c>
      <c r="E139">
        <f>IF($S139="","",INDEX('Per Line'!$D$2:$D$501,$S139)&amp;"")</f>
        <v/>
      </c>
      <c r="F139">
        <f>IF($S139="","",INDEX('Per Line'!$E$2:$E$501,$S139))</f>
        <v/>
      </c>
      <c r="G139" s="7">
        <f>IF($S139="","",F139*Q139/100)</f>
        <v/>
      </c>
      <c r="H139" s="11">
        <f>IF($S139="","",INDEX('Per Line'!$O$2:$O$501,$S139))</f>
        <v/>
      </c>
      <c r="I139">
        <f>IF($S139="","",Settings!$C$7)</f>
        <v/>
      </c>
      <c r="J139" s="7">
        <f>IF($S139="","",SUMIFS('Per Line'!$K$2:$K$501,'Per Line'!$A$2:$A$501,$B139,'Per Line'!$V$2:$V$501,0))</f>
        <v/>
      </c>
      <c r="K139" s="7">
        <f>IF($S139="","",J139*I139)</f>
        <v/>
      </c>
      <c r="L139">
        <f>IF($S139="","",Settings!$C$6)</f>
        <v/>
      </c>
      <c r="M139" s="7">
        <f>IF($S139="","",SUMIFS('Per Line'!$K$2:$K$501,'Per Line'!$A$2:$A$501,$B139,'Per Line'!$V$2:$V$501,1))</f>
        <v/>
      </c>
      <c r="N139" s="7">
        <f>IF($S139="","",M139*L139)</f>
        <v/>
      </c>
      <c r="O139" s="7">
        <f>IF($S139="","",N139+K139)</f>
        <v/>
      </c>
      <c r="P139" s="7">
        <f>IF($S139="","",Q139-O139)</f>
        <v/>
      </c>
      <c r="Q139" s="7">
        <f>IF($S139="","",J139+M139)</f>
        <v/>
      </c>
      <c r="R139" s="7">
        <f>IF($S139="","",Q139-O139-G139)</f>
        <v/>
      </c>
      <c r="S139" s="13">
        <f>IF(ROWS($S$2:$S139)&lt;=MAX('Per Line'!$U$2:$U$501),MATCH(ROWS($S$2:$S139),'Per Line'!$U$2:$U$501,0),"")</f>
        <v/>
      </c>
    </row>
    <row r="140">
      <c r="A140" s="12" t="n"/>
      <c r="B140">
        <f>IF($S140="","",INDEX('Per Line'!$A$2:$A$501,$S140)&amp;"")</f>
        <v/>
      </c>
      <c r="C140">
        <f>IF($S140="","",INDEX('Per Line'!$B$2:$B$501,$S140)&amp;"")</f>
        <v/>
      </c>
      <c r="D140">
        <f>IF($S140="","",INDEX('Per Line'!$C$2:$C$501,$S140)&amp;"")</f>
        <v/>
      </c>
      <c r="E140">
        <f>IF($S140="","",INDEX('Per Line'!$D$2:$D$501,$S140)&amp;"")</f>
        <v/>
      </c>
      <c r="F140">
        <f>IF($S140="","",INDEX('Per Line'!$E$2:$E$501,$S140))</f>
        <v/>
      </c>
      <c r="G140" s="7">
        <f>IF($S140="","",F140*Q140/100)</f>
        <v/>
      </c>
      <c r="H140" s="11">
        <f>IF($S140="","",INDEX('Per Line'!$O$2:$O$501,$S140))</f>
        <v/>
      </c>
      <c r="I140">
        <f>IF($S140="","",Settings!$C$7)</f>
        <v/>
      </c>
      <c r="J140" s="7">
        <f>IF($S140="","",SUMIFS('Per Line'!$K$2:$K$501,'Per Line'!$A$2:$A$501,$B140,'Per Line'!$V$2:$V$501,0))</f>
        <v/>
      </c>
      <c r="K140" s="7">
        <f>IF($S140="","",J140*I140)</f>
        <v/>
      </c>
      <c r="L140">
        <f>IF($S140="","",Settings!$C$6)</f>
        <v/>
      </c>
      <c r="M140" s="7">
        <f>IF($S140="","",SUMIFS('Per Line'!$K$2:$K$501,'Per Line'!$A$2:$A$501,$B140,'Per Line'!$V$2:$V$501,1))</f>
        <v/>
      </c>
      <c r="N140" s="7">
        <f>IF($S140="","",M140*L140)</f>
        <v/>
      </c>
      <c r="O140" s="7">
        <f>IF($S140="","",N140+K140)</f>
        <v/>
      </c>
      <c r="P140" s="7">
        <f>IF($S140="","",Q140-O140)</f>
        <v/>
      </c>
      <c r="Q140" s="7">
        <f>IF($S140="","",J140+M140)</f>
        <v/>
      </c>
      <c r="R140" s="7">
        <f>IF($S140="","",Q140-O140-G140)</f>
        <v/>
      </c>
      <c r="S140" s="13">
        <f>IF(ROWS($S$2:$S140)&lt;=MAX('Per Line'!$U$2:$U$501),MATCH(ROWS($S$2:$S140),'Per Line'!$U$2:$U$501,0),"")</f>
        <v/>
      </c>
    </row>
    <row r="141">
      <c r="A141" s="12" t="n"/>
      <c r="B141">
        <f>IF($S141="","",INDEX('Per Line'!$A$2:$A$501,$S141)&amp;"")</f>
        <v/>
      </c>
      <c r="C141">
        <f>IF($S141="","",INDEX('Per Line'!$B$2:$B$501,$S141)&amp;"")</f>
        <v/>
      </c>
      <c r="D141">
        <f>IF($S141="","",INDEX('Per Line'!$C$2:$C$501,$S141)&amp;"")</f>
        <v/>
      </c>
      <c r="E141">
        <f>IF($S141="","",INDEX('Per Line'!$D$2:$D$501,$S141)&amp;"")</f>
        <v/>
      </c>
      <c r="F141">
        <f>IF($S141="","",INDEX('Per Line'!$E$2:$E$501,$S141))</f>
        <v/>
      </c>
      <c r="G141" s="7">
        <f>IF($S141="","",F141*Q141/100)</f>
        <v/>
      </c>
      <c r="H141" s="11">
        <f>IF($S141="","",INDEX('Per Line'!$O$2:$O$501,$S141))</f>
        <v/>
      </c>
      <c r="I141">
        <f>IF($S141="","",Settings!$C$7)</f>
        <v/>
      </c>
      <c r="J141" s="7">
        <f>IF($S141="","",SUMIFS('Per Line'!$K$2:$K$501,'Per Line'!$A$2:$A$501,$B141,'Per Line'!$V$2:$V$501,0))</f>
        <v/>
      </c>
      <c r="K141" s="7">
        <f>IF($S141="","",J141*I141)</f>
        <v/>
      </c>
      <c r="L141">
        <f>IF($S141="","",Settings!$C$6)</f>
        <v/>
      </c>
      <c r="M141" s="7">
        <f>IF($S141="","",SUMIFS('Per Line'!$K$2:$K$501,'Per Line'!$A$2:$A$501,$B141,'Per Line'!$V$2:$V$501,1))</f>
        <v/>
      </c>
      <c r="N141" s="7">
        <f>IF($S141="","",M141*L141)</f>
        <v/>
      </c>
      <c r="O141" s="7">
        <f>IF($S141="","",N141+K141)</f>
        <v/>
      </c>
      <c r="P141" s="7">
        <f>IF($S141="","",Q141-O141)</f>
        <v/>
      </c>
      <c r="Q141" s="7">
        <f>IF($S141="","",J141+M141)</f>
        <v/>
      </c>
      <c r="R141" s="7">
        <f>IF($S141="","",Q141-O141-G141)</f>
        <v/>
      </c>
      <c r="S141" s="13">
        <f>IF(ROWS($S$2:$S141)&lt;=MAX('Per Line'!$U$2:$U$501),MATCH(ROWS($S$2:$S141),'Per Line'!$U$2:$U$501,0),"")</f>
        <v/>
      </c>
    </row>
    <row r="142">
      <c r="A142" s="12" t="n"/>
      <c r="B142">
        <f>IF($S142="","",INDEX('Per Line'!$A$2:$A$501,$S142)&amp;"")</f>
        <v/>
      </c>
      <c r="C142">
        <f>IF($S142="","",INDEX('Per Line'!$B$2:$B$501,$S142)&amp;"")</f>
        <v/>
      </c>
      <c r="D142">
        <f>IF($S142="","",INDEX('Per Line'!$C$2:$C$501,$S142)&amp;"")</f>
        <v/>
      </c>
      <c r="E142">
        <f>IF($S142="","",INDEX('Per Line'!$D$2:$D$501,$S142)&amp;"")</f>
        <v/>
      </c>
      <c r="F142">
        <f>IF($S142="","",INDEX('Per Line'!$E$2:$E$501,$S142))</f>
        <v/>
      </c>
      <c r="G142" s="7">
        <f>IF($S142="","",F142*Q142/100)</f>
        <v/>
      </c>
      <c r="H142" s="11">
        <f>IF($S142="","",INDEX('Per Line'!$O$2:$O$501,$S142))</f>
        <v/>
      </c>
      <c r="I142">
        <f>IF($S142="","",Settings!$C$7)</f>
        <v/>
      </c>
      <c r="J142" s="7">
        <f>IF($S142="","",SUMIFS('Per Line'!$K$2:$K$501,'Per Line'!$A$2:$A$501,$B142,'Per Line'!$V$2:$V$501,0))</f>
        <v/>
      </c>
      <c r="K142" s="7">
        <f>IF($S142="","",J142*I142)</f>
        <v/>
      </c>
      <c r="L142">
        <f>IF($S142="","",Settings!$C$6)</f>
        <v/>
      </c>
      <c r="M142" s="7">
        <f>IF($S142="","",SUMIFS('Per Line'!$K$2:$K$501,'Per Line'!$A$2:$A$501,$B142,'Per Line'!$V$2:$V$501,1))</f>
        <v/>
      </c>
      <c r="N142" s="7">
        <f>IF($S142="","",M142*L142)</f>
        <v/>
      </c>
      <c r="O142" s="7">
        <f>IF($S142="","",N142+K142)</f>
        <v/>
      </c>
      <c r="P142" s="7">
        <f>IF($S142="","",Q142-O142)</f>
        <v/>
      </c>
      <c r="Q142" s="7">
        <f>IF($S142="","",J142+M142)</f>
        <v/>
      </c>
      <c r="R142" s="7">
        <f>IF($S142="","",Q142-O142-G142)</f>
        <v/>
      </c>
      <c r="S142" s="13">
        <f>IF(ROWS($S$2:$S142)&lt;=MAX('Per Line'!$U$2:$U$501),MATCH(ROWS($S$2:$S142),'Per Line'!$U$2:$U$501,0),"")</f>
        <v/>
      </c>
    </row>
    <row r="143">
      <c r="A143" s="12" t="n"/>
      <c r="B143">
        <f>IF($S143="","",INDEX('Per Line'!$A$2:$A$501,$S143)&amp;"")</f>
        <v/>
      </c>
      <c r="C143">
        <f>IF($S143="","",INDEX('Per Line'!$B$2:$B$501,$S143)&amp;"")</f>
        <v/>
      </c>
      <c r="D143">
        <f>IF($S143="","",INDEX('Per Line'!$C$2:$C$501,$S143)&amp;"")</f>
        <v/>
      </c>
      <c r="E143">
        <f>IF($S143="","",INDEX('Per Line'!$D$2:$D$501,$S143)&amp;"")</f>
        <v/>
      </c>
      <c r="F143">
        <f>IF($S143="","",INDEX('Per Line'!$E$2:$E$501,$S143))</f>
        <v/>
      </c>
      <c r="G143" s="7">
        <f>IF($S143="","",F143*Q143/100)</f>
        <v/>
      </c>
      <c r="H143" s="11">
        <f>IF($S143="","",INDEX('Per Line'!$O$2:$O$501,$S143))</f>
        <v/>
      </c>
      <c r="I143">
        <f>IF($S143="","",Settings!$C$7)</f>
        <v/>
      </c>
      <c r="J143" s="7">
        <f>IF($S143="","",SUMIFS('Per Line'!$K$2:$K$501,'Per Line'!$A$2:$A$501,$B143,'Per Line'!$V$2:$V$501,0))</f>
        <v/>
      </c>
      <c r="K143" s="7">
        <f>IF($S143="","",J143*I143)</f>
        <v/>
      </c>
      <c r="L143">
        <f>IF($S143="","",Settings!$C$6)</f>
        <v/>
      </c>
      <c r="M143" s="7">
        <f>IF($S143="","",SUMIFS('Per Line'!$K$2:$K$501,'Per Line'!$A$2:$A$501,$B143,'Per Line'!$V$2:$V$501,1))</f>
        <v/>
      </c>
      <c r="N143" s="7">
        <f>IF($S143="","",M143*L143)</f>
        <v/>
      </c>
      <c r="O143" s="7">
        <f>IF($S143="","",N143+K143)</f>
        <v/>
      </c>
      <c r="P143" s="7">
        <f>IF($S143="","",Q143-O143)</f>
        <v/>
      </c>
      <c r="Q143" s="7">
        <f>IF($S143="","",J143+M143)</f>
        <v/>
      </c>
      <c r="R143" s="7">
        <f>IF($S143="","",Q143-O143-G143)</f>
        <v/>
      </c>
      <c r="S143" s="13">
        <f>IF(ROWS($S$2:$S143)&lt;=MAX('Per Line'!$U$2:$U$501),MATCH(ROWS($S$2:$S143),'Per Line'!$U$2:$U$501,0),"")</f>
        <v/>
      </c>
    </row>
    <row r="144">
      <c r="A144" s="12" t="n"/>
      <c r="B144">
        <f>IF($S144="","",INDEX('Per Line'!$A$2:$A$501,$S144)&amp;"")</f>
        <v/>
      </c>
      <c r="C144">
        <f>IF($S144="","",INDEX('Per Line'!$B$2:$B$501,$S144)&amp;"")</f>
        <v/>
      </c>
      <c r="D144">
        <f>IF($S144="","",INDEX('Per Line'!$C$2:$C$501,$S144)&amp;"")</f>
        <v/>
      </c>
      <c r="E144">
        <f>IF($S144="","",INDEX('Per Line'!$D$2:$D$501,$S144)&amp;"")</f>
        <v/>
      </c>
      <c r="F144">
        <f>IF($S144="","",INDEX('Per Line'!$E$2:$E$501,$S144))</f>
        <v/>
      </c>
      <c r="G144" s="7">
        <f>IF($S144="","",F144*Q144/100)</f>
        <v/>
      </c>
      <c r="H144" s="11">
        <f>IF($S144="","",INDEX('Per Line'!$O$2:$O$501,$S144))</f>
        <v/>
      </c>
      <c r="I144">
        <f>IF($S144="","",Settings!$C$7)</f>
        <v/>
      </c>
      <c r="J144" s="7">
        <f>IF($S144="","",SUMIFS('Per Line'!$K$2:$K$501,'Per Line'!$A$2:$A$501,$B144,'Per Line'!$V$2:$V$501,0))</f>
        <v/>
      </c>
      <c r="K144" s="7">
        <f>IF($S144="","",J144*I144)</f>
        <v/>
      </c>
      <c r="L144">
        <f>IF($S144="","",Settings!$C$6)</f>
        <v/>
      </c>
      <c r="M144" s="7">
        <f>IF($S144="","",SUMIFS('Per Line'!$K$2:$K$501,'Per Line'!$A$2:$A$501,$B144,'Per Line'!$V$2:$V$501,1))</f>
        <v/>
      </c>
      <c r="N144" s="7">
        <f>IF($S144="","",M144*L144)</f>
        <v/>
      </c>
      <c r="O144" s="7">
        <f>IF($S144="","",N144+K144)</f>
        <v/>
      </c>
      <c r="P144" s="7">
        <f>IF($S144="","",Q144-O144)</f>
        <v/>
      </c>
      <c r="Q144" s="7">
        <f>IF($S144="","",J144+M144)</f>
        <v/>
      </c>
      <c r="R144" s="7">
        <f>IF($S144="","",Q144-O144-G144)</f>
        <v/>
      </c>
      <c r="S144" s="13">
        <f>IF(ROWS($S$2:$S144)&lt;=MAX('Per Line'!$U$2:$U$501),MATCH(ROWS($S$2:$S144),'Per Line'!$U$2:$U$501,0),"")</f>
        <v/>
      </c>
    </row>
    <row r="145">
      <c r="A145" s="12" t="n"/>
      <c r="B145">
        <f>IF($S145="","",INDEX('Per Line'!$A$2:$A$501,$S145)&amp;"")</f>
        <v/>
      </c>
      <c r="C145">
        <f>IF($S145="","",INDEX('Per Line'!$B$2:$B$501,$S145)&amp;"")</f>
        <v/>
      </c>
      <c r="D145">
        <f>IF($S145="","",INDEX('Per Line'!$C$2:$C$501,$S145)&amp;"")</f>
        <v/>
      </c>
      <c r="E145">
        <f>IF($S145="","",INDEX('Per Line'!$D$2:$D$501,$S145)&amp;"")</f>
        <v/>
      </c>
      <c r="F145">
        <f>IF($S145="","",INDEX('Per Line'!$E$2:$E$501,$S145))</f>
        <v/>
      </c>
      <c r="G145" s="7">
        <f>IF($S145="","",F145*Q145/100)</f>
        <v/>
      </c>
      <c r="H145" s="11">
        <f>IF($S145="","",INDEX('Per Line'!$O$2:$O$501,$S145))</f>
        <v/>
      </c>
      <c r="I145">
        <f>IF($S145="","",Settings!$C$7)</f>
        <v/>
      </c>
      <c r="J145" s="7">
        <f>IF($S145="","",SUMIFS('Per Line'!$K$2:$K$501,'Per Line'!$A$2:$A$501,$B145,'Per Line'!$V$2:$V$501,0))</f>
        <v/>
      </c>
      <c r="K145" s="7">
        <f>IF($S145="","",J145*I145)</f>
        <v/>
      </c>
      <c r="L145">
        <f>IF($S145="","",Settings!$C$6)</f>
        <v/>
      </c>
      <c r="M145" s="7">
        <f>IF($S145="","",SUMIFS('Per Line'!$K$2:$K$501,'Per Line'!$A$2:$A$501,$B145,'Per Line'!$V$2:$V$501,1))</f>
        <v/>
      </c>
      <c r="N145" s="7">
        <f>IF($S145="","",M145*L145)</f>
        <v/>
      </c>
      <c r="O145" s="7">
        <f>IF($S145="","",N145+K145)</f>
        <v/>
      </c>
      <c r="P145" s="7">
        <f>IF($S145="","",Q145-O145)</f>
        <v/>
      </c>
      <c r="Q145" s="7">
        <f>IF($S145="","",J145+M145)</f>
        <v/>
      </c>
      <c r="R145" s="7">
        <f>IF($S145="","",Q145-O145-G145)</f>
        <v/>
      </c>
      <c r="S145" s="13">
        <f>IF(ROWS($S$2:$S145)&lt;=MAX('Per Line'!$U$2:$U$501),MATCH(ROWS($S$2:$S145),'Per Line'!$U$2:$U$501,0),"")</f>
        <v/>
      </c>
    </row>
    <row r="146">
      <c r="A146" s="12" t="n"/>
      <c r="B146">
        <f>IF($S146="","",INDEX('Per Line'!$A$2:$A$501,$S146)&amp;"")</f>
        <v/>
      </c>
      <c r="C146">
        <f>IF($S146="","",INDEX('Per Line'!$B$2:$B$501,$S146)&amp;"")</f>
        <v/>
      </c>
      <c r="D146">
        <f>IF($S146="","",INDEX('Per Line'!$C$2:$C$501,$S146)&amp;"")</f>
        <v/>
      </c>
      <c r="E146">
        <f>IF($S146="","",INDEX('Per Line'!$D$2:$D$501,$S146)&amp;"")</f>
        <v/>
      </c>
      <c r="F146">
        <f>IF($S146="","",INDEX('Per Line'!$E$2:$E$501,$S146))</f>
        <v/>
      </c>
      <c r="G146" s="7">
        <f>IF($S146="","",F146*Q146/100)</f>
        <v/>
      </c>
      <c r="H146" s="11">
        <f>IF($S146="","",INDEX('Per Line'!$O$2:$O$501,$S146))</f>
        <v/>
      </c>
      <c r="I146">
        <f>IF($S146="","",Settings!$C$7)</f>
        <v/>
      </c>
      <c r="J146" s="7">
        <f>IF($S146="","",SUMIFS('Per Line'!$K$2:$K$501,'Per Line'!$A$2:$A$501,$B146,'Per Line'!$V$2:$V$501,0))</f>
        <v/>
      </c>
      <c r="K146" s="7">
        <f>IF($S146="","",J146*I146)</f>
        <v/>
      </c>
      <c r="L146">
        <f>IF($S146="","",Settings!$C$6)</f>
        <v/>
      </c>
      <c r="M146" s="7">
        <f>IF($S146="","",SUMIFS('Per Line'!$K$2:$K$501,'Per Line'!$A$2:$A$501,$B146,'Per Line'!$V$2:$V$501,1))</f>
        <v/>
      </c>
      <c r="N146" s="7">
        <f>IF($S146="","",M146*L146)</f>
        <v/>
      </c>
      <c r="O146" s="7">
        <f>IF($S146="","",N146+K146)</f>
        <v/>
      </c>
      <c r="P146" s="7">
        <f>IF($S146="","",Q146-O146)</f>
        <v/>
      </c>
      <c r="Q146" s="7">
        <f>IF($S146="","",J146+M146)</f>
        <v/>
      </c>
      <c r="R146" s="7">
        <f>IF($S146="","",Q146-O146-G146)</f>
        <v/>
      </c>
      <c r="S146" s="13">
        <f>IF(ROWS($S$2:$S146)&lt;=MAX('Per Line'!$U$2:$U$501),MATCH(ROWS($S$2:$S146),'Per Line'!$U$2:$U$501,0),"")</f>
        <v/>
      </c>
    </row>
    <row r="147">
      <c r="A147" s="12" t="n"/>
      <c r="B147">
        <f>IF($S147="","",INDEX('Per Line'!$A$2:$A$501,$S147)&amp;"")</f>
        <v/>
      </c>
      <c r="C147">
        <f>IF($S147="","",INDEX('Per Line'!$B$2:$B$501,$S147)&amp;"")</f>
        <v/>
      </c>
      <c r="D147">
        <f>IF($S147="","",INDEX('Per Line'!$C$2:$C$501,$S147)&amp;"")</f>
        <v/>
      </c>
      <c r="E147">
        <f>IF($S147="","",INDEX('Per Line'!$D$2:$D$501,$S147)&amp;"")</f>
        <v/>
      </c>
      <c r="F147">
        <f>IF($S147="","",INDEX('Per Line'!$E$2:$E$501,$S147))</f>
        <v/>
      </c>
      <c r="G147" s="7">
        <f>IF($S147="","",F147*Q147/100)</f>
        <v/>
      </c>
      <c r="H147" s="11">
        <f>IF($S147="","",INDEX('Per Line'!$O$2:$O$501,$S147))</f>
        <v/>
      </c>
      <c r="I147">
        <f>IF($S147="","",Settings!$C$7)</f>
        <v/>
      </c>
      <c r="J147" s="7">
        <f>IF($S147="","",SUMIFS('Per Line'!$K$2:$K$501,'Per Line'!$A$2:$A$501,$B147,'Per Line'!$V$2:$V$501,0))</f>
        <v/>
      </c>
      <c r="K147" s="7">
        <f>IF($S147="","",J147*I147)</f>
        <v/>
      </c>
      <c r="L147">
        <f>IF($S147="","",Settings!$C$6)</f>
        <v/>
      </c>
      <c r="M147" s="7">
        <f>IF($S147="","",SUMIFS('Per Line'!$K$2:$K$501,'Per Line'!$A$2:$A$501,$B147,'Per Line'!$V$2:$V$501,1))</f>
        <v/>
      </c>
      <c r="N147" s="7">
        <f>IF($S147="","",M147*L147)</f>
        <v/>
      </c>
      <c r="O147" s="7">
        <f>IF($S147="","",N147+K147)</f>
        <v/>
      </c>
      <c r="P147" s="7">
        <f>IF($S147="","",Q147-O147)</f>
        <v/>
      </c>
      <c r="Q147" s="7">
        <f>IF($S147="","",J147+M147)</f>
        <v/>
      </c>
      <c r="R147" s="7">
        <f>IF($S147="","",Q147-O147-G147)</f>
        <v/>
      </c>
      <c r="S147" s="13">
        <f>IF(ROWS($S$2:$S147)&lt;=MAX('Per Line'!$U$2:$U$501),MATCH(ROWS($S$2:$S147),'Per Line'!$U$2:$U$501,0),"")</f>
        <v/>
      </c>
    </row>
    <row r="148">
      <c r="A148" s="12" t="n"/>
      <c r="B148">
        <f>IF($S148="","",INDEX('Per Line'!$A$2:$A$501,$S148)&amp;"")</f>
        <v/>
      </c>
      <c r="C148">
        <f>IF($S148="","",INDEX('Per Line'!$B$2:$B$501,$S148)&amp;"")</f>
        <v/>
      </c>
      <c r="D148">
        <f>IF($S148="","",INDEX('Per Line'!$C$2:$C$501,$S148)&amp;"")</f>
        <v/>
      </c>
      <c r="E148">
        <f>IF($S148="","",INDEX('Per Line'!$D$2:$D$501,$S148)&amp;"")</f>
        <v/>
      </c>
      <c r="F148">
        <f>IF($S148="","",INDEX('Per Line'!$E$2:$E$501,$S148))</f>
        <v/>
      </c>
      <c r="G148" s="7">
        <f>IF($S148="","",F148*Q148/100)</f>
        <v/>
      </c>
      <c r="H148" s="11">
        <f>IF($S148="","",INDEX('Per Line'!$O$2:$O$501,$S148))</f>
        <v/>
      </c>
      <c r="I148">
        <f>IF($S148="","",Settings!$C$7)</f>
        <v/>
      </c>
      <c r="J148" s="7">
        <f>IF($S148="","",SUMIFS('Per Line'!$K$2:$K$501,'Per Line'!$A$2:$A$501,$B148,'Per Line'!$V$2:$V$501,0))</f>
        <v/>
      </c>
      <c r="K148" s="7">
        <f>IF($S148="","",J148*I148)</f>
        <v/>
      </c>
      <c r="L148">
        <f>IF($S148="","",Settings!$C$6)</f>
        <v/>
      </c>
      <c r="M148" s="7">
        <f>IF($S148="","",SUMIFS('Per Line'!$K$2:$K$501,'Per Line'!$A$2:$A$501,$B148,'Per Line'!$V$2:$V$501,1))</f>
        <v/>
      </c>
      <c r="N148" s="7">
        <f>IF($S148="","",M148*L148)</f>
        <v/>
      </c>
      <c r="O148" s="7">
        <f>IF($S148="","",N148+K148)</f>
        <v/>
      </c>
      <c r="P148" s="7">
        <f>IF($S148="","",Q148-O148)</f>
        <v/>
      </c>
      <c r="Q148" s="7">
        <f>IF($S148="","",J148+M148)</f>
        <v/>
      </c>
      <c r="R148" s="7">
        <f>IF($S148="","",Q148-O148-G148)</f>
        <v/>
      </c>
      <c r="S148" s="13">
        <f>IF(ROWS($S$2:$S148)&lt;=MAX('Per Line'!$U$2:$U$501),MATCH(ROWS($S$2:$S148),'Per Line'!$U$2:$U$501,0),"")</f>
        <v/>
      </c>
    </row>
    <row r="149">
      <c r="A149" s="12" t="n"/>
      <c r="B149">
        <f>IF($S149="","",INDEX('Per Line'!$A$2:$A$501,$S149)&amp;"")</f>
        <v/>
      </c>
      <c r="C149">
        <f>IF($S149="","",INDEX('Per Line'!$B$2:$B$501,$S149)&amp;"")</f>
        <v/>
      </c>
      <c r="D149">
        <f>IF($S149="","",INDEX('Per Line'!$C$2:$C$501,$S149)&amp;"")</f>
        <v/>
      </c>
      <c r="E149">
        <f>IF($S149="","",INDEX('Per Line'!$D$2:$D$501,$S149)&amp;"")</f>
        <v/>
      </c>
      <c r="F149">
        <f>IF($S149="","",INDEX('Per Line'!$E$2:$E$501,$S149))</f>
        <v/>
      </c>
      <c r="G149" s="7">
        <f>IF($S149="","",F149*Q149/100)</f>
        <v/>
      </c>
      <c r="H149" s="11">
        <f>IF($S149="","",INDEX('Per Line'!$O$2:$O$501,$S149))</f>
        <v/>
      </c>
      <c r="I149">
        <f>IF($S149="","",Settings!$C$7)</f>
        <v/>
      </c>
      <c r="J149" s="7">
        <f>IF($S149="","",SUMIFS('Per Line'!$K$2:$K$501,'Per Line'!$A$2:$A$501,$B149,'Per Line'!$V$2:$V$501,0))</f>
        <v/>
      </c>
      <c r="K149" s="7">
        <f>IF($S149="","",J149*I149)</f>
        <v/>
      </c>
      <c r="L149">
        <f>IF($S149="","",Settings!$C$6)</f>
        <v/>
      </c>
      <c r="M149" s="7">
        <f>IF($S149="","",SUMIFS('Per Line'!$K$2:$K$501,'Per Line'!$A$2:$A$501,$B149,'Per Line'!$V$2:$V$501,1))</f>
        <v/>
      </c>
      <c r="N149" s="7">
        <f>IF($S149="","",M149*L149)</f>
        <v/>
      </c>
      <c r="O149" s="7">
        <f>IF($S149="","",N149+K149)</f>
        <v/>
      </c>
      <c r="P149" s="7">
        <f>IF($S149="","",Q149-O149)</f>
        <v/>
      </c>
      <c r="Q149" s="7">
        <f>IF($S149="","",J149+M149)</f>
        <v/>
      </c>
      <c r="R149" s="7">
        <f>IF($S149="","",Q149-O149-G149)</f>
        <v/>
      </c>
      <c r="S149" s="13">
        <f>IF(ROWS($S$2:$S149)&lt;=MAX('Per Line'!$U$2:$U$501),MATCH(ROWS($S$2:$S149),'Per Line'!$U$2:$U$501,0),"")</f>
        <v/>
      </c>
    </row>
    <row r="150">
      <c r="A150" s="12" t="n"/>
      <c r="B150">
        <f>IF($S150="","",INDEX('Per Line'!$A$2:$A$501,$S150)&amp;"")</f>
        <v/>
      </c>
      <c r="C150">
        <f>IF($S150="","",INDEX('Per Line'!$B$2:$B$501,$S150)&amp;"")</f>
        <v/>
      </c>
      <c r="D150">
        <f>IF($S150="","",INDEX('Per Line'!$C$2:$C$501,$S150)&amp;"")</f>
        <v/>
      </c>
      <c r="E150">
        <f>IF($S150="","",INDEX('Per Line'!$D$2:$D$501,$S150)&amp;"")</f>
        <v/>
      </c>
      <c r="F150">
        <f>IF($S150="","",INDEX('Per Line'!$E$2:$E$501,$S150))</f>
        <v/>
      </c>
      <c r="G150" s="7">
        <f>IF($S150="","",F150*Q150/100)</f>
        <v/>
      </c>
      <c r="H150" s="11">
        <f>IF($S150="","",INDEX('Per Line'!$O$2:$O$501,$S150))</f>
        <v/>
      </c>
      <c r="I150">
        <f>IF($S150="","",Settings!$C$7)</f>
        <v/>
      </c>
      <c r="J150" s="7">
        <f>IF($S150="","",SUMIFS('Per Line'!$K$2:$K$501,'Per Line'!$A$2:$A$501,$B150,'Per Line'!$V$2:$V$501,0))</f>
        <v/>
      </c>
      <c r="K150" s="7">
        <f>IF($S150="","",J150*I150)</f>
        <v/>
      </c>
      <c r="L150">
        <f>IF($S150="","",Settings!$C$6)</f>
        <v/>
      </c>
      <c r="M150" s="7">
        <f>IF($S150="","",SUMIFS('Per Line'!$K$2:$K$501,'Per Line'!$A$2:$A$501,$B150,'Per Line'!$V$2:$V$501,1))</f>
        <v/>
      </c>
      <c r="N150" s="7">
        <f>IF($S150="","",M150*L150)</f>
        <v/>
      </c>
      <c r="O150" s="7">
        <f>IF($S150="","",N150+K150)</f>
        <v/>
      </c>
      <c r="P150" s="7">
        <f>IF($S150="","",Q150-O150)</f>
        <v/>
      </c>
      <c r="Q150" s="7">
        <f>IF($S150="","",J150+M150)</f>
        <v/>
      </c>
      <c r="R150" s="7">
        <f>IF($S150="","",Q150-O150-G150)</f>
        <v/>
      </c>
      <c r="S150" s="13">
        <f>IF(ROWS($S$2:$S150)&lt;=MAX('Per Line'!$U$2:$U$501),MATCH(ROWS($S$2:$S150),'Per Line'!$U$2:$U$501,0),"")</f>
        <v/>
      </c>
    </row>
    <row r="151">
      <c r="A151" s="12" t="n"/>
      <c r="B151">
        <f>IF($S151="","",INDEX('Per Line'!$A$2:$A$501,$S151)&amp;"")</f>
        <v/>
      </c>
      <c r="C151">
        <f>IF($S151="","",INDEX('Per Line'!$B$2:$B$501,$S151)&amp;"")</f>
        <v/>
      </c>
      <c r="D151">
        <f>IF($S151="","",INDEX('Per Line'!$C$2:$C$501,$S151)&amp;"")</f>
        <v/>
      </c>
      <c r="E151">
        <f>IF($S151="","",INDEX('Per Line'!$D$2:$D$501,$S151)&amp;"")</f>
        <v/>
      </c>
      <c r="F151">
        <f>IF($S151="","",INDEX('Per Line'!$E$2:$E$501,$S151))</f>
        <v/>
      </c>
      <c r="G151" s="7">
        <f>IF($S151="","",F151*Q151/100)</f>
        <v/>
      </c>
      <c r="H151" s="11">
        <f>IF($S151="","",INDEX('Per Line'!$O$2:$O$501,$S151))</f>
        <v/>
      </c>
      <c r="I151">
        <f>IF($S151="","",Settings!$C$7)</f>
        <v/>
      </c>
      <c r="J151" s="7">
        <f>IF($S151="","",SUMIFS('Per Line'!$K$2:$K$501,'Per Line'!$A$2:$A$501,$B151,'Per Line'!$V$2:$V$501,0))</f>
        <v/>
      </c>
      <c r="K151" s="7">
        <f>IF($S151="","",J151*I151)</f>
        <v/>
      </c>
      <c r="L151">
        <f>IF($S151="","",Settings!$C$6)</f>
        <v/>
      </c>
      <c r="M151" s="7">
        <f>IF($S151="","",SUMIFS('Per Line'!$K$2:$K$501,'Per Line'!$A$2:$A$501,$B151,'Per Line'!$V$2:$V$501,1))</f>
        <v/>
      </c>
      <c r="N151" s="7">
        <f>IF($S151="","",M151*L151)</f>
        <v/>
      </c>
      <c r="O151" s="7">
        <f>IF($S151="","",N151+K151)</f>
        <v/>
      </c>
      <c r="P151" s="7">
        <f>IF($S151="","",Q151-O151)</f>
        <v/>
      </c>
      <c r="Q151" s="7">
        <f>IF($S151="","",J151+M151)</f>
        <v/>
      </c>
      <c r="R151" s="7">
        <f>IF($S151="","",Q151-O151-G151)</f>
        <v/>
      </c>
      <c r="S151" s="13">
        <f>IF(ROWS($S$2:$S151)&lt;=MAX('Per Line'!$U$2:$U$501),MATCH(ROWS($S$2:$S151),'Per Line'!$U$2:$U$501,0),"")</f>
        <v/>
      </c>
    </row>
    <row r="152">
      <c r="A152" s="12" t="n"/>
      <c r="B152">
        <f>IF($S152="","",INDEX('Per Line'!$A$2:$A$501,$S152)&amp;"")</f>
        <v/>
      </c>
      <c r="C152">
        <f>IF($S152="","",INDEX('Per Line'!$B$2:$B$501,$S152)&amp;"")</f>
        <v/>
      </c>
      <c r="D152">
        <f>IF($S152="","",INDEX('Per Line'!$C$2:$C$501,$S152)&amp;"")</f>
        <v/>
      </c>
      <c r="E152">
        <f>IF($S152="","",INDEX('Per Line'!$D$2:$D$501,$S152)&amp;"")</f>
        <v/>
      </c>
      <c r="F152">
        <f>IF($S152="","",INDEX('Per Line'!$E$2:$E$501,$S152))</f>
        <v/>
      </c>
      <c r="G152" s="7">
        <f>IF($S152="","",F152*Q152/100)</f>
        <v/>
      </c>
      <c r="H152" s="11">
        <f>IF($S152="","",INDEX('Per Line'!$O$2:$O$501,$S152))</f>
        <v/>
      </c>
      <c r="I152">
        <f>IF($S152="","",Settings!$C$7)</f>
        <v/>
      </c>
      <c r="J152" s="7">
        <f>IF($S152="","",SUMIFS('Per Line'!$K$2:$K$501,'Per Line'!$A$2:$A$501,$B152,'Per Line'!$V$2:$V$501,0))</f>
        <v/>
      </c>
      <c r="K152" s="7">
        <f>IF($S152="","",J152*I152)</f>
        <v/>
      </c>
      <c r="L152">
        <f>IF($S152="","",Settings!$C$6)</f>
        <v/>
      </c>
      <c r="M152" s="7">
        <f>IF($S152="","",SUMIFS('Per Line'!$K$2:$K$501,'Per Line'!$A$2:$A$501,$B152,'Per Line'!$V$2:$V$501,1))</f>
        <v/>
      </c>
      <c r="N152" s="7">
        <f>IF($S152="","",M152*L152)</f>
        <v/>
      </c>
      <c r="O152" s="7">
        <f>IF($S152="","",N152+K152)</f>
        <v/>
      </c>
      <c r="P152" s="7">
        <f>IF($S152="","",Q152-O152)</f>
        <v/>
      </c>
      <c r="Q152" s="7">
        <f>IF($S152="","",J152+M152)</f>
        <v/>
      </c>
      <c r="R152" s="7">
        <f>IF($S152="","",Q152-O152-G152)</f>
        <v/>
      </c>
      <c r="S152" s="13">
        <f>IF(ROWS($S$2:$S152)&lt;=MAX('Per Line'!$U$2:$U$501),MATCH(ROWS($S$2:$S152),'Per Line'!$U$2:$U$501,0),"")</f>
        <v/>
      </c>
    </row>
    <row r="153">
      <c r="A153" s="12" t="n"/>
      <c r="B153">
        <f>IF($S153="","",INDEX('Per Line'!$A$2:$A$501,$S153)&amp;"")</f>
        <v/>
      </c>
      <c r="C153">
        <f>IF($S153="","",INDEX('Per Line'!$B$2:$B$501,$S153)&amp;"")</f>
        <v/>
      </c>
      <c r="D153">
        <f>IF($S153="","",INDEX('Per Line'!$C$2:$C$501,$S153)&amp;"")</f>
        <v/>
      </c>
      <c r="E153">
        <f>IF($S153="","",INDEX('Per Line'!$D$2:$D$501,$S153)&amp;"")</f>
        <v/>
      </c>
      <c r="F153">
        <f>IF($S153="","",INDEX('Per Line'!$E$2:$E$501,$S153))</f>
        <v/>
      </c>
      <c r="G153" s="7">
        <f>IF($S153="","",F153*Q153/100)</f>
        <v/>
      </c>
      <c r="H153" s="11">
        <f>IF($S153="","",INDEX('Per Line'!$O$2:$O$501,$S153))</f>
        <v/>
      </c>
      <c r="I153">
        <f>IF($S153="","",Settings!$C$7)</f>
        <v/>
      </c>
      <c r="J153" s="7">
        <f>IF($S153="","",SUMIFS('Per Line'!$K$2:$K$501,'Per Line'!$A$2:$A$501,$B153,'Per Line'!$V$2:$V$501,0))</f>
        <v/>
      </c>
      <c r="K153" s="7">
        <f>IF($S153="","",J153*I153)</f>
        <v/>
      </c>
      <c r="L153">
        <f>IF($S153="","",Settings!$C$6)</f>
        <v/>
      </c>
      <c r="M153" s="7">
        <f>IF($S153="","",SUMIFS('Per Line'!$K$2:$K$501,'Per Line'!$A$2:$A$501,$B153,'Per Line'!$V$2:$V$501,1))</f>
        <v/>
      </c>
      <c r="N153" s="7">
        <f>IF($S153="","",M153*L153)</f>
        <v/>
      </c>
      <c r="O153" s="7">
        <f>IF($S153="","",N153+K153)</f>
        <v/>
      </c>
      <c r="P153" s="7">
        <f>IF($S153="","",Q153-O153)</f>
        <v/>
      </c>
      <c r="Q153" s="7">
        <f>IF($S153="","",J153+M153)</f>
        <v/>
      </c>
      <c r="R153" s="7">
        <f>IF($S153="","",Q153-O153-G153)</f>
        <v/>
      </c>
      <c r="S153" s="13">
        <f>IF(ROWS($S$2:$S153)&lt;=MAX('Per Line'!$U$2:$U$501),MATCH(ROWS($S$2:$S153),'Per Line'!$U$2:$U$501,0),"")</f>
        <v/>
      </c>
    </row>
    <row r="154">
      <c r="A154" s="12" t="n"/>
      <c r="B154">
        <f>IF($S154="","",INDEX('Per Line'!$A$2:$A$501,$S154)&amp;"")</f>
        <v/>
      </c>
      <c r="C154">
        <f>IF($S154="","",INDEX('Per Line'!$B$2:$B$501,$S154)&amp;"")</f>
        <v/>
      </c>
      <c r="D154">
        <f>IF($S154="","",INDEX('Per Line'!$C$2:$C$501,$S154)&amp;"")</f>
        <v/>
      </c>
      <c r="E154">
        <f>IF($S154="","",INDEX('Per Line'!$D$2:$D$501,$S154)&amp;"")</f>
        <v/>
      </c>
      <c r="F154">
        <f>IF($S154="","",INDEX('Per Line'!$E$2:$E$501,$S154))</f>
        <v/>
      </c>
      <c r="G154" s="7">
        <f>IF($S154="","",F154*Q154/100)</f>
        <v/>
      </c>
      <c r="H154" s="11">
        <f>IF($S154="","",INDEX('Per Line'!$O$2:$O$501,$S154))</f>
        <v/>
      </c>
      <c r="I154">
        <f>IF($S154="","",Settings!$C$7)</f>
        <v/>
      </c>
      <c r="J154" s="7">
        <f>IF($S154="","",SUMIFS('Per Line'!$K$2:$K$501,'Per Line'!$A$2:$A$501,$B154,'Per Line'!$V$2:$V$501,0))</f>
        <v/>
      </c>
      <c r="K154" s="7">
        <f>IF($S154="","",J154*I154)</f>
        <v/>
      </c>
      <c r="L154">
        <f>IF($S154="","",Settings!$C$6)</f>
        <v/>
      </c>
      <c r="M154" s="7">
        <f>IF($S154="","",SUMIFS('Per Line'!$K$2:$K$501,'Per Line'!$A$2:$A$501,$B154,'Per Line'!$V$2:$V$501,1))</f>
        <v/>
      </c>
      <c r="N154" s="7">
        <f>IF($S154="","",M154*L154)</f>
        <v/>
      </c>
      <c r="O154" s="7">
        <f>IF($S154="","",N154+K154)</f>
        <v/>
      </c>
      <c r="P154" s="7">
        <f>IF($S154="","",Q154-O154)</f>
        <v/>
      </c>
      <c r="Q154" s="7">
        <f>IF($S154="","",J154+M154)</f>
        <v/>
      </c>
      <c r="R154" s="7">
        <f>IF($S154="","",Q154-O154-G154)</f>
        <v/>
      </c>
      <c r="S154" s="13">
        <f>IF(ROWS($S$2:$S154)&lt;=MAX('Per Line'!$U$2:$U$501),MATCH(ROWS($S$2:$S154),'Per Line'!$U$2:$U$501,0),"")</f>
        <v/>
      </c>
    </row>
    <row r="155">
      <c r="A155" s="12" t="n"/>
      <c r="B155">
        <f>IF($S155="","",INDEX('Per Line'!$A$2:$A$501,$S155)&amp;"")</f>
        <v/>
      </c>
      <c r="C155">
        <f>IF($S155="","",INDEX('Per Line'!$B$2:$B$501,$S155)&amp;"")</f>
        <v/>
      </c>
      <c r="D155">
        <f>IF($S155="","",INDEX('Per Line'!$C$2:$C$501,$S155)&amp;"")</f>
        <v/>
      </c>
      <c r="E155">
        <f>IF($S155="","",INDEX('Per Line'!$D$2:$D$501,$S155)&amp;"")</f>
        <v/>
      </c>
      <c r="F155">
        <f>IF($S155="","",INDEX('Per Line'!$E$2:$E$501,$S155))</f>
        <v/>
      </c>
      <c r="G155" s="7">
        <f>IF($S155="","",F155*Q155/100)</f>
        <v/>
      </c>
      <c r="H155" s="11">
        <f>IF($S155="","",INDEX('Per Line'!$O$2:$O$501,$S155))</f>
        <v/>
      </c>
      <c r="I155">
        <f>IF($S155="","",Settings!$C$7)</f>
        <v/>
      </c>
      <c r="J155" s="7">
        <f>IF($S155="","",SUMIFS('Per Line'!$K$2:$K$501,'Per Line'!$A$2:$A$501,$B155,'Per Line'!$V$2:$V$501,0))</f>
        <v/>
      </c>
      <c r="K155" s="7">
        <f>IF($S155="","",J155*I155)</f>
        <v/>
      </c>
      <c r="L155">
        <f>IF($S155="","",Settings!$C$6)</f>
        <v/>
      </c>
      <c r="M155" s="7">
        <f>IF($S155="","",SUMIFS('Per Line'!$K$2:$K$501,'Per Line'!$A$2:$A$501,$B155,'Per Line'!$V$2:$V$501,1))</f>
        <v/>
      </c>
      <c r="N155" s="7">
        <f>IF($S155="","",M155*L155)</f>
        <v/>
      </c>
      <c r="O155" s="7">
        <f>IF($S155="","",N155+K155)</f>
        <v/>
      </c>
      <c r="P155" s="7">
        <f>IF($S155="","",Q155-O155)</f>
        <v/>
      </c>
      <c r="Q155" s="7">
        <f>IF($S155="","",J155+M155)</f>
        <v/>
      </c>
      <c r="R155" s="7">
        <f>IF($S155="","",Q155-O155-G155)</f>
        <v/>
      </c>
      <c r="S155" s="13">
        <f>IF(ROWS($S$2:$S155)&lt;=MAX('Per Line'!$U$2:$U$501),MATCH(ROWS($S$2:$S155),'Per Line'!$U$2:$U$501,0),"")</f>
        <v/>
      </c>
    </row>
    <row r="156">
      <c r="A156" s="12" t="n"/>
      <c r="B156">
        <f>IF($S156="","",INDEX('Per Line'!$A$2:$A$501,$S156)&amp;"")</f>
        <v/>
      </c>
      <c r="C156">
        <f>IF($S156="","",INDEX('Per Line'!$B$2:$B$501,$S156)&amp;"")</f>
        <v/>
      </c>
      <c r="D156">
        <f>IF($S156="","",INDEX('Per Line'!$C$2:$C$501,$S156)&amp;"")</f>
        <v/>
      </c>
      <c r="E156">
        <f>IF($S156="","",INDEX('Per Line'!$D$2:$D$501,$S156)&amp;"")</f>
        <v/>
      </c>
      <c r="F156">
        <f>IF($S156="","",INDEX('Per Line'!$E$2:$E$501,$S156))</f>
        <v/>
      </c>
      <c r="G156" s="7">
        <f>IF($S156="","",F156*Q156/100)</f>
        <v/>
      </c>
      <c r="H156" s="11">
        <f>IF($S156="","",INDEX('Per Line'!$O$2:$O$501,$S156))</f>
        <v/>
      </c>
      <c r="I156">
        <f>IF($S156="","",Settings!$C$7)</f>
        <v/>
      </c>
      <c r="J156" s="7">
        <f>IF($S156="","",SUMIFS('Per Line'!$K$2:$K$501,'Per Line'!$A$2:$A$501,$B156,'Per Line'!$V$2:$V$501,0))</f>
        <v/>
      </c>
      <c r="K156" s="7">
        <f>IF($S156="","",J156*I156)</f>
        <v/>
      </c>
      <c r="L156">
        <f>IF($S156="","",Settings!$C$6)</f>
        <v/>
      </c>
      <c r="M156" s="7">
        <f>IF($S156="","",SUMIFS('Per Line'!$K$2:$K$501,'Per Line'!$A$2:$A$501,$B156,'Per Line'!$V$2:$V$501,1))</f>
        <v/>
      </c>
      <c r="N156" s="7">
        <f>IF($S156="","",M156*L156)</f>
        <v/>
      </c>
      <c r="O156" s="7">
        <f>IF($S156="","",N156+K156)</f>
        <v/>
      </c>
      <c r="P156" s="7">
        <f>IF($S156="","",Q156-O156)</f>
        <v/>
      </c>
      <c r="Q156" s="7">
        <f>IF($S156="","",J156+M156)</f>
        <v/>
      </c>
      <c r="R156" s="7">
        <f>IF($S156="","",Q156-O156-G156)</f>
        <v/>
      </c>
      <c r="S156" s="13">
        <f>IF(ROWS($S$2:$S156)&lt;=MAX('Per Line'!$U$2:$U$501),MATCH(ROWS($S$2:$S156),'Per Line'!$U$2:$U$501,0),"")</f>
        <v/>
      </c>
    </row>
    <row r="157">
      <c r="A157" s="12" t="n"/>
      <c r="B157">
        <f>IF($S157="","",INDEX('Per Line'!$A$2:$A$501,$S157)&amp;"")</f>
        <v/>
      </c>
      <c r="C157">
        <f>IF($S157="","",INDEX('Per Line'!$B$2:$B$501,$S157)&amp;"")</f>
        <v/>
      </c>
      <c r="D157">
        <f>IF($S157="","",INDEX('Per Line'!$C$2:$C$501,$S157)&amp;"")</f>
        <v/>
      </c>
      <c r="E157">
        <f>IF($S157="","",INDEX('Per Line'!$D$2:$D$501,$S157)&amp;"")</f>
        <v/>
      </c>
      <c r="F157">
        <f>IF($S157="","",INDEX('Per Line'!$E$2:$E$501,$S157))</f>
        <v/>
      </c>
      <c r="G157" s="7">
        <f>IF($S157="","",F157*Q157/100)</f>
        <v/>
      </c>
      <c r="H157" s="11">
        <f>IF($S157="","",INDEX('Per Line'!$O$2:$O$501,$S157))</f>
        <v/>
      </c>
      <c r="I157">
        <f>IF($S157="","",Settings!$C$7)</f>
        <v/>
      </c>
      <c r="J157" s="7">
        <f>IF($S157="","",SUMIFS('Per Line'!$K$2:$K$501,'Per Line'!$A$2:$A$501,$B157,'Per Line'!$V$2:$V$501,0))</f>
        <v/>
      </c>
      <c r="K157" s="7">
        <f>IF($S157="","",J157*I157)</f>
        <v/>
      </c>
      <c r="L157">
        <f>IF($S157="","",Settings!$C$6)</f>
        <v/>
      </c>
      <c r="M157" s="7">
        <f>IF($S157="","",SUMIFS('Per Line'!$K$2:$K$501,'Per Line'!$A$2:$A$501,$B157,'Per Line'!$V$2:$V$501,1))</f>
        <v/>
      </c>
      <c r="N157" s="7">
        <f>IF($S157="","",M157*L157)</f>
        <v/>
      </c>
      <c r="O157" s="7">
        <f>IF($S157="","",N157+K157)</f>
        <v/>
      </c>
      <c r="P157" s="7">
        <f>IF($S157="","",Q157-O157)</f>
        <v/>
      </c>
      <c r="Q157" s="7">
        <f>IF($S157="","",J157+M157)</f>
        <v/>
      </c>
      <c r="R157" s="7">
        <f>IF($S157="","",Q157-O157-G157)</f>
        <v/>
      </c>
      <c r="S157" s="13">
        <f>IF(ROWS($S$2:$S157)&lt;=MAX('Per Line'!$U$2:$U$501),MATCH(ROWS($S$2:$S157),'Per Line'!$U$2:$U$501,0),"")</f>
        <v/>
      </c>
    </row>
    <row r="158">
      <c r="A158" s="12" t="n"/>
      <c r="B158">
        <f>IF($S158="","",INDEX('Per Line'!$A$2:$A$501,$S158)&amp;"")</f>
        <v/>
      </c>
      <c r="C158">
        <f>IF($S158="","",INDEX('Per Line'!$B$2:$B$501,$S158)&amp;"")</f>
        <v/>
      </c>
      <c r="D158">
        <f>IF($S158="","",INDEX('Per Line'!$C$2:$C$501,$S158)&amp;"")</f>
        <v/>
      </c>
      <c r="E158">
        <f>IF($S158="","",INDEX('Per Line'!$D$2:$D$501,$S158)&amp;"")</f>
        <v/>
      </c>
      <c r="F158">
        <f>IF($S158="","",INDEX('Per Line'!$E$2:$E$501,$S158))</f>
        <v/>
      </c>
      <c r="G158" s="7">
        <f>IF($S158="","",F158*Q158/100)</f>
        <v/>
      </c>
      <c r="H158" s="11">
        <f>IF($S158="","",INDEX('Per Line'!$O$2:$O$501,$S158))</f>
        <v/>
      </c>
      <c r="I158">
        <f>IF($S158="","",Settings!$C$7)</f>
        <v/>
      </c>
      <c r="J158" s="7">
        <f>IF($S158="","",SUMIFS('Per Line'!$K$2:$K$501,'Per Line'!$A$2:$A$501,$B158,'Per Line'!$V$2:$V$501,0))</f>
        <v/>
      </c>
      <c r="K158" s="7">
        <f>IF($S158="","",J158*I158)</f>
        <v/>
      </c>
      <c r="L158">
        <f>IF($S158="","",Settings!$C$6)</f>
        <v/>
      </c>
      <c r="M158" s="7">
        <f>IF($S158="","",SUMIFS('Per Line'!$K$2:$K$501,'Per Line'!$A$2:$A$501,$B158,'Per Line'!$V$2:$V$501,1))</f>
        <v/>
      </c>
      <c r="N158" s="7">
        <f>IF($S158="","",M158*L158)</f>
        <v/>
      </c>
      <c r="O158" s="7">
        <f>IF($S158="","",N158+K158)</f>
        <v/>
      </c>
      <c r="P158" s="7">
        <f>IF($S158="","",Q158-O158)</f>
        <v/>
      </c>
      <c r="Q158" s="7">
        <f>IF($S158="","",J158+M158)</f>
        <v/>
      </c>
      <c r="R158" s="7">
        <f>IF($S158="","",Q158-O158-G158)</f>
        <v/>
      </c>
      <c r="S158" s="13">
        <f>IF(ROWS($S$2:$S158)&lt;=MAX('Per Line'!$U$2:$U$501),MATCH(ROWS($S$2:$S158),'Per Line'!$U$2:$U$501,0),"")</f>
        <v/>
      </c>
    </row>
    <row r="159">
      <c r="A159" s="12" t="n"/>
      <c r="B159">
        <f>IF($S159="","",INDEX('Per Line'!$A$2:$A$501,$S159)&amp;"")</f>
        <v/>
      </c>
      <c r="C159">
        <f>IF($S159="","",INDEX('Per Line'!$B$2:$B$501,$S159)&amp;"")</f>
        <v/>
      </c>
      <c r="D159">
        <f>IF($S159="","",INDEX('Per Line'!$C$2:$C$501,$S159)&amp;"")</f>
        <v/>
      </c>
      <c r="E159">
        <f>IF($S159="","",INDEX('Per Line'!$D$2:$D$501,$S159)&amp;"")</f>
        <v/>
      </c>
      <c r="F159">
        <f>IF($S159="","",INDEX('Per Line'!$E$2:$E$501,$S159))</f>
        <v/>
      </c>
      <c r="G159" s="7">
        <f>IF($S159="","",F159*Q159/100)</f>
        <v/>
      </c>
      <c r="H159" s="11">
        <f>IF($S159="","",INDEX('Per Line'!$O$2:$O$501,$S159))</f>
        <v/>
      </c>
      <c r="I159">
        <f>IF($S159="","",Settings!$C$7)</f>
        <v/>
      </c>
      <c r="J159" s="7">
        <f>IF($S159="","",SUMIFS('Per Line'!$K$2:$K$501,'Per Line'!$A$2:$A$501,$B159,'Per Line'!$V$2:$V$501,0))</f>
        <v/>
      </c>
      <c r="K159" s="7">
        <f>IF($S159="","",J159*I159)</f>
        <v/>
      </c>
      <c r="L159">
        <f>IF($S159="","",Settings!$C$6)</f>
        <v/>
      </c>
      <c r="M159" s="7">
        <f>IF($S159="","",SUMIFS('Per Line'!$K$2:$K$501,'Per Line'!$A$2:$A$501,$B159,'Per Line'!$V$2:$V$501,1))</f>
        <v/>
      </c>
      <c r="N159" s="7">
        <f>IF($S159="","",M159*L159)</f>
        <v/>
      </c>
      <c r="O159" s="7">
        <f>IF($S159="","",N159+K159)</f>
        <v/>
      </c>
      <c r="P159" s="7">
        <f>IF($S159="","",Q159-O159)</f>
        <v/>
      </c>
      <c r="Q159" s="7">
        <f>IF($S159="","",J159+M159)</f>
        <v/>
      </c>
      <c r="R159" s="7">
        <f>IF($S159="","",Q159-O159-G159)</f>
        <v/>
      </c>
      <c r="S159" s="13">
        <f>IF(ROWS($S$2:$S159)&lt;=MAX('Per Line'!$U$2:$U$501),MATCH(ROWS($S$2:$S159),'Per Line'!$U$2:$U$501,0),"")</f>
        <v/>
      </c>
    </row>
    <row r="160">
      <c r="A160" s="12" t="n"/>
      <c r="B160">
        <f>IF($S160="","",INDEX('Per Line'!$A$2:$A$501,$S160)&amp;"")</f>
        <v/>
      </c>
      <c r="C160">
        <f>IF($S160="","",INDEX('Per Line'!$B$2:$B$501,$S160)&amp;"")</f>
        <v/>
      </c>
      <c r="D160">
        <f>IF($S160="","",INDEX('Per Line'!$C$2:$C$501,$S160)&amp;"")</f>
        <v/>
      </c>
      <c r="E160">
        <f>IF($S160="","",INDEX('Per Line'!$D$2:$D$501,$S160)&amp;"")</f>
        <v/>
      </c>
      <c r="F160">
        <f>IF($S160="","",INDEX('Per Line'!$E$2:$E$501,$S160))</f>
        <v/>
      </c>
      <c r="G160" s="7">
        <f>IF($S160="","",F160*Q160/100)</f>
        <v/>
      </c>
      <c r="H160" s="11">
        <f>IF($S160="","",INDEX('Per Line'!$O$2:$O$501,$S160))</f>
        <v/>
      </c>
      <c r="I160">
        <f>IF($S160="","",Settings!$C$7)</f>
        <v/>
      </c>
      <c r="J160" s="7">
        <f>IF($S160="","",SUMIFS('Per Line'!$K$2:$K$501,'Per Line'!$A$2:$A$501,$B160,'Per Line'!$V$2:$V$501,0))</f>
        <v/>
      </c>
      <c r="K160" s="7">
        <f>IF($S160="","",J160*I160)</f>
        <v/>
      </c>
      <c r="L160">
        <f>IF($S160="","",Settings!$C$6)</f>
        <v/>
      </c>
      <c r="M160" s="7">
        <f>IF($S160="","",SUMIFS('Per Line'!$K$2:$K$501,'Per Line'!$A$2:$A$501,$B160,'Per Line'!$V$2:$V$501,1))</f>
        <v/>
      </c>
      <c r="N160" s="7">
        <f>IF($S160="","",M160*L160)</f>
        <v/>
      </c>
      <c r="O160" s="7">
        <f>IF($S160="","",N160+K160)</f>
        <v/>
      </c>
      <c r="P160" s="7">
        <f>IF($S160="","",Q160-O160)</f>
        <v/>
      </c>
      <c r="Q160" s="7">
        <f>IF($S160="","",J160+M160)</f>
        <v/>
      </c>
      <c r="R160" s="7">
        <f>IF($S160="","",Q160-O160-G160)</f>
        <v/>
      </c>
      <c r="S160" s="13">
        <f>IF(ROWS($S$2:$S160)&lt;=MAX('Per Line'!$U$2:$U$501),MATCH(ROWS($S$2:$S160),'Per Line'!$U$2:$U$501,0),"")</f>
        <v/>
      </c>
    </row>
    <row r="161">
      <c r="A161" s="12" t="n"/>
      <c r="B161">
        <f>IF($S161="","",INDEX('Per Line'!$A$2:$A$501,$S161)&amp;"")</f>
        <v/>
      </c>
      <c r="C161">
        <f>IF($S161="","",INDEX('Per Line'!$B$2:$B$501,$S161)&amp;"")</f>
        <v/>
      </c>
      <c r="D161">
        <f>IF($S161="","",INDEX('Per Line'!$C$2:$C$501,$S161)&amp;"")</f>
        <v/>
      </c>
      <c r="E161">
        <f>IF($S161="","",INDEX('Per Line'!$D$2:$D$501,$S161)&amp;"")</f>
        <v/>
      </c>
      <c r="F161">
        <f>IF($S161="","",INDEX('Per Line'!$E$2:$E$501,$S161))</f>
        <v/>
      </c>
      <c r="G161" s="7">
        <f>IF($S161="","",F161*Q161/100)</f>
        <v/>
      </c>
      <c r="H161" s="11">
        <f>IF($S161="","",INDEX('Per Line'!$O$2:$O$501,$S161))</f>
        <v/>
      </c>
      <c r="I161">
        <f>IF($S161="","",Settings!$C$7)</f>
        <v/>
      </c>
      <c r="J161" s="7">
        <f>IF($S161="","",SUMIFS('Per Line'!$K$2:$K$501,'Per Line'!$A$2:$A$501,$B161,'Per Line'!$V$2:$V$501,0))</f>
        <v/>
      </c>
      <c r="K161" s="7">
        <f>IF($S161="","",J161*I161)</f>
        <v/>
      </c>
      <c r="L161">
        <f>IF($S161="","",Settings!$C$6)</f>
        <v/>
      </c>
      <c r="M161" s="7">
        <f>IF($S161="","",SUMIFS('Per Line'!$K$2:$K$501,'Per Line'!$A$2:$A$501,$B161,'Per Line'!$V$2:$V$501,1))</f>
        <v/>
      </c>
      <c r="N161" s="7">
        <f>IF($S161="","",M161*L161)</f>
        <v/>
      </c>
      <c r="O161" s="7">
        <f>IF($S161="","",N161+K161)</f>
        <v/>
      </c>
      <c r="P161" s="7">
        <f>IF($S161="","",Q161-O161)</f>
        <v/>
      </c>
      <c r="Q161" s="7">
        <f>IF($S161="","",J161+M161)</f>
        <v/>
      </c>
      <c r="R161" s="7">
        <f>IF($S161="","",Q161-O161-G161)</f>
        <v/>
      </c>
      <c r="S161" s="13">
        <f>IF(ROWS($S$2:$S161)&lt;=MAX('Per Line'!$U$2:$U$501),MATCH(ROWS($S$2:$S161),'Per Line'!$U$2:$U$501,0),"")</f>
        <v/>
      </c>
    </row>
    <row r="162">
      <c r="A162" s="12" t="n"/>
      <c r="B162">
        <f>IF($S162="","",INDEX('Per Line'!$A$2:$A$501,$S162)&amp;"")</f>
        <v/>
      </c>
      <c r="C162">
        <f>IF($S162="","",INDEX('Per Line'!$B$2:$B$501,$S162)&amp;"")</f>
        <v/>
      </c>
      <c r="D162">
        <f>IF($S162="","",INDEX('Per Line'!$C$2:$C$501,$S162)&amp;"")</f>
        <v/>
      </c>
      <c r="E162">
        <f>IF($S162="","",INDEX('Per Line'!$D$2:$D$501,$S162)&amp;"")</f>
        <v/>
      </c>
      <c r="F162">
        <f>IF($S162="","",INDEX('Per Line'!$E$2:$E$501,$S162))</f>
        <v/>
      </c>
      <c r="G162" s="7">
        <f>IF($S162="","",F162*Q162/100)</f>
        <v/>
      </c>
      <c r="H162" s="11">
        <f>IF($S162="","",INDEX('Per Line'!$O$2:$O$501,$S162))</f>
        <v/>
      </c>
      <c r="I162">
        <f>IF($S162="","",Settings!$C$7)</f>
        <v/>
      </c>
      <c r="J162" s="7">
        <f>IF($S162="","",SUMIFS('Per Line'!$K$2:$K$501,'Per Line'!$A$2:$A$501,$B162,'Per Line'!$V$2:$V$501,0))</f>
        <v/>
      </c>
      <c r="K162" s="7">
        <f>IF($S162="","",J162*I162)</f>
        <v/>
      </c>
      <c r="L162">
        <f>IF($S162="","",Settings!$C$6)</f>
        <v/>
      </c>
      <c r="M162" s="7">
        <f>IF($S162="","",SUMIFS('Per Line'!$K$2:$K$501,'Per Line'!$A$2:$A$501,$B162,'Per Line'!$V$2:$V$501,1))</f>
        <v/>
      </c>
      <c r="N162" s="7">
        <f>IF($S162="","",M162*L162)</f>
        <v/>
      </c>
      <c r="O162" s="7">
        <f>IF($S162="","",N162+K162)</f>
        <v/>
      </c>
      <c r="P162" s="7">
        <f>IF($S162="","",Q162-O162)</f>
        <v/>
      </c>
      <c r="Q162" s="7">
        <f>IF($S162="","",J162+M162)</f>
        <v/>
      </c>
      <c r="R162" s="7">
        <f>IF($S162="","",Q162-O162-G162)</f>
        <v/>
      </c>
      <c r="S162" s="13">
        <f>IF(ROWS($S$2:$S162)&lt;=MAX('Per Line'!$U$2:$U$501),MATCH(ROWS($S$2:$S162),'Per Line'!$U$2:$U$501,0),"")</f>
        <v/>
      </c>
    </row>
    <row r="163">
      <c r="A163" s="12" t="n"/>
      <c r="B163">
        <f>IF($S163="","",INDEX('Per Line'!$A$2:$A$501,$S163)&amp;"")</f>
        <v/>
      </c>
      <c r="C163">
        <f>IF($S163="","",INDEX('Per Line'!$B$2:$B$501,$S163)&amp;"")</f>
        <v/>
      </c>
      <c r="D163">
        <f>IF($S163="","",INDEX('Per Line'!$C$2:$C$501,$S163)&amp;"")</f>
        <v/>
      </c>
      <c r="E163">
        <f>IF($S163="","",INDEX('Per Line'!$D$2:$D$501,$S163)&amp;"")</f>
        <v/>
      </c>
      <c r="F163">
        <f>IF($S163="","",INDEX('Per Line'!$E$2:$E$501,$S163))</f>
        <v/>
      </c>
      <c r="G163" s="7">
        <f>IF($S163="","",F163*Q163/100)</f>
        <v/>
      </c>
      <c r="H163" s="11">
        <f>IF($S163="","",INDEX('Per Line'!$O$2:$O$501,$S163))</f>
        <v/>
      </c>
      <c r="I163">
        <f>IF($S163="","",Settings!$C$7)</f>
        <v/>
      </c>
      <c r="J163" s="7">
        <f>IF($S163="","",SUMIFS('Per Line'!$K$2:$K$501,'Per Line'!$A$2:$A$501,$B163,'Per Line'!$V$2:$V$501,0))</f>
        <v/>
      </c>
      <c r="K163" s="7">
        <f>IF($S163="","",J163*I163)</f>
        <v/>
      </c>
      <c r="L163">
        <f>IF($S163="","",Settings!$C$6)</f>
        <v/>
      </c>
      <c r="M163" s="7">
        <f>IF($S163="","",SUMIFS('Per Line'!$K$2:$K$501,'Per Line'!$A$2:$A$501,$B163,'Per Line'!$V$2:$V$501,1))</f>
        <v/>
      </c>
      <c r="N163" s="7">
        <f>IF($S163="","",M163*L163)</f>
        <v/>
      </c>
      <c r="O163" s="7">
        <f>IF($S163="","",N163+K163)</f>
        <v/>
      </c>
      <c r="P163" s="7">
        <f>IF($S163="","",Q163-O163)</f>
        <v/>
      </c>
      <c r="Q163" s="7">
        <f>IF($S163="","",J163+M163)</f>
        <v/>
      </c>
      <c r="R163" s="7">
        <f>IF($S163="","",Q163-O163-G163)</f>
        <v/>
      </c>
      <c r="S163" s="13">
        <f>IF(ROWS($S$2:$S163)&lt;=MAX('Per Line'!$U$2:$U$501),MATCH(ROWS($S$2:$S163),'Per Line'!$U$2:$U$501,0),"")</f>
        <v/>
      </c>
    </row>
    <row r="164">
      <c r="A164" s="12" t="n"/>
      <c r="B164">
        <f>IF($S164="","",INDEX('Per Line'!$A$2:$A$501,$S164)&amp;"")</f>
        <v/>
      </c>
      <c r="C164">
        <f>IF($S164="","",INDEX('Per Line'!$B$2:$B$501,$S164)&amp;"")</f>
        <v/>
      </c>
      <c r="D164">
        <f>IF($S164="","",INDEX('Per Line'!$C$2:$C$501,$S164)&amp;"")</f>
        <v/>
      </c>
      <c r="E164">
        <f>IF($S164="","",INDEX('Per Line'!$D$2:$D$501,$S164)&amp;"")</f>
        <v/>
      </c>
      <c r="F164">
        <f>IF($S164="","",INDEX('Per Line'!$E$2:$E$501,$S164))</f>
        <v/>
      </c>
      <c r="G164" s="7">
        <f>IF($S164="","",F164*Q164/100)</f>
        <v/>
      </c>
      <c r="H164" s="11">
        <f>IF($S164="","",INDEX('Per Line'!$O$2:$O$501,$S164))</f>
        <v/>
      </c>
      <c r="I164">
        <f>IF($S164="","",Settings!$C$7)</f>
        <v/>
      </c>
      <c r="J164" s="7">
        <f>IF($S164="","",SUMIFS('Per Line'!$K$2:$K$501,'Per Line'!$A$2:$A$501,$B164,'Per Line'!$V$2:$V$501,0))</f>
        <v/>
      </c>
      <c r="K164" s="7">
        <f>IF($S164="","",J164*I164)</f>
        <v/>
      </c>
      <c r="L164">
        <f>IF($S164="","",Settings!$C$6)</f>
        <v/>
      </c>
      <c r="M164" s="7">
        <f>IF($S164="","",SUMIFS('Per Line'!$K$2:$K$501,'Per Line'!$A$2:$A$501,$B164,'Per Line'!$V$2:$V$501,1))</f>
        <v/>
      </c>
      <c r="N164" s="7">
        <f>IF($S164="","",M164*L164)</f>
        <v/>
      </c>
      <c r="O164" s="7">
        <f>IF($S164="","",N164+K164)</f>
        <v/>
      </c>
      <c r="P164" s="7">
        <f>IF($S164="","",Q164-O164)</f>
        <v/>
      </c>
      <c r="Q164" s="7">
        <f>IF($S164="","",J164+M164)</f>
        <v/>
      </c>
      <c r="R164" s="7">
        <f>IF($S164="","",Q164-O164-G164)</f>
        <v/>
      </c>
      <c r="S164" s="13">
        <f>IF(ROWS($S$2:$S164)&lt;=MAX('Per Line'!$U$2:$U$501),MATCH(ROWS($S$2:$S164),'Per Line'!$U$2:$U$501,0),"")</f>
        <v/>
      </c>
    </row>
    <row r="165">
      <c r="A165" s="12" t="n"/>
      <c r="B165">
        <f>IF($S165="","",INDEX('Per Line'!$A$2:$A$501,$S165)&amp;"")</f>
        <v/>
      </c>
      <c r="C165">
        <f>IF($S165="","",INDEX('Per Line'!$B$2:$B$501,$S165)&amp;"")</f>
        <v/>
      </c>
      <c r="D165">
        <f>IF($S165="","",INDEX('Per Line'!$C$2:$C$501,$S165)&amp;"")</f>
        <v/>
      </c>
      <c r="E165">
        <f>IF($S165="","",INDEX('Per Line'!$D$2:$D$501,$S165)&amp;"")</f>
        <v/>
      </c>
      <c r="F165">
        <f>IF($S165="","",INDEX('Per Line'!$E$2:$E$501,$S165))</f>
        <v/>
      </c>
      <c r="G165" s="7">
        <f>IF($S165="","",F165*Q165/100)</f>
        <v/>
      </c>
      <c r="H165" s="11">
        <f>IF($S165="","",INDEX('Per Line'!$O$2:$O$501,$S165))</f>
        <v/>
      </c>
      <c r="I165">
        <f>IF($S165="","",Settings!$C$7)</f>
        <v/>
      </c>
      <c r="J165" s="7">
        <f>IF($S165="","",SUMIFS('Per Line'!$K$2:$K$501,'Per Line'!$A$2:$A$501,$B165,'Per Line'!$V$2:$V$501,0))</f>
        <v/>
      </c>
      <c r="K165" s="7">
        <f>IF($S165="","",J165*I165)</f>
        <v/>
      </c>
      <c r="L165">
        <f>IF($S165="","",Settings!$C$6)</f>
        <v/>
      </c>
      <c r="M165" s="7">
        <f>IF($S165="","",SUMIFS('Per Line'!$K$2:$K$501,'Per Line'!$A$2:$A$501,$B165,'Per Line'!$V$2:$V$501,1))</f>
        <v/>
      </c>
      <c r="N165" s="7">
        <f>IF($S165="","",M165*L165)</f>
        <v/>
      </c>
      <c r="O165" s="7">
        <f>IF($S165="","",N165+K165)</f>
        <v/>
      </c>
      <c r="P165" s="7">
        <f>IF($S165="","",Q165-O165)</f>
        <v/>
      </c>
      <c r="Q165" s="7">
        <f>IF($S165="","",J165+M165)</f>
        <v/>
      </c>
      <c r="R165" s="7">
        <f>IF($S165="","",Q165-O165-G165)</f>
        <v/>
      </c>
      <c r="S165" s="13">
        <f>IF(ROWS($S$2:$S165)&lt;=MAX('Per Line'!$U$2:$U$501),MATCH(ROWS($S$2:$S165),'Per Line'!$U$2:$U$501,0),"")</f>
        <v/>
      </c>
    </row>
    <row r="166">
      <c r="A166" s="12" t="n"/>
      <c r="B166">
        <f>IF($S166="","",INDEX('Per Line'!$A$2:$A$501,$S166)&amp;"")</f>
        <v/>
      </c>
      <c r="C166">
        <f>IF($S166="","",INDEX('Per Line'!$B$2:$B$501,$S166)&amp;"")</f>
        <v/>
      </c>
      <c r="D166">
        <f>IF($S166="","",INDEX('Per Line'!$C$2:$C$501,$S166)&amp;"")</f>
        <v/>
      </c>
      <c r="E166">
        <f>IF($S166="","",INDEX('Per Line'!$D$2:$D$501,$S166)&amp;"")</f>
        <v/>
      </c>
      <c r="F166">
        <f>IF($S166="","",INDEX('Per Line'!$E$2:$E$501,$S166))</f>
        <v/>
      </c>
      <c r="G166" s="7">
        <f>IF($S166="","",F166*Q166/100)</f>
        <v/>
      </c>
      <c r="H166" s="11">
        <f>IF($S166="","",INDEX('Per Line'!$O$2:$O$501,$S166))</f>
        <v/>
      </c>
      <c r="I166">
        <f>IF($S166="","",Settings!$C$7)</f>
        <v/>
      </c>
      <c r="J166" s="7">
        <f>IF($S166="","",SUMIFS('Per Line'!$K$2:$K$501,'Per Line'!$A$2:$A$501,$B166,'Per Line'!$V$2:$V$501,0))</f>
        <v/>
      </c>
      <c r="K166" s="7">
        <f>IF($S166="","",J166*I166)</f>
        <v/>
      </c>
      <c r="L166">
        <f>IF($S166="","",Settings!$C$6)</f>
        <v/>
      </c>
      <c r="M166" s="7">
        <f>IF($S166="","",SUMIFS('Per Line'!$K$2:$K$501,'Per Line'!$A$2:$A$501,$B166,'Per Line'!$V$2:$V$501,1))</f>
        <v/>
      </c>
      <c r="N166" s="7">
        <f>IF($S166="","",M166*L166)</f>
        <v/>
      </c>
      <c r="O166" s="7">
        <f>IF($S166="","",N166+K166)</f>
        <v/>
      </c>
      <c r="P166" s="7">
        <f>IF($S166="","",Q166-O166)</f>
        <v/>
      </c>
      <c r="Q166" s="7">
        <f>IF($S166="","",J166+M166)</f>
        <v/>
      </c>
      <c r="R166" s="7">
        <f>IF($S166="","",Q166-O166-G166)</f>
        <v/>
      </c>
      <c r="S166" s="13">
        <f>IF(ROWS($S$2:$S166)&lt;=MAX('Per Line'!$U$2:$U$501),MATCH(ROWS($S$2:$S166),'Per Line'!$U$2:$U$501,0),"")</f>
        <v/>
      </c>
    </row>
    <row r="167">
      <c r="A167" s="12" t="n"/>
      <c r="B167">
        <f>IF($S167="","",INDEX('Per Line'!$A$2:$A$501,$S167)&amp;"")</f>
        <v/>
      </c>
      <c r="C167">
        <f>IF($S167="","",INDEX('Per Line'!$B$2:$B$501,$S167)&amp;"")</f>
        <v/>
      </c>
      <c r="D167">
        <f>IF($S167="","",INDEX('Per Line'!$C$2:$C$501,$S167)&amp;"")</f>
        <v/>
      </c>
      <c r="E167">
        <f>IF($S167="","",INDEX('Per Line'!$D$2:$D$501,$S167)&amp;"")</f>
        <v/>
      </c>
      <c r="F167">
        <f>IF($S167="","",INDEX('Per Line'!$E$2:$E$501,$S167))</f>
        <v/>
      </c>
      <c r="G167" s="7">
        <f>IF($S167="","",F167*Q167/100)</f>
        <v/>
      </c>
      <c r="H167" s="11">
        <f>IF($S167="","",INDEX('Per Line'!$O$2:$O$501,$S167))</f>
        <v/>
      </c>
      <c r="I167">
        <f>IF($S167="","",Settings!$C$7)</f>
        <v/>
      </c>
      <c r="J167" s="7">
        <f>IF($S167="","",SUMIFS('Per Line'!$K$2:$K$501,'Per Line'!$A$2:$A$501,$B167,'Per Line'!$V$2:$V$501,0))</f>
        <v/>
      </c>
      <c r="K167" s="7">
        <f>IF($S167="","",J167*I167)</f>
        <v/>
      </c>
      <c r="L167">
        <f>IF($S167="","",Settings!$C$6)</f>
        <v/>
      </c>
      <c r="M167" s="7">
        <f>IF($S167="","",SUMIFS('Per Line'!$K$2:$K$501,'Per Line'!$A$2:$A$501,$B167,'Per Line'!$V$2:$V$501,1))</f>
        <v/>
      </c>
      <c r="N167" s="7">
        <f>IF($S167="","",M167*L167)</f>
        <v/>
      </c>
      <c r="O167" s="7">
        <f>IF($S167="","",N167+K167)</f>
        <v/>
      </c>
      <c r="P167" s="7">
        <f>IF($S167="","",Q167-O167)</f>
        <v/>
      </c>
      <c r="Q167" s="7">
        <f>IF($S167="","",J167+M167)</f>
        <v/>
      </c>
      <c r="R167" s="7">
        <f>IF($S167="","",Q167-O167-G167)</f>
        <v/>
      </c>
      <c r="S167" s="13">
        <f>IF(ROWS($S$2:$S167)&lt;=MAX('Per Line'!$U$2:$U$501),MATCH(ROWS($S$2:$S167),'Per Line'!$U$2:$U$501,0),"")</f>
        <v/>
      </c>
    </row>
    <row r="168">
      <c r="A168" s="12" t="n"/>
      <c r="B168">
        <f>IF($S168="","",INDEX('Per Line'!$A$2:$A$501,$S168)&amp;"")</f>
        <v/>
      </c>
      <c r="C168">
        <f>IF($S168="","",INDEX('Per Line'!$B$2:$B$501,$S168)&amp;"")</f>
        <v/>
      </c>
      <c r="D168">
        <f>IF($S168="","",INDEX('Per Line'!$C$2:$C$501,$S168)&amp;"")</f>
        <v/>
      </c>
      <c r="E168">
        <f>IF($S168="","",INDEX('Per Line'!$D$2:$D$501,$S168)&amp;"")</f>
        <v/>
      </c>
      <c r="F168">
        <f>IF($S168="","",INDEX('Per Line'!$E$2:$E$501,$S168))</f>
        <v/>
      </c>
      <c r="G168" s="7">
        <f>IF($S168="","",F168*Q168/100)</f>
        <v/>
      </c>
      <c r="H168" s="11">
        <f>IF($S168="","",INDEX('Per Line'!$O$2:$O$501,$S168))</f>
        <v/>
      </c>
      <c r="I168">
        <f>IF($S168="","",Settings!$C$7)</f>
        <v/>
      </c>
      <c r="J168" s="7">
        <f>IF($S168="","",SUMIFS('Per Line'!$K$2:$K$501,'Per Line'!$A$2:$A$501,$B168,'Per Line'!$V$2:$V$501,0))</f>
        <v/>
      </c>
      <c r="K168" s="7">
        <f>IF($S168="","",J168*I168)</f>
        <v/>
      </c>
      <c r="L168">
        <f>IF($S168="","",Settings!$C$6)</f>
        <v/>
      </c>
      <c r="M168" s="7">
        <f>IF($S168="","",SUMIFS('Per Line'!$K$2:$K$501,'Per Line'!$A$2:$A$501,$B168,'Per Line'!$V$2:$V$501,1))</f>
        <v/>
      </c>
      <c r="N168" s="7">
        <f>IF($S168="","",M168*L168)</f>
        <v/>
      </c>
      <c r="O168" s="7">
        <f>IF($S168="","",N168+K168)</f>
        <v/>
      </c>
      <c r="P168" s="7">
        <f>IF($S168="","",Q168-O168)</f>
        <v/>
      </c>
      <c r="Q168" s="7">
        <f>IF($S168="","",J168+M168)</f>
        <v/>
      </c>
      <c r="R168" s="7">
        <f>IF($S168="","",Q168-O168-G168)</f>
        <v/>
      </c>
      <c r="S168" s="13">
        <f>IF(ROWS($S$2:$S168)&lt;=MAX('Per Line'!$U$2:$U$501),MATCH(ROWS($S$2:$S168),'Per Line'!$U$2:$U$501,0),"")</f>
        <v/>
      </c>
    </row>
    <row r="169">
      <c r="A169" s="12" t="n"/>
      <c r="B169">
        <f>IF($S169="","",INDEX('Per Line'!$A$2:$A$501,$S169)&amp;"")</f>
        <v/>
      </c>
      <c r="C169">
        <f>IF($S169="","",INDEX('Per Line'!$B$2:$B$501,$S169)&amp;"")</f>
        <v/>
      </c>
      <c r="D169">
        <f>IF($S169="","",INDEX('Per Line'!$C$2:$C$501,$S169)&amp;"")</f>
        <v/>
      </c>
      <c r="E169">
        <f>IF($S169="","",INDEX('Per Line'!$D$2:$D$501,$S169)&amp;"")</f>
        <v/>
      </c>
      <c r="F169">
        <f>IF($S169="","",INDEX('Per Line'!$E$2:$E$501,$S169))</f>
        <v/>
      </c>
      <c r="G169" s="7">
        <f>IF($S169="","",F169*Q169/100)</f>
        <v/>
      </c>
      <c r="H169" s="11">
        <f>IF($S169="","",INDEX('Per Line'!$O$2:$O$501,$S169))</f>
        <v/>
      </c>
      <c r="I169">
        <f>IF($S169="","",Settings!$C$7)</f>
        <v/>
      </c>
      <c r="J169" s="7">
        <f>IF($S169="","",SUMIFS('Per Line'!$K$2:$K$501,'Per Line'!$A$2:$A$501,$B169,'Per Line'!$V$2:$V$501,0))</f>
        <v/>
      </c>
      <c r="K169" s="7">
        <f>IF($S169="","",J169*I169)</f>
        <v/>
      </c>
      <c r="L169">
        <f>IF($S169="","",Settings!$C$6)</f>
        <v/>
      </c>
      <c r="M169" s="7">
        <f>IF($S169="","",SUMIFS('Per Line'!$K$2:$K$501,'Per Line'!$A$2:$A$501,$B169,'Per Line'!$V$2:$V$501,1))</f>
        <v/>
      </c>
      <c r="N169" s="7">
        <f>IF($S169="","",M169*L169)</f>
        <v/>
      </c>
      <c r="O169" s="7">
        <f>IF($S169="","",N169+K169)</f>
        <v/>
      </c>
      <c r="P169" s="7">
        <f>IF($S169="","",Q169-O169)</f>
        <v/>
      </c>
      <c r="Q169" s="7">
        <f>IF($S169="","",J169+M169)</f>
        <v/>
      </c>
      <c r="R169" s="7">
        <f>IF($S169="","",Q169-O169-G169)</f>
        <v/>
      </c>
      <c r="S169" s="13">
        <f>IF(ROWS($S$2:$S169)&lt;=MAX('Per Line'!$U$2:$U$501),MATCH(ROWS($S$2:$S169),'Per Line'!$U$2:$U$501,0),"")</f>
        <v/>
      </c>
    </row>
    <row r="170">
      <c r="A170" s="12" t="n"/>
      <c r="B170">
        <f>IF($S170="","",INDEX('Per Line'!$A$2:$A$501,$S170)&amp;"")</f>
        <v/>
      </c>
      <c r="C170">
        <f>IF($S170="","",INDEX('Per Line'!$B$2:$B$501,$S170)&amp;"")</f>
        <v/>
      </c>
      <c r="D170">
        <f>IF($S170="","",INDEX('Per Line'!$C$2:$C$501,$S170)&amp;"")</f>
        <v/>
      </c>
      <c r="E170">
        <f>IF($S170="","",INDEX('Per Line'!$D$2:$D$501,$S170)&amp;"")</f>
        <v/>
      </c>
      <c r="F170">
        <f>IF($S170="","",INDEX('Per Line'!$E$2:$E$501,$S170))</f>
        <v/>
      </c>
      <c r="G170" s="7">
        <f>IF($S170="","",F170*Q170/100)</f>
        <v/>
      </c>
      <c r="H170" s="11">
        <f>IF($S170="","",INDEX('Per Line'!$O$2:$O$501,$S170))</f>
        <v/>
      </c>
      <c r="I170">
        <f>IF($S170="","",Settings!$C$7)</f>
        <v/>
      </c>
      <c r="J170" s="7">
        <f>IF($S170="","",SUMIFS('Per Line'!$K$2:$K$501,'Per Line'!$A$2:$A$501,$B170,'Per Line'!$V$2:$V$501,0))</f>
        <v/>
      </c>
      <c r="K170" s="7">
        <f>IF($S170="","",J170*I170)</f>
        <v/>
      </c>
      <c r="L170">
        <f>IF($S170="","",Settings!$C$6)</f>
        <v/>
      </c>
      <c r="M170" s="7">
        <f>IF($S170="","",SUMIFS('Per Line'!$K$2:$K$501,'Per Line'!$A$2:$A$501,$B170,'Per Line'!$V$2:$V$501,1))</f>
        <v/>
      </c>
      <c r="N170" s="7">
        <f>IF($S170="","",M170*L170)</f>
        <v/>
      </c>
      <c r="O170" s="7">
        <f>IF($S170="","",N170+K170)</f>
        <v/>
      </c>
      <c r="P170" s="7">
        <f>IF($S170="","",Q170-O170)</f>
        <v/>
      </c>
      <c r="Q170" s="7">
        <f>IF($S170="","",J170+M170)</f>
        <v/>
      </c>
      <c r="R170" s="7">
        <f>IF($S170="","",Q170-O170-G170)</f>
        <v/>
      </c>
      <c r="S170" s="13">
        <f>IF(ROWS($S$2:$S170)&lt;=MAX('Per Line'!$U$2:$U$501),MATCH(ROWS($S$2:$S170),'Per Line'!$U$2:$U$501,0),"")</f>
        <v/>
      </c>
    </row>
    <row r="171">
      <c r="A171" s="12" t="n"/>
      <c r="B171">
        <f>IF($S171="","",INDEX('Per Line'!$A$2:$A$501,$S171)&amp;"")</f>
        <v/>
      </c>
      <c r="C171">
        <f>IF($S171="","",INDEX('Per Line'!$B$2:$B$501,$S171)&amp;"")</f>
        <v/>
      </c>
      <c r="D171">
        <f>IF($S171="","",INDEX('Per Line'!$C$2:$C$501,$S171)&amp;"")</f>
        <v/>
      </c>
      <c r="E171">
        <f>IF($S171="","",INDEX('Per Line'!$D$2:$D$501,$S171)&amp;"")</f>
        <v/>
      </c>
      <c r="F171">
        <f>IF($S171="","",INDEX('Per Line'!$E$2:$E$501,$S171))</f>
        <v/>
      </c>
      <c r="G171" s="7">
        <f>IF($S171="","",F171*Q171/100)</f>
        <v/>
      </c>
      <c r="H171" s="11">
        <f>IF($S171="","",INDEX('Per Line'!$O$2:$O$501,$S171))</f>
        <v/>
      </c>
      <c r="I171">
        <f>IF($S171="","",Settings!$C$7)</f>
        <v/>
      </c>
      <c r="J171" s="7">
        <f>IF($S171="","",SUMIFS('Per Line'!$K$2:$K$501,'Per Line'!$A$2:$A$501,$B171,'Per Line'!$V$2:$V$501,0))</f>
        <v/>
      </c>
      <c r="K171" s="7">
        <f>IF($S171="","",J171*I171)</f>
        <v/>
      </c>
      <c r="L171">
        <f>IF($S171="","",Settings!$C$6)</f>
        <v/>
      </c>
      <c r="M171" s="7">
        <f>IF($S171="","",SUMIFS('Per Line'!$K$2:$K$501,'Per Line'!$A$2:$A$501,$B171,'Per Line'!$V$2:$V$501,1))</f>
        <v/>
      </c>
      <c r="N171" s="7">
        <f>IF($S171="","",M171*L171)</f>
        <v/>
      </c>
      <c r="O171" s="7">
        <f>IF($S171="","",N171+K171)</f>
        <v/>
      </c>
      <c r="P171" s="7">
        <f>IF($S171="","",Q171-O171)</f>
        <v/>
      </c>
      <c r="Q171" s="7">
        <f>IF($S171="","",J171+M171)</f>
        <v/>
      </c>
      <c r="R171" s="7">
        <f>IF($S171="","",Q171-O171-G171)</f>
        <v/>
      </c>
      <c r="S171" s="13">
        <f>IF(ROWS($S$2:$S171)&lt;=MAX('Per Line'!$U$2:$U$501),MATCH(ROWS($S$2:$S171),'Per Line'!$U$2:$U$501,0),"")</f>
        <v/>
      </c>
    </row>
    <row r="172">
      <c r="A172" s="12" t="n"/>
      <c r="B172">
        <f>IF($S172="","",INDEX('Per Line'!$A$2:$A$501,$S172)&amp;"")</f>
        <v/>
      </c>
      <c r="C172">
        <f>IF($S172="","",INDEX('Per Line'!$B$2:$B$501,$S172)&amp;"")</f>
        <v/>
      </c>
      <c r="D172">
        <f>IF($S172="","",INDEX('Per Line'!$C$2:$C$501,$S172)&amp;"")</f>
        <v/>
      </c>
      <c r="E172">
        <f>IF($S172="","",INDEX('Per Line'!$D$2:$D$501,$S172)&amp;"")</f>
        <v/>
      </c>
      <c r="F172">
        <f>IF($S172="","",INDEX('Per Line'!$E$2:$E$501,$S172))</f>
        <v/>
      </c>
      <c r="G172" s="7">
        <f>IF($S172="","",F172*Q172/100)</f>
        <v/>
      </c>
      <c r="H172" s="11">
        <f>IF($S172="","",INDEX('Per Line'!$O$2:$O$501,$S172))</f>
        <v/>
      </c>
      <c r="I172">
        <f>IF($S172="","",Settings!$C$7)</f>
        <v/>
      </c>
      <c r="J172" s="7">
        <f>IF($S172="","",SUMIFS('Per Line'!$K$2:$K$501,'Per Line'!$A$2:$A$501,$B172,'Per Line'!$V$2:$V$501,0))</f>
        <v/>
      </c>
      <c r="K172" s="7">
        <f>IF($S172="","",J172*I172)</f>
        <v/>
      </c>
      <c r="L172">
        <f>IF($S172="","",Settings!$C$6)</f>
        <v/>
      </c>
      <c r="M172" s="7">
        <f>IF($S172="","",SUMIFS('Per Line'!$K$2:$K$501,'Per Line'!$A$2:$A$501,$B172,'Per Line'!$V$2:$V$501,1))</f>
        <v/>
      </c>
      <c r="N172" s="7">
        <f>IF($S172="","",M172*L172)</f>
        <v/>
      </c>
      <c r="O172" s="7">
        <f>IF($S172="","",N172+K172)</f>
        <v/>
      </c>
      <c r="P172" s="7">
        <f>IF($S172="","",Q172-O172)</f>
        <v/>
      </c>
      <c r="Q172" s="7">
        <f>IF($S172="","",J172+M172)</f>
        <v/>
      </c>
      <c r="R172" s="7">
        <f>IF($S172="","",Q172-O172-G172)</f>
        <v/>
      </c>
      <c r="S172" s="13">
        <f>IF(ROWS($S$2:$S172)&lt;=MAX('Per Line'!$U$2:$U$501),MATCH(ROWS($S$2:$S172),'Per Line'!$U$2:$U$501,0),"")</f>
        <v/>
      </c>
    </row>
    <row r="173">
      <c r="A173" s="12" t="n"/>
      <c r="B173">
        <f>IF($S173="","",INDEX('Per Line'!$A$2:$A$501,$S173)&amp;"")</f>
        <v/>
      </c>
      <c r="C173">
        <f>IF($S173="","",INDEX('Per Line'!$B$2:$B$501,$S173)&amp;"")</f>
        <v/>
      </c>
      <c r="D173">
        <f>IF($S173="","",INDEX('Per Line'!$C$2:$C$501,$S173)&amp;"")</f>
        <v/>
      </c>
      <c r="E173">
        <f>IF($S173="","",INDEX('Per Line'!$D$2:$D$501,$S173)&amp;"")</f>
        <v/>
      </c>
      <c r="F173">
        <f>IF($S173="","",INDEX('Per Line'!$E$2:$E$501,$S173))</f>
        <v/>
      </c>
      <c r="G173" s="7">
        <f>IF($S173="","",F173*Q173/100)</f>
        <v/>
      </c>
      <c r="H173" s="11">
        <f>IF($S173="","",INDEX('Per Line'!$O$2:$O$501,$S173))</f>
        <v/>
      </c>
      <c r="I173">
        <f>IF($S173="","",Settings!$C$7)</f>
        <v/>
      </c>
      <c r="J173" s="7">
        <f>IF($S173="","",SUMIFS('Per Line'!$K$2:$K$501,'Per Line'!$A$2:$A$501,$B173,'Per Line'!$V$2:$V$501,0))</f>
        <v/>
      </c>
      <c r="K173" s="7">
        <f>IF($S173="","",J173*I173)</f>
        <v/>
      </c>
      <c r="L173">
        <f>IF($S173="","",Settings!$C$6)</f>
        <v/>
      </c>
      <c r="M173" s="7">
        <f>IF($S173="","",SUMIFS('Per Line'!$K$2:$K$501,'Per Line'!$A$2:$A$501,$B173,'Per Line'!$V$2:$V$501,1))</f>
        <v/>
      </c>
      <c r="N173" s="7">
        <f>IF($S173="","",M173*L173)</f>
        <v/>
      </c>
      <c r="O173" s="7">
        <f>IF($S173="","",N173+K173)</f>
        <v/>
      </c>
      <c r="P173" s="7">
        <f>IF($S173="","",Q173-O173)</f>
        <v/>
      </c>
      <c r="Q173" s="7">
        <f>IF($S173="","",J173+M173)</f>
        <v/>
      </c>
      <c r="R173" s="7">
        <f>IF($S173="","",Q173-O173-G173)</f>
        <v/>
      </c>
      <c r="S173" s="13">
        <f>IF(ROWS($S$2:$S173)&lt;=MAX('Per Line'!$U$2:$U$501),MATCH(ROWS($S$2:$S173),'Per Line'!$U$2:$U$501,0),"")</f>
        <v/>
      </c>
    </row>
    <row r="174">
      <c r="A174" s="12" t="n"/>
      <c r="B174">
        <f>IF($S174="","",INDEX('Per Line'!$A$2:$A$501,$S174)&amp;"")</f>
        <v/>
      </c>
      <c r="C174">
        <f>IF($S174="","",INDEX('Per Line'!$B$2:$B$501,$S174)&amp;"")</f>
        <v/>
      </c>
      <c r="D174">
        <f>IF($S174="","",INDEX('Per Line'!$C$2:$C$501,$S174)&amp;"")</f>
        <v/>
      </c>
      <c r="E174">
        <f>IF($S174="","",INDEX('Per Line'!$D$2:$D$501,$S174)&amp;"")</f>
        <v/>
      </c>
      <c r="F174">
        <f>IF($S174="","",INDEX('Per Line'!$E$2:$E$501,$S174))</f>
        <v/>
      </c>
      <c r="G174" s="7">
        <f>IF($S174="","",F174*Q174/100)</f>
        <v/>
      </c>
      <c r="H174" s="11">
        <f>IF($S174="","",INDEX('Per Line'!$O$2:$O$501,$S174))</f>
        <v/>
      </c>
      <c r="I174">
        <f>IF($S174="","",Settings!$C$7)</f>
        <v/>
      </c>
      <c r="J174" s="7">
        <f>IF($S174="","",SUMIFS('Per Line'!$K$2:$K$501,'Per Line'!$A$2:$A$501,$B174,'Per Line'!$V$2:$V$501,0))</f>
        <v/>
      </c>
      <c r="K174" s="7">
        <f>IF($S174="","",J174*I174)</f>
        <v/>
      </c>
      <c r="L174">
        <f>IF($S174="","",Settings!$C$6)</f>
        <v/>
      </c>
      <c r="M174" s="7">
        <f>IF($S174="","",SUMIFS('Per Line'!$K$2:$K$501,'Per Line'!$A$2:$A$501,$B174,'Per Line'!$V$2:$V$501,1))</f>
        <v/>
      </c>
      <c r="N174" s="7">
        <f>IF($S174="","",M174*L174)</f>
        <v/>
      </c>
      <c r="O174" s="7">
        <f>IF($S174="","",N174+K174)</f>
        <v/>
      </c>
      <c r="P174" s="7">
        <f>IF($S174="","",Q174-O174)</f>
        <v/>
      </c>
      <c r="Q174" s="7">
        <f>IF($S174="","",J174+M174)</f>
        <v/>
      </c>
      <c r="R174" s="7">
        <f>IF($S174="","",Q174-O174-G174)</f>
        <v/>
      </c>
      <c r="S174" s="13">
        <f>IF(ROWS($S$2:$S174)&lt;=MAX('Per Line'!$U$2:$U$501),MATCH(ROWS($S$2:$S174),'Per Line'!$U$2:$U$501,0),"")</f>
        <v/>
      </c>
    </row>
    <row r="175">
      <c r="A175" s="12" t="n"/>
      <c r="B175">
        <f>IF($S175="","",INDEX('Per Line'!$A$2:$A$501,$S175)&amp;"")</f>
        <v/>
      </c>
      <c r="C175">
        <f>IF($S175="","",INDEX('Per Line'!$B$2:$B$501,$S175)&amp;"")</f>
        <v/>
      </c>
      <c r="D175">
        <f>IF($S175="","",INDEX('Per Line'!$C$2:$C$501,$S175)&amp;"")</f>
        <v/>
      </c>
      <c r="E175">
        <f>IF($S175="","",INDEX('Per Line'!$D$2:$D$501,$S175)&amp;"")</f>
        <v/>
      </c>
      <c r="F175">
        <f>IF($S175="","",INDEX('Per Line'!$E$2:$E$501,$S175))</f>
        <v/>
      </c>
      <c r="G175" s="7">
        <f>IF($S175="","",F175*Q175/100)</f>
        <v/>
      </c>
      <c r="H175" s="11">
        <f>IF($S175="","",INDEX('Per Line'!$O$2:$O$501,$S175))</f>
        <v/>
      </c>
      <c r="I175">
        <f>IF($S175="","",Settings!$C$7)</f>
        <v/>
      </c>
      <c r="J175" s="7">
        <f>IF($S175="","",SUMIFS('Per Line'!$K$2:$K$501,'Per Line'!$A$2:$A$501,$B175,'Per Line'!$V$2:$V$501,0))</f>
        <v/>
      </c>
      <c r="K175" s="7">
        <f>IF($S175="","",J175*I175)</f>
        <v/>
      </c>
      <c r="L175">
        <f>IF($S175="","",Settings!$C$6)</f>
        <v/>
      </c>
      <c r="M175" s="7">
        <f>IF($S175="","",SUMIFS('Per Line'!$K$2:$K$501,'Per Line'!$A$2:$A$501,$B175,'Per Line'!$V$2:$V$501,1))</f>
        <v/>
      </c>
      <c r="N175" s="7">
        <f>IF($S175="","",M175*L175)</f>
        <v/>
      </c>
      <c r="O175" s="7">
        <f>IF($S175="","",N175+K175)</f>
        <v/>
      </c>
      <c r="P175" s="7">
        <f>IF($S175="","",Q175-O175)</f>
        <v/>
      </c>
      <c r="Q175" s="7">
        <f>IF($S175="","",J175+M175)</f>
        <v/>
      </c>
      <c r="R175" s="7">
        <f>IF($S175="","",Q175-O175-G175)</f>
        <v/>
      </c>
      <c r="S175" s="13">
        <f>IF(ROWS($S$2:$S175)&lt;=MAX('Per Line'!$U$2:$U$501),MATCH(ROWS($S$2:$S175),'Per Line'!$U$2:$U$501,0),"")</f>
        <v/>
      </c>
    </row>
    <row r="176">
      <c r="A176" s="12" t="n"/>
      <c r="B176">
        <f>IF($S176="","",INDEX('Per Line'!$A$2:$A$501,$S176)&amp;"")</f>
        <v/>
      </c>
      <c r="C176">
        <f>IF($S176="","",INDEX('Per Line'!$B$2:$B$501,$S176)&amp;"")</f>
        <v/>
      </c>
      <c r="D176">
        <f>IF($S176="","",INDEX('Per Line'!$C$2:$C$501,$S176)&amp;"")</f>
        <v/>
      </c>
      <c r="E176">
        <f>IF($S176="","",INDEX('Per Line'!$D$2:$D$501,$S176)&amp;"")</f>
        <v/>
      </c>
      <c r="F176">
        <f>IF($S176="","",INDEX('Per Line'!$E$2:$E$501,$S176))</f>
        <v/>
      </c>
      <c r="G176" s="7">
        <f>IF($S176="","",F176*Q176/100)</f>
        <v/>
      </c>
      <c r="H176" s="11">
        <f>IF($S176="","",INDEX('Per Line'!$O$2:$O$501,$S176))</f>
        <v/>
      </c>
      <c r="I176">
        <f>IF($S176="","",Settings!$C$7)</f>
        <v/>
      </c>
      <c r="J176" s="7">
        <f>IF($S176="","",SUMIFS('Per Line'!$K$2:$K$501,'Per Line'!$A$2:$A$501,$B176,'Per Line'!$V$2:$V$501,0))</f>
        <v/>
      </c>
      <c r="K176" s="7">
        <f>IF($S176="","",J176*I176)</f>
        <v/>
      </c>
      <c r="L176">
        <f>IF($S176="","",Settings!$C$6)</f>
        <v/>
      </c>
      <c r="M176" s="7">
        <f>IF($S176="","",SUMIFS('Per Line'!$K$2:$K$501,'Per Line'!$A$2:$A$501,$B176,'Per Line'!$V$2:$V$501,1))</f>
        <v/>
      </c>
      <c r="N176" s="7">
        <f>IF($S176="","",M176*L176)</f>
        <v/>
      </c>
      <c r="O176" s="7">
        <f>IF($S176="","",N176+K176)</f>
        <v/>
      </c>
      <c r="P176" s="7">
        <f>IF($S176="","",Q176-O176)</f>
        <v/>
      </c>
      <c r="Q176" s="7">
        <f>IF($S176="","",J176+M176)</f>
        <v/>
      </c>
      <c r="R176" s="7">
        <f>IF($S176="","",Q176-O176-G176)</f>
        <v/>
      </c>
      <c r="S176" s="13">
        <f>IF(ROWS($S$2:$S176)&lt;=MAX('Per Line'!$U$2:$U$501),MATCH(ROWS($S$2:$S176),'Per Line'!$U$2:$U$501,0),"")</f>
        <v/>
      </c>
    </row>
    <row r="177">
      <c r="A177" s="12" t="n"/>
      <c r="B177">
        <f>IF($S177="","",INDEX('Per Line'!$A$2:$A$501,$S177)&amp;"")</f>
        <v/>
      </c>
      <c r="C177">
        <f>IF($S177="","",INDEX('Per Line'!$B$2:$B$501,$S177)&amp;"")</f>
        <v/>
      </c>
      <c r="D177">
        <f>IF($S177="","",INDEX('Per Line'!$C$2:$C$501,$S177)&amp;"")</f>
        <v/>
      </c>
      <c r="E177">
        <f>IF($S177="","",INDEX('Per Line'!$D$2:$D$501,$S177)&amp;"")</f>
        <v/>
      </c>
      <c r="F177">
        <f>IF($S177="","",INDEX('Per Line'!$E$2:$E$501,$S177))</f>
        <v/>
      </c>
      <c r="G177" s="7">
        <f>IF($S177="","",F177*Q177/100)</f>
        <v/>
      </c>
      <c r="H177" s="11">
        <f>IF($S177="","",INDEX('Per Line'!$O$2:$O$501,$S177))</f>
        <v/>
      </c>
      <c r="I177">
        <f>IF($S177="","",Settings!$C$7)</f>
        <v/>
      </c>
      <c r="J177" s="7">
        <f>IF($S177="","",SUMIFS('Per Line'!$K$2:$K$501,'Per Line'!$A$2:$A$501,$B177,'Per Line'!$V$2:$V$501,0))</f>
        <v/>
      </c>
      <c r="K177" s="7">
        <f>IF($S177="","",J177*I177)</f>
        <v/>
      </c>
      <c r="L177">
        <f>IF($S177="","",Settings!$C$6)</f>
        <v/>
      </c>
      <c r="M177" s="7">
        <f>IF($S177="","",SUMIFS('Per Line'!$K$2:$K$501,'Per Line'!$A$2:$A$501,$B177,'Per Line'!$V$2:$V$501,1))</f>
        <v/>
      </c>
      <c r="N177" s="7">
        <f>IF($S177="","",M177*L177)</f>
        <v/>
      </c>
      <c r="O177" s="7">
        <f>IF($S177="","",N177+K177)</f>
        <v/>
      </c>
      <c r="P177" s="7">
        <f>IF($S177="","",Q177-O177)</f>
        <v/>
      </c>
      <c r="Q177" s="7">
        <f>IF($S177="","",J177+M177)</f>
        <v/>
      </c>
      <c r="R177" s="7">
        <f>IF($S177="","",Q177-O177-G177)</f>
        <v/>
      </c>
      <c r="S177" s="13">
        <f>IF(ROWS($S$2:$S177)&lt;=MAX('Per Line'!$U$2:$U$501),MATCH(ROWS($S$2:$S177),'Per Line'!$U$2:$U$501,0),"")</f>
        <v/>
      </c>
    </row>
    <row r="178">
      <c r="A178" s="12" t="n"/>
      <c r="B178">
        <f>IF($S178="","",INDEX('Per Line'!$A$2:$A$501,$S178)&amp;"")</f>
        <v/>
      </c>
      <c r="C178">
        <f>IF($S178="","",INDEX('Per Line'!$B$2:$B$501,$S178)&amp;"")</f>
        <v/>
      </c>
      <c r="D178">
        <f>IF($S178="","",INDEX('Per Line'!$C$2:$C$501,$S178)&amp;"")</f>
        <v/>
      </c>
      <c r="E178">
        <f>IF($S178="","",INDEX('Per Line'!$D$2:$D$501,$S178)&amp;"")</f>
        <v/>
      </c>
      <c r="F178">
        <f>IF($S178="","",INDEX('Per Line'!$E$2:$E$501,$S178))</f>
        <v/>
      </c>
      <c r="G178" s="7">
        <f>IF($S178="","",F178*Q178/100)</f>
        <v/>
      </c>
      <c r="H178" s="11">
        <f>IF($S178="","",INDEX('Per Line'!$O$2:$O$501,$S178))</f>
        <v/>
      </c>
      <c r="I178">
        <f>IF($S178="","",Settings!$C$7)</f>
        <v/>
      </c>
      <c r="J178" s="7">
        <f>IF($S178="","",SUMIFS('Per Line'!$K$2:$K$501,'Per Line'!$A$2:$A$501,$B178,'Per Line'!$V$2:$V$501,0))</f>
        <v/>
      </c>
      <c r="K178" s="7">
        <f>IF($S178="","",J178*I178)</f>
        <v/>
      </c>
      <c r="L178">
        <f>IF($S178="","",Settings!$C$6)</f>
        <v/>
      </c>
      <c r="M178" s="7">
        <f>IF($S178="","",SUMIFS('Per Line'!$K$2:$K$501,'Per Line'!$A$2:$A$501,$B178,'Per Line'!$V$2:$V$501,1))</f>
        <v/>
      </c>
      <c r="N178" s="7">
        <f>IF($S178="","",M178*L178)</f>
        <v/>
      </c>
      <c r="O178" s="7">
        <f>IF($S178="","",N178+K178)</f>
        <v/>
      </c>
      <c r="P178" s="7">
        <f>IF($S178="","",Q178-O178)</f>
        <v/>
      </c>
      <c r="Q178" s="7">
        <f>IF($S178="","",J178+M178)</f>
        <v/>
      </c>
      <c r="R178" s="7">
        <f>IF($S178="","",Q178-O178-G178)</f>
        <v/>
      </c>
      <c r="S178" s="13">
        <f>IF(ROWS($S$2:$S178)&lt;=MAX('Per Line'!$U$2:$U$501),MATCH(ROWS($S$2:$S178),'Per Line'!$U$2:$U$501,0),"")</f>
        <v/>
      </c>
    </row>
    <row r="179">
      <c r="A179" s="12" t="n"/>
      <c r="B179">
        <f>IF($S179="","",INDEX('Per Line'!$A$2:$A$501,$S179)&amp;"")</f>
        <v/>
      </c>
      <c r="C179">
        <f>IF($S179="","",INDEX('Per Line'!$B$2:$B$501,$S179)&amp;"")</f>
        <v/>
      </c>
      <c r="D179">
        <f>IF($S179="","",INDEX('Per Line'!$C$2:$C$501,$S179)&amp;"")</f>
        <v/>
      </c>
      <c r="E179">
        <f>IF($S179="","",INDEX('Per Line'!$D$2:$D$501,$S179)&amp;"")</f>
        <v/>
      </c>
      <c r="F179">
        <f>IF($S179="","",INDEX('Per Line'!$E$2:$E$501,$S179))</f>
        <v/>
      </c>
      <c r="G179" s="7">
        <f>IF($S179="","",F179*Q179/100)</f>
        <v/>
      </c>
      <c r="H179" s="11">
        <f>IF($S179="","",INDEX('Per Line'!$O$2:$O$501,$S179))</f>
        <v/>
      </c>
      <c r="I179">
        <f>IF($S179="","",Settings!$C$7)</f>
        <v/>
      </c>
      <c r="J179" s="7">
        <f>IF($S179="","",SUMIFS('Per Line'!$K$2:$K$501,'Per Line'!$A$2:$A$501,$B179,'Per Line'!$V$2:$V$501,0))</f>
        <v/>
      </c>
      <c r="K179" s="7">
        <f>IF($S179="","",J179*I179)</f>
        <v/>
      </c>
      <c r="L179">
        <f>IF($S179="","",Settings!$C$6)</f>
        <v/>
      </c>
      <c r="M179" s="7">
        <f>IF($S179="","",SUMIFS('Per Line'!$K$2:$K$501,'Per Line'!$A$2:$A$501,$B179,'Per Line'!$V$2:$V$501,1))</f>
        <v/>
      </c>
      <c r="N179" s="7">
        <f>IF($S179="","",M179*L179)</f>
        <v/>
      </c>
      <c r="O179" s="7">
        <f>IF($S179="","",N179+K179)</f>
        <v/>
      </c>
      <c r="P179" s="7">
        <f>IF($S179="","",Q179-O179)</f>
        <v/>
      </c>
      <c r="Q179" s="7">
        <f>IF($S179="","",J179+M179)</f>
        <v/>
      </c>
      <c r="R179" s="7">
        <f>IF($S179="","",Q179-O179-G179)</f>
        <v/>
      </c>
      <c r="S179" s="13">
        <f>IF(ROWS($S$2:$S179)&lt;=MAX('Per Line'!$U$2:$U$501),MATCH(ROWS($S$2:$S179),'Per Line'!$U$2:$U$501,0),"")</f>
        <v/>
      </c>
    </row>
    <row r="180">
      <c r="A180" s="12" t="n"/>
      <c r="B180">
        <f>IF($S180="","",INDEX('Per Line'!$A$2:$A$501,$S180)&amp;"")</f>
        <v/>
      </c>
      <c r="C180">
        <f>IF($S180="","",INDEX('Per Line'!$B$2:$B$501,$S180)&amp;"")</f>
        <v/>
      </c>
      <c r="D180">
        <f>IF($S180="","",INDEX('Per Line'!$C$2:$C$501,$S180)&amp;"")</f>
        <v/>
      </c>
      <c r="E180">
        <f>IF($S180="","",INDEX('Per Line'!$D$2:$D$501,$S180)&amp;"")</f>
        <v/>
      </c>
      <c r="F180">
        <f>IF($S180="","",INDEX('Per Line'!$E$2:$E$501,$S180))</f>
        <v/>
      </c>
      <c r="G180" s="7">
        <f>IF($S180="","",F180*Q180/100)</f>
        <v/>
      </c>
      <c r="H180" s="11">
        <f>IF($S180="","",INDEX('Per Line'!$O$2:$O$501,$S180))</f>
        <v/>
      </c>
      <c r="I180">
        <f>IF($S180="","",Settings!$C$7)</f>
        <v/>
      </c>
      <c r="J180" s="7">
        <f>IF($S180="","",SUMIFS('Per Line'!$K$2:$K$501,'Per Line'!$A$2:$A$501,$B180,'Per Line'!$V$2:$V$501,0))</f>
        <v/>
      </c>
      <c r="K180" s="7">
        <f>IF($S180="","",J180*I180)</f>
        <v/>
      </c>
      <c r="L180">
        <f>IF($S180="","",Settings!$C$6)</f>
        <v/>
      </c>
      <c r="M180" s="7">
        <f>IF($S180="","",SUMIFS('Per Line'!$K$2:$K$501,'Per Line'!$A$2:$A$501,$B180,'Per Line'!$V$2:$V$501,1))</f>
        <v/>
      </c>
      <c r="N180" s="7">
        <f>IF($S180="","",M180*L180)</f>
        <v/>
      </c>
      <c r="O180" s="7">
        <f>IF($S180="","",N180+K180)</f>
        <v/>
      </c>
      <c r="P180" s="7">
        <f>IF($S180="","",Q180-O180)</f>
        <v/>
      </c>
      <c r="Q180" s="7">
        <f>IF($S180="","",J180+M180)</f>
        <v/>
      </c>
      <c r="R180" s="7">
        <f>IF($S180="","",Q180-O180-G180)</f>
        <v/>
      </c>
      <c r="S180" s="13">
        <f>IF(ROWS($S$2:$S180)&lt;=MAX('Per Line'!$U$2:$U$501),MATCH(ROWS($S$2:$S180),'Per Line'!$U$2:$U$501,0),"")</f>
        <v/>
      </c>
    </row>
    <row r="181">
      <c r="A181" s="12" t="n"/>
      <c r="B181">
        <f>IF($S181="","",INDEX('Per Line'!$A$2:$A$501,$S181)&amp;"")</f>
        <v/>
      </c>
      <c r="C181">
        <f>IF($S181="","",INDEX('Per Line'!$B$2:$B$501,$S181)&amp;"")</f>
        <v/>
      </c>
      <c r="D181">
        <f>IF($S181="","",INDEX('Per Line'!$C$2:$C$501,$S181)&amp;"")</f>
        <v/>
      </c>
      <c r="E181">
        <f>IF($S181="","",INDEX('Per Line'!$D$2:$D$501,$S181)&amp;"")</f>
        <v/>
      </c>
      <c r="F181">
        <f>IF($S181="","",INDEX('Per Line'!$E$2:$E$501,$S181))</f>
        <v/>
      </c>
      <c r="G181" s="7">
        <f>IF($S181="","",F181*Q181/100)</f>
        <v/>
      </c>
      <c r="H181" s="11">
        <f>IF($S181="","",INDEX('Per Line'!$O$2:$O$501,$S181))</f>
        <v/>
      </c>
      <c r="I181">
        <f>IF($S181="","",Settings!$C$7)</f>
        <v/>
      </c>
      <c r="J181" s="7">
        <f>IF($S181="","",SUMIFS('Per Line'!$K$2:$K$501,'Per Line'!$A$2:$A$501,$B181,'Per Line'!$V$2:$V$501,0))</f>
        <v/>
      </c>
      <c r="K181" s="7">
        <f>IF($S181="","",J181*I181)</f>
        <v/>
      </c>
      <c r="L181">
        <f>IF($S181="","",Settings!$C$6)</f>
        <v/>
      </c>
      <c r="M181" s="7">
        <f>IF($S181="","",SUMIFS('Per Line'!$K$2:$K$501,'Per Line'!$A$2:$A$501,$B181,'Per Line'!$V$2:$V$501,1))</f>
        <v/>
      </c>
      <c r="N181" s="7">
        <f>IF($S181="","",M181*L181)</f>
        <v/>
      </c>
      <c r="O181" s="7">
        <f>IF($S181="","",N181+K181)</f>
        <v/>
      </c>
      <c r="P181" s="7">
        <f>IF($S181="","",Q181-O181)</f>
        <v/>
      </c>
      <c r="Q181" s="7">
        <f>IF($S181="","",J181+M181)</f>
        <v/>
      </c>
      <c r="R181" s="7">
        <f>IF($S181="","",Q181-O181-G181)</f>
        <v/>
      </c>
      <c r="S181" s="13">
        <f>IF(ROWS($S$2:$S181)&lt;=MAX('Per Line'!$U$2:$U$501),MATCH(ROWS($S$2:$S181),'Per Line'!$U$2:$U$501,0),"")</f>
        <v/>
      </c>
    </row>
    <row r="182">
      <c r="A182" s="12" t="n"/>
      <c r="B182">
        <f>IF($S182="","",INDEX('Per Line'!$A$2:$A$501,$S182)&amp;"")</f>
        <v/>
      </c>
      <c r="C182">
        <f>IF($S182="","",INDEX('Per Line'!$B$2:$B$501,$S182)&amp;"")</f>
        <v/>
      </c>
      <c r="D182">
        <f>IF($S182="","",INDEX('Per Line'!$C$2:$C$501,$S182)&amp;"")</f>
        <v/>
      </c>
      <c r="E182">
        <f>IF($S182="","",INDEX('Per Line'!$D$2:$D$501,$S182)&amp;"")</f>
        <v/>
      </c>
      <c r="F182">
        <f>IF($S182="","",INDEX('Per Line'!$E$2:$E$501,$S182))</f>
        <v/>
      </c>
      <c r="G182" s="7">
        <f>IF($S182="","",F182*Q182/100)</f>
        <v/>
      </c>
      <c r="H182" s="11">
        <f>IF($S182="","",INDEX('Per Line'!$O$2:$O$501,$S182))</f>
        <v/>
      </c>
      <c r="I182">
        <f>IF($S182="","",Settings!$C$7)</f>
        <v/>
      </c>
      <c r="J182" s="7">
        <f>IF($S182="","",SUMIFS('Per Line'!$K$2:$K$501,'Per Line'!$A$2:$A$501,$B182,'Per Line'!$V$2:$V$501,0))</f>
        <v/>
      </c>
      <c r="K182" s="7">
        <f>IF($S182="","",J182*I182)</f>
        <v/>
      </c>
      <c r="L182">
        <f>IF($S182="","",Settings!$C$6)</f>
        <v/>
      </c>
      <c r="M182" s="7">
        <f>IF($S182="","",SUMIFS('Per Line'!$K$2:$K$501,'Per Line'!$A$2:$A$501,$B182,'Per Line'!$V$2:$V$501,1))</f>
        <v/>
      </c>
      <c r="N182" s="7">
        <f>IF($S182="","",M182*L182)</f>
        <v/>
      </c>
      <c r="O182" s="7">
        <f>IF($S182="","",N182+K182)</f>
        <v/>
      </c>
      <c r="P182" s="7">
        <f>IF($S182="","",Q182-O182)</f>
        <v/>
      </c>
      <c r="Q182" s="7">
        <f>IF($S182="","",J182+M182)</f>
        <v/>
      </c>
      <c r="R182" s="7">
        <f>IF($S182="","",Q182-O182-G182)</f>
        <v/>
      </c>
      <c r="S182" s="13">
        <f>IF(ROWS($S$2:$S182)&lt;=MAX('Per Line'!$U$2:$U$501),MATCH(ROWS($S$2:$S182),'Per Line'!$U$2:$U$501,0),"")</f>
        <v/>
      </c>
    </row>
    <row r="183">
      <c r="A183" s="12" t="n"/>
      <c r="B183">
        <f>IF($S183="","",INDEX('Per Line'!$A$2:$A$501,$S183)&amp;"")</f>
        <v/>
      </c>
      <c r="C183">
        <f>IF($S183="","",INDEX('Per Line'!$B$2:$B$501,$S183)&amp;"")</f>
        <v/>
      </c>
      <c r="D183">
        <f>IF($S183="","",INDEX('Per Line'!$C$2:$C$501,$S183)&amp;"")</f>
        <v/>
      </c>
      <c r="E183">
        <f>IF($S183="","",INDEX('Per Line'!$D$2:$D$501,$S183)&amp;"")</f>
        <v/>
      </c>
      <c r="F183">
        <f>IF($S183="","",INDEX('Per Line'!$E$2:$E$501,$S183))</f>
        <v/>
      </c>
      <c r="G183" s="7">
        <f>IF($S183="","",F183*Q183/100)</f>
        <v/>
      </c>
      <c r="H183" s="11">
        <f>IF($S183="","",INDEX('Per Line'!$O$2:$O$501,$S183))</f>
        <v/>
      </c>
      <c r="I183">
        <f>IF($S183="","",Settings!$C$7)</f>
        <v/>
      </c>
      <c r="J183" s="7">
        <f>IF($S183="","",SUMIFS('Per Line'!$K$2:$K$501,'Per Line'!$A$2:$A$501,$B183,'Per Line'!$V$2:$V$501,0))</f>
        <v/>
      </c>
      <c r="K183" s="7">
        <f>IF($S183="","",J183*I183)</f>
        <v/>
      </c>
      <c r="L183">
        <f>IF($S183="","",Settings!$C$6)</f>
        <v/>
      </c>
      <c r="M183" s="7">
        <f>IF($S183="","",SUMIFS('Per Line'!$K$2:$K$501,'Per Line'!$A$2:$A$501,$B183,'Per Line'!$V$2:$V$501,1))</f>
        <v/>
      </c>
      <c r="N183" s="7">
        <f>IF($S183="","",M183*L183)</f>
        <v/>
      </c>
      <c r="O183" s="7">
        <f>IF($S183="","",N183+K183)</f>
        <v/>
      </c>
      <c r="P183" s="7">
        <f>IF($S183="","",Q183-O183)</f>
        <v/>
      </c>
      <c r="Q183" s="7">
        <f>IF($S183="","",J183+M183)</f>
        <v/>
      </c>
      <c r="R183" s="7">
        <f>IF($S183="","",Q183-O183-G183)</f>
        <v/>
      </c>
      <c r="S183" s="13">
        <f>IF(ROWS($S$2:$S183)&lt;=MAX('Per Line'!$U$2:$U$501),MATCH(ROWS($S$2:$S183),'Per Line'!$U$2:$U$501,0),"")</f>
        <v/>
      </c>
    </row>
    <row r="184">
      <c r="A184" s="12" t="n"/>
      <c r="B184">
        <f>IF($S184="","",INDEX('Per Line'!$A$2:$A$501,$S184)&amp;"")</f>
        <v/>
      </c>
      <c r="C184">
        <f>IF($S184="","",INDEX('Per Line'!$B$2:$B$501,$S184)&amp;"")</f>
        <v/>
      </c>
      <c r="D184">
        <f>IF($S184="","",INDEX('Per Line'!$C$2:$C$501,$S184)&amp;"")</f>
        <v/>
      </c>
      <c r="E184">
        <f>IF($S184="","",INDEX('Per Line'!$D$2:$D$501,$S184)&amp;"")</f>
        <v/>
      </c>
      <c r="F184">
        <f>IF($S184="","",INDEX('Per Line'!$E$2:$E$501,$S184))</f>
        <v/>
      </c>
      <c r="G184" s="7">
        <f>IF($S184="","",F184*Q184/100)</f>
        <v/>
      </c>
      <c r="H184" s="11">
        <f>IF($S184="","",INDEX('Per Line'!$O$2:$O$501,$S184))</f>
        <v/>
      </c>
      <c r="I184">
        <f>IF($S184="","",Settings!$C$7)</f>
        <v/>
      </c>
      <c r="J184" s="7">
        <f>IF($S184="","",SUMIFS('Per Line'!$K$2:$K$501,'Per Line'!$A$2:$A$501,$B184,'Per Line'!$V$2:$V$501,0))</f>
        <v/>
      </c>
      <c r="K184" s="7">
        <f>IF($S184="","",J184*I184)</f>
        <v/>
      </c>
      <c r="L184">
        <f>IF($S184="","",Settings!$C$6)</f>
        <v/>
      </c>
      <c r="M184" s="7">
        <f>IF($S184="","",SUMIFS('Per Line'!$K$2:$K$501,'Per Line'!$A$2:$A$501,$B184,'Per Line'!$V$2:$V$501,1))</f>
        <v/>
      </c>
      <c r="N184" s="7">
        <f>IF($S184="","",M184*L184)</f>
        <v/>
      </c>
      <c r="O184" s="7">
        <f>IF($S184="","",N184+K184)</f>
        <v/>
      </c>
      <c r="P184" s="7">
        <f>IF($S184="","",Q184-O184)</f>
        <v/>
      </c>
      <c r="Q184" s="7">
        <f>IF($S184="","",J184+M184)</f>
        <v/>
      </c>
      <c r="R184" s="7">
        <f>IF($S184="","",Q184-O184-G184)</f>
        <v/>
      </c>
      <c r="S184" s="13">
        <f>IF(ROWS($S$2:$S184)&lt;=MAX('Per Line'!$U$2:$U$501),MATCH(ROWS($S$2:$S184),'Per Line'!$U$2:$U$501,0),"")</f>
        <v/>
      </c>
    </row>
    <row r="185">
      <c r="A185" s="12" t="n"/>
      <c r="B185">
        <f>IF($S185="","",INDEX('Per Line'!$A$2:$A$501,$S185)&amp;"")</f>
        <v/>
      </c>
      <c r="C185">
        <f>IF($S185="","",INDEX('Per Line'!$B$2:$B$501,$S185)&amp;"")</f>
        <v/>
      </c>
      <c r="D185">
        <f>IF($S185="","",INDEX('Per Line'!$C$2:$C$501,$S185)&amp;"")</f>
        <v/>
      </c>
      <c r="E185">
        <f>IF($S185="","",INDEX('Per Line'!$D$2:$D$501,$S185)&amp;"")</f>
        <v/>
      </c>
      <c r="F185">
        <f>IF($S185="","",INDEX('Per Line'!$E$2:$E$501,$S185))</f>
        <v/>
      </c>
      <c r="G185" s="7">
        <f>IF($S185="","",F185*Q185/100)</f>
        <v/>
      </c>
      <c r="H185" s="11">
        <f>IF($S185="","",INDEX('Per Line'!$O$2:$O$501,$S185))</f>
        <v/>
      </c>
      <c r="I185">
        <f>IF($S185="","",Settings!$C$7)</f>
        <v/>
      </c>
      <c r="J185" s="7">
        <f>IF($S185="","",SUMIFS('Per Line'!$K$2:$K$501,'Per Line'!$A$2:$A$501,$B185,'Per Line'!$V$2:$V$501,0))</f>
        <v/>
      </c>
      <c r="K185" s="7">
        <f>IF($S185="","",J185*I185)</f>
        <v/>
      </c>
      <c r="L185">
        <f>IF($S185="","",Settings!$C$6)</f>
        <v/>
      </c>
      <c r="M185" s="7">
        <f>IF($S185="","",SUMIFS('Per Line'!$K$2:$K$501,'Per Line'!$A$2:$A$501,$B185,'Per Line'!$V$2:$V$501,1))</f>
        <v/>
      </c>
      <c r="N185" s="7">
        <f>IF($S185="","",M185*L185)</f>
        <v/>
      </c>
      <c r="O185" s="7">
        <f>IF($S185="","",N185+K185)</f>
        <v/>
      </c>
      <c r="P185" s="7">
        <f>IF($S185="","",Q185-O185)</f>
        <v/>
      </c>
      <c r="Q185" s="7">
        <f>IF($S185="","",J185+M185)</f>
        <v/>
      </c>
      <c r="R185" s="7">
        <f>IF($S185="","",Q185-O185-G185)</f>
        <v/>
      </c>
      <c r="S185" s="13">
        <f>IF(ROWS($S$2:$S185)&lt;=MAX('Per Line'!$U$2:$U$501),MATCH(ROWS($S$2:$S185),'Per Line'!$U$2:$U$501,0),"")</f>
        <v/>
      </c>
    </row>
    <row r="186">
      <c r="A186" s="12" t="n"/>
      <c r="B186">
        <f>IF($S186="","",INDEX('Per Line'!$A$2:$A$501,$S186)&amp;"")</f>
        <v/>
      </c>
      <c r="C186">
        <f>IF($S186="","",INDEX('Per Line'!$B$2:$B$501,$S186)&amp;"")</f>
        <v/>
      </c>
      <c r="D186">
        <f>IF($S186="","",INDEX('Per Line'!$C$2:$C$501,$S186)&amp;"")</f>
        <v/>
      </c>
      <c r="E186">
        <f>IF($S186="","",INDEX('Per Line'!$D$2:$D$501,$S186)&amp;"")</f>
        <v/>
      </c>
      <c r="F186">
        <f>IF($S186="","",INDEX('Per Line'!$E$2:$E$501,$S186))</f>
        <v/>
      </c>
      <c r="G186" s="7">
        <f>IF($S186="","",F186*Q186/100)</f>
        <v/>
      </c>
      <c r="H186" s="11">
        <f>IF($S186="","",INDEX('Per Line'!$O$2:$O$501,$S186))</f>
        <v/>
      </c>
      <c r="I186">
        <f>IF($S186="","",Settings!$C$7)</f>
        <v/>
      </c>
      <c r="J186" s="7">
        <f>IF($S186="","",SUMIFS('Per Line'!$K$2:$K$501,'Per Line'!$A$2:$A$501,$B186,'Per Line'!$V$2:$V$501,0))</f>
        <v/>
      </c>
      <c r="K186" s="7">
        <f>IF($S186="","",J186*I186)</f>
        <v/>
      </c>
      <c r="L186">
        <f>IF($S186="","",Settings!$C$6)</f>
        <v/>
      </c>
      <c r="M186" s="7">
        <f>IF($S186="","",SUMIFS('Per Line'!$K$2:$K$501,'Per Line'!$A$2:$A$501,$B186,'Per Line'!$V$2:$V$501,1))</f>
        <v/>
      </c>
      <c r="N186" s="7">
        <f>IF($S186="","",M186*L186)</f>
        <v/>
      </c>
      <c r="O186" s="7">
        <f>IF($S186="","",N186+K186)</f>
        <v/>
      </c>
      <c r="P186" s="7">
        <f>IF($S186="","",Q186-O186)</f>
        <v/>
      </c>
      <c r="Q186" s="7">
        <f>IF($S186="","",J186+M186)</f>
        <v/>
      </c>
      <c r="R186" s="7">
        <f>IF($S186="","",Q186-O186-G186)</f>
        <v/>
      </c>
      <c r="S186" s="13">
        <f>IF(ROWS($S$2:$S186)&lt;=MAX('Per Line'!$U$2:$U$501),MATCH(ROWS($S$2:$S186),'Per Line'!$U$2:$U$501,0),"")</f>
        <v/>
      </c>
    </row>
    <row r="187">
      <c r="A187" s="12" t="n"/>
      <c r="B187">
        <f>IF($S187="","",INDEX('Per Line'!$A$2:$A$501,$S187)&amp;"")</f>
        <v/>
      </c>
      <c r="C187">
        <f>IF($S187="","",INDEX('Per Line'!$B$2:$B$501,$S187)&amp;"")</f>
        <v/>
      </c>
      <c r="D187">
        <f>IF($S187="","",INDEX('Per Line'!$C$2:$C$501,$S187)&amp;"")</f>
        <v/>
      </c>
      <c r="E187">
        <f>IF($S187="","",INDEX('Per Line'!$D$2:$D$501,$S187)&amp;"")</f>
        <v/>
      </c>
      <c r="F187">
        <f>IF($S187="","",INDEX('Per Line'!$E$2:$E$501,$S187))</f>
        <v/>
      </c>
      <c r="G187" s="7">
        <f>IF($S187="","",F187*Q187/100)</f>
        <v/>
      </c>
      <c r="H187" s="11">
        <f>IF($S187="","",INDEX('Per Line'!$O$2:$O$501,$S187))</f>
        <v/>
      </c>
      <c r="I187">
        <f>IF($S187="","",Settings!$C$7)</f>
        <v/>
      </c>
      <c r="J187" s="7">
        <f>IF($S187="","",SUMIFS('Per Line'!$K$2:$K$501,'Per Line'!$A$2:$A$501,$B187,'Per Line'!$V$2:$V$501,0))</f>
        <v/>
      </c>
      <c r="K187" s="7">
        <f>IF($S187="","",J187*I187)</f>
        <v/>
      </c>
      <c r="L187">
        <f>IF($S187="","",Settings!$C$6)</f>
        <v/>
      </c>
      <c r="M187" s="7">
        <f>IF($S187="","",SUMIFS('Per Line'!$K$2:$K$501,'Per Line'!$A$2:$A$501,$B187,'Per Line'!$V$2:$V$501,1))</f>
        <v/>
      </c>
      <c r="N187" s="7">
        <f>IF($S187="","",M187*L187)</f>
        <v/>
      </c>
      <c r="O187" s="7">
        <f>IF($S187="","",N187+K187)</f>
        <v/>
      </c>
      <c r="P187" s="7">
        <f>IF($S187="","",Q187-O187)</f>
        <v/>
      </c>
      <c r="Q187" s="7">
        <f>IF($S187="","",J187+M187)</f>
        <v/>
      </c>
      <c r="R187" s="7">
        <f>IF($S187="","",Q187-O187-G187)</f>
        <v/>
      </c>
      <c r="S187" s="13">
        <f>IF(ROWS($S$2:$S187)&lt;=MAX('Per Line'!$U$2:$U$501),MATCH(ROWS($S$2:$S187),'Per Line'!$U$2:$U$501,0),"")</f>
        <v/>
      </c>
    </row>
    <row r="188">
      <c r="A188" s="12" t="n"/>
      <c r="B188">
        <f>IF($S188="","",INDEX('Per Line'!$A$2:$A$501,$S188)&amp;"")</f>
        <v/>
      </c>
      <c r="C188">
        <f>IF($S188="","",INDEX('Per Line'!$B$2:$B$501,$S188)&amp;"")</f>
        <v/>
      </c>
      <c r="D188">
        <f>IF($S188="","",INDEX('Per Line'!$C$2:$C$501,$S188)&amp;"")</f>
        <v/>
      </c>
      <c r="E188">
        <f>IF($S188="","",INDEX('Per Line'!$D$2:$D$501,$S188)&amp;"")</f>
        <v/>
      </c>
      <c r="F188">
        <f>IF($S188="","",INDEX('Per Line'!$E$2:$E$501,$S188))</f>
        <v/>
      </c>
      <c r="G188" s="7">
        <f>IF($S188="","",F188*Q188/100)</f>
        <v/>
      </c>
      <c r="H188" s="11">
        <f>IF($S188="","",INDEX('Per Line'!$O$2:$O$501,$S188))</f>
        <v/>
      </c>
      <c r="I188">
        <f>IF($S188="","",Settings!$C$7)</f>
        <v/>
      </c>
      <c r="J188" s="7">
        <f>IF($S188="","",SUMIFS('Per Line'!$K$2:$K$501,'Per Line'!$A$2:$A$501,$B188,'Per Line'!$V$2:$V$501,0))</f>
        <v/>
      </c>
      <c r="K188" s="7">
        <f>IF($S188="","",J188*I188)</f>
        <v/>
      </c>
      <c r="L188">
        <f>IF($S188="","",Settings!$C$6)</f>
        <v/>
      </c>
      <c r="M188" s="7">
        <f>IF($S188="","",SUMIFS('Per Line'!$K$2:$K$501,'Per Line'!$A$2:$A$501,$B188,'Per Line'!$V$2:$V$501,1))</f>
        <v/>
      </c>
      <c r="N188" s="7">
        <f>IF($S188="","",M188*L188)</f>
        <v/>
      </c>
      <c r="O188" s="7">
        <f>IF($S188="","",N188+K188)</f>
        <v/>
      </c>
      <c r="P188" s="7">
        <f>IF($S188="","",Q188-O188)</f>
        <v/>
      </c>
      <c r="Q188" s="7">
        <f>IF($S188="","",J188+M188)</f>
        <v/>
      </c>
      <c r="R188" s="7">
        <f>IF($S188="","",Q188-O188-G188)</f>
        <v/>
      </c>
      <c r="S188" s="13">
        <f>IF(ROWS($S$2:$S188)&lt;=MAX('Per Line'!$U$2:$U$501),MATCH(ROWS($S$2:$S188),'Per Line'!$U$2:$U$501,0),"")</f>
        <v/>
      </c>
    </row>
    <row r="189">
      <c r="A189" s="12" t="n"/>
      <c r="B189">
        <f>IF($S189="","",INDEX('Per Line'!$A$2:$A$501,$S189)&amp;"")</f>
        <v/>
      </c>
      <c r="C189">
        <f>IF($S189="","",INDEX('Per Line'!$B$2:$B$501,$S189)&amp;"")</f>
        <v/>
      </c>
      <c r="D189">
        <f>IF($S189="","",INDEX('Per Line'!$C$2:$C$501,$S189)&amp;"")</f>
        <v/>
      </c>
      <c r="E189">
        <f>IF($S189="","",INDEX('Per Line'!$D$2:$D$501,$S189)&amp;"")</f>
        <v/>
      </c>
      <c r="F189">
        <f>IF($S189="","",INDEX('Per Line'!$E$2:$E$501,$S189))</f>
        <v/>
      </c>
      <c r="G189" s="7">
        <f>IF($S189="","",F189*Q189/100)</f>
        <v/>
      </c>
      <c r="H189" s="11">
        <f>IF($S189="","",INDEX('Per Line'!$O$2:$O$501,$S189))</f>
        <v/>
      </c>
      <c r="I189">
        <f>IF($S189="","",Settings!$C$7)</f>
        <v/>
      </c>
      <c r="J189" s="7">
        <f>IF($S189="","",SUMIFS('Per Line'!$K$2:$K$501,'Per Line'!$A$2:$A$501,$B189,'Per Line'!$V$2:$V$501,0))</f>
        <v/>
      </c>
      <c r="K189" s="7">
        <f>IF($S189="","",J189*I189)</f>
        <v/>
      </c>
      <c r="L189">
        <f>IF($S189="","",Settings!$C$6)</f>
        <v/>
      </c>
      <c r="M189" s="7">
        <f>IF($S189="","",SUMIFS('Per Line'!$K$2:$K$501,'Per Line'!$A$2:$A$501,$B189,'Per Line'!$V$2:$V$501,1))</f>
        <v/>
      </c>
      <c r="N189" s="7">
        <f>IF($S189="","",M189*L189)</f>
        <v/>
      </c>
      <c r="O189" s="7">
        <f>IF($S189="","",N189+K189)</f>
        <v/>
      </c>
      <c r="P189" s="7">
        <f>IF($S189="","",Q189-O189)</f>
        <v/>
      </c>
      <c r="Q189" s="7">
        <f>IF($S189="","",J189+M189)</f>
        <v/>
      </c>
      <c r="R189" s="7">
        <f>IF($S189="","",Q189-O189-G189)</f>
        <v/>
      </c>
      <c r="S189" s="13">
        <f>IF(ROWS($S$2:$S189)&lt;=MAX('Per Line'!$U$2:$U$501),MATCH(ROWS($S$2:$S189),'Per Line'!$U$2:$U$501,0),"")</f>
        <v/>
      </c>
    </row>
    <row r="190">
      <c r="A190" s="12" t="n"/>
      <c r="B190">
        <f>IF($S190="","",INDEX('Per Line'!$A$2:$A$501,$S190)&amp;"")</f>
        <v/>
      </c>
      <c r="C190">
        <f>IF($S190="","",INDEX('Per Line'!$B$2:$B$501,$S190)&amp;"")</f>
        <v/>
      </c>
      <c r="D190">
        <f>IF($S190="","",INDEX('Per Line'!$C$2:$C$501,$S190)&amp;"")</f>
        <v/>
      </c>
      <c r="E190">
        <f>IF($S190="","",INDEX('Per Line'!$D$2:$D$501,$S190)&amp;"")</f>
        <v/>
      </c>
      <c r="F190">
        <f>IF($S190="","",INDEX('Per Line'!$E$2:$E$501,$S190))</f>
        <v/>
      </c>
      <c r="G190" s="7">
        <f>IF($S190="","",F190*Q190/100)</f>
        <v/>
      </c>
      <c r="H190" s="11">
        <f>IF($S190="","",INDEX('Per Line'!$O$2:$O$501,$S190))</f>
        <v/>
      </c>
      <c r="I190">
        <f>IF($S190="","",Settings!$C$7)</f>
        <v/>
      </c>
      <c r="J190" s="7">
        <f>IF($S190="","",SUMIFS('Per Line'!$K$2:$K$501,'Per Line'!$A$2:$A$501,$B190,'Per Line'!$V$2:$V$501,0))</f>
        <v/>
      </c>
      <c r="K190" s="7">
        <f>IF($S190="","",J190*I190)</f>
        <v/>
      </c>
      <c r="L190">
        <f>IF($S190="","",Settings!$C$6)</f>
        <v/>
      </c>
      <c r="M190" s="7">
        <f>IF($S190="","",SUMIFS('Per Line'!$K$2:$K$501,'Per Line'!$A$2:$A$501,$B190,'Per Line'!$V$2:$V$501,1))</f>
        <v/>
      </c>
      <c r="N190" s="7">
        <f>IF($S190="","",M190*L190)</f>
        <v/>
      </c>
      <c r="O190" s="7">
        <f>IF($S190="","",N190+K190)</f>
        <v/>
      </c>
      <c r="P190" s="7">
        <f>IF($S190="","",Q190-O190)</f>
        <v/>
      </c>
      <c r="Q190" s="7">
        <f>IF($S190="","",J190+M190)</f>
        <v/>
      </c>
      <c r="R190" s="7">
        <f>IF($S190="","",Q190-O190-G190)</f>
        <v/>
      </c>
      <c r="S190" s="13">
        <f>IF(ROWS($S$2:$S190)&lt;=MAX('Per Line'!$U$2:$U$501),MATCH(ROWS($S$2:$S190),'Per Line'!$U$2:$U$501,0),"")</f>
        <v/>
      </c>
    </row>
    <row r="191">
      <c r="A191" s="12" t="n"/>
      <c r="B191">
        <f>IF($S191="","",INDEX('Per Line'!$A$2:$A$501,$S191)&amp;"")</f>
        <v/>
      </c>
      <c r="C191">
        <f>IF($S191="","",INDEX('Per Line'!$B$2:$B$501,$S191)&amp;"")</f>
        <v/>
      </c>
      <c r="D191">
        <f>IF($S191="","",INDEX('Per Line'!$C$2:$C$501,$S191)&amp;"")</f>
        <v/>
      </c>
      <c r="E191">
        <f>IF($S191="","",INDEX('Per Line'!$D$2:$D$501,$S191)&amp;"")</f>
        <v/>
      </c>
      <c r="F191">
        <f>IF($S191="","",INDEX('Per Line'!$E$2:$E$501,$S191))</f>
        <v/>
      </c>
      <c r="G191" s="7">
        <f>IF($S191="","",F191*Q191/100)</f>
        <v/>
      </c>
      <c r="H191" s="11">
        <f>IF($S191="","",INDEX('Per Line'!$O$2:$O$501,$S191))</f>
        <v/>
      </c>
      <c r="I191">
        <f>IF($S191="","",Settings!$C$7)</f>
        <v/>
      </c>
      <c r="J191" s="7">
        <f>IF($S191="","",SUMIFS('Per Line'!$K$2:$K$501,'Per Line'!$A$2:$A$501,$B191,'Per Line'!$V$2:$V$501,0))</f>
        <v/>
      </c>
      <c r="K191" s="7">
        <f>IF($S191="","",J191*I191)</f>
        <v/>
      </c>
      <c r="L191">
        <f>IF($S191="","",Settings!$C$6)</f>
        <v/>
      </c>
      <c r="M191" s="7">
        <f>IF($S191="","",SUMIFS('Per Line'!$K$2:$K$501,'Per Line'!$A$2:$A$501,$B191,'Per Line'!$V$2:$V$501,1))</f>
        <v/>
      </c>
      <c r="N191" s="7">
        <f>IF($S191="","",M191*L191)</f>
        <v/>
      </c>
      <c r="O191" s="7">
        <f>IF($S191="","",N191+K191)</f>
        <v/>
      </c>
      <c r="P191" s="7">
        <f>IF($S191="","",Q191-O191)</f>
        <v/>
      </c>
      <c r="Q191" s="7">
        <f>IF($S191="","",J191+M191)</f>
        <v/>
      </c>
      <c r="R191" s="7">
        <f>IF($S191="","",Q191-O191-G191)</f>
        <v/>
      </c>
      <c r="S191" s="13">
        <f>IF(ROWS($S$2:$S191)&lt;=MAX('Per Line'!$U$2:$U$501),MATCH(ROWS($S$2:$S191),'Per Line'!$U$2:$U$501,0),"")</f>
        <v/>
      </c>
    </row>
    <row r="192">
      <c r="A192" s="12" t="n"/>
      <c r="B192">
        <f>IF($S192="","",INDEX('Per Line'!$A$2:$A$501,$S192)&amp;"")</f>
        <v/>
      </c>
      <c r="C192">
        <f>IF($S192="","",INDEX('Per Line'!$B$2:$B$501,$S192)&amp;"")</f>
        <v/>
      </c>
      <c r="D192">
        <f>IF($S192="","",INDEX('Per Line'!$C$2:$C$501,$S192)&amp;"")</f>
        <v/>
      </c>
      <c r="E192">
        <f>IF($S192="","",INDEX('Per Line'!$D$2:$D$501,$S192)&amp;"")</f>
        <v/>
      </c>
      <c r="F192">
        <f>IF($S192="","",INDEX('Per Line'!$E$2:$E$501,$S192))</f>
        <v/>
      </c>
      <c r="G192" s="7">
        <f>IF($S192="","",F192*Q192/100)</f>
        <v/>
      </c>
      <c r="H192" s="11">
        <f>IF($S192="","",INDEX('Per Line'!$O$2:$O$501,$S192))</f>
        <v/>
      </c>
      <c r="I192">
        <f>IF($S192="","",Settings!$C$7)</f>
        <v/>
      </c>
      <c r="J192" s="7">
        <f>IF($S192="","",SUMIFS('Per Line'!$K$2:$K$501,'Per Line'!$A$2:$A$501,$B192,'Per Line'!$V$2:$V$501,0))</f>
        <v/>
      </c>
      <c r="K192" s="7">
        <f>IF($S192="","",J192*I192)</f>
        <v/>
      </c>
      <c r="L192">
        <f>IF($S192="","",Settings!$C$6)</f>
        <v/>
      </c>
      <c r="M192" s="7">
        <f>IF($S192="","",SUMIFS('Per Line'!$K$2:$K$501,'Per Line'!$A$2:$A$501,$B192,'Per Line'!$V$2:$V$501,1))</f>
        <v/>
      </c>
      <c r="N192" s="7">
        <f>IF($S192="","",M192*L192)</f>
        <v/>
      </c>
      <c r="O192" s="7">
        <f>IF($S192="","",N192+K192)</f>
        <v/>
      </c>
      <c r="P192" s="7">
        <f>IF($S192="","",Q192-O192)</f>
        <v/>
      </c>
      <c r="Q192" s="7">
        <f>IF($S192="","",J192+M192)</f>
        <v/>
      </c>
      <c r="R192" s="7">
        <f>IF($S192="","",Q192-O192-G192)</f>
        <v/>
      </c>
      <c r="S192" s="13">
        <f>IF(ROWS($S$2:$S192)&lt;=MAX('Per Line'!$U$2:$U$501),MATCH(ROWS($S$2:$S192),'Per Line'!$U$2:$U$501,0),"")</f>
        <v/>
      </c>
    </row>
    <row r="193">
      <c r="A193" s="12" t="n"/>
      <c r="B193">
        <f>IF($S193="","",INDEX('Per Line'!$A$2:$A$501,$S193)&amp;"")</f>
        <v/>
      </c>
      <c r="C193">
        <f>IF($S193="","",INDEX('Per Line'!$B$2:$B$501,$S193)&amp;"")</f>
        <v/>
      </c>
      <c r="D193">
        <f>IF($S193="","",INDEX('Per Line'!$C$2:$C$501,$S193)&amp;"")</f>
        <v/>
      </c>
      <c r="E193">
        <f>IF($S193="","",INDEX('Per Line'!$D$2:$D$501,$S193)&amp;"")</f>
        <v/>
      </c>
      <c r="F193">
        <f>IF($S193="","",INDEX('Per Line'!$E$2:$E$501,$S193))</f>
        <v/>
      </c>
      <c r="G193" s="7">
        <f>IF($S193="","",F193*Q193/100)</f>
        <v/>
      </c>
      <c r="H193" s="11">
        <f>IF($S193="","",INDEX('Per Line'!$O$2:$O$501,$S193))</f>
        <v/>
      </c>
      <c r="I193">
        <f>IF($S193="","",Settings!$C$7)</f>
        <v/>
      </c>
      <c r="J193" s="7">
        <f>IF($S193="","",SUMIFS('Per Line'!$K$2:$K$501,'Per Line'!$A$2:$A$501,$B193,'Per Line'!$V$2:$V$501,0))</f>
        <v/>
      </c>
      <c r="K193" s="7">
        <f>IF($S193="","",J193*I193)</f>
        <v/>
      </c>
      <c r="L193">
        <f>IF($S193="","",Settings!$C$6)</f>
        <v/>
      </c>
      <c r="M193" s="7">
        <f>IF($S193="","",SUMIFS('Per Line'!$K$2:$K$501,'Per Line'!$A$2:$A$501,$B193,'Per Line'!$V$2:$V$501,1))</f>
        <v/>
      </c>
      <c r="N193" s="7">
        <f>IF($S193="","",M193*L193)</f>
        <v/>
      </c>
      <c r="O193" s="7">
        <f>IF($S193="","",N193+K193)</f>
        <v/>
      </c>
      <c r="P193" s="7">
        <f>IF($S193="","",Q193-O193)</f>
        <v/>
      </c>
      <c r="Q193" s="7">
        <f>IF($S193="","",J193+M193)</f>
        <v/>
      </c>
      <c r="R193" s="7">
        <f>IF($S193="","",Q193-O193-G193)</f>
        <v/>
      </c>
      <c r="S193" s="13">
        <f>IF(ROWS($S$2:$S193)&lt;=MAX('Per Line'!$U$2:$U$501),MATCH(ROWS($S$2:$S193),'Per Line'!$U$2:$U$501,0),"")</f>
        <v/>
      </c>
    </row>
    <row r="194">
      <c r="A194" s="12" t="n"/>
      <c r="B194">
        <f>IF($S194="","",INDEX('Per Line'!$A$2:$A$501,$S194)&amp;"")</f>
        <v/>
      </c>
      <c r="C194">
        <f>IF($S194="","",INDEX('Per Line'!$B$2:$B$501,$S194)&amp;"")</f>
        <v/>
      </c>
      <c r="D194">
        <f>IF($S194="","",INDEX('Per Line'!$C$2:$C$501,$S194)&amp;"")</f>
        <v/>
      </c>
      <c r="E194">
        <f>IF($S194="","",INDEX('Per Line'!$D$2:$D$501,$S194)&amp;"")</f>
        <v/>
      </c>
      <c r="F194">
        <f>IF($S194="","",INDEX('Per Line'!$E$2:$E$501,$S194))</f>
        <v/>
      </c>
      <c r="G194" s="7">
        <f>IF($S194="","",F194*Q194/100)</f>
        <v/>
      </c>
      <c r="H194" s="11">
        <f>IF($S194="","",INDEX('Per Line'!$O$2:$O$501,$S194))</f>
        <v/>
      </c>
      <c r="I194">
        <f>IF($S194="","",Settings!$C$7)</f>
        <v/>
      </c>
      <c r="J194" s="7">
        <f>IF($S194="","",SUMIFS('Per Line'!$K$2:$K$501,'Per Line'!$A$2:$A$501,$B194,'Per Line'!$V$2:$V$501,0))</f>
        <v/>
      </c>
      <c r="K194" s="7">
        <f>IF($S194="","",J194*I194)</f>
        <v/>
      </c>
      <c r="L194">
        <f>IF($S194="","",Settings!$C$6)</f>
        <v/>
      </c>
      <c r="M194" s="7">
        <f>IF($S194="","",SUMIFS('Per Line'!$K$2:$K$501,'Per Line'!$A$2:$A$501,$B194,'Per Line'!$V$2:$V$501,1))</f>
        <v/>
      </c>
      <c r="N194" s="7">
        <f>IF($S194="","",M194*L194)</f>
        <v/>
      </c>
      <c r="O194" s="7">
        <f>IF($S194="","",N194+K194)</f>
        <v/>
      </c>
      <c r="P194" s="7">
        <f>IF($S194="","",Q194-O194)</f>
        <v/>
      </c>
      <c r="Q194" s="7">
        <f>IF($S194="","",J194+M194)</f>
        <v/>
      </c>
      <c r="R194" s="7">
        <f>IF($S194="","",Q194-O194-G194)</f>
        <v/>
      </c>
      <c r="S194" s="13">
        <f>IF(ROWS($S$2:$S194)&lt;=MAX('Per Line'!$U$2:$U$501),MATCH(ROWS($S$2:$S194),'Per Line'!$U$2:$U$501,0),"")</f>
        <v/>
      </c>
    </row>
    <row r="195">
      <c r="A195" s="12" t="n"/>
      <c r="B195">
        <f>IF($S195="","",INDEX('Per Line'!$A$2:$A$501,$S195)&amp;"")</f>
        <v/>
      </c>
      <c r="C195">
        <f>IF($S195="","",INDEX('Per Line'!$B$2:$B$501,$S195)&amp;"")</f>
        <v/>
      </c>
      <c r="D195">
        <f>IF($S195="","",INDEX('Per Line'!$C$2:$C$501,$S195)&amp;"")</f>
        <v/>
      </c>
      <c r="E195">
        <f>IF($S195="","",INDEX('Per Line'!$D$2:$D$501,$S195)&amp;"")</f>
        <v/>
      </c>
      <c r="F195">
        <f>IF($S195="","",INDEX('Per Line'!$E$2:$E$501,$S195))</f>
        <v/>
      </c>
      <c r="G195" s="7">
        <f>IF($S195="","",F195*Q195/100)</f>
        <v/>
      </c>
      <c r="H195" s="11">
        <f>IF($S195="","",INDEX('Per Line'!$O$2:$O$501,$S195))</f>
        <v/>
      </c>
      <c r="I195">
        <f>IF($S195="","",Settings!$C$7)</f>
        <v/>
      </c>
      <c r="J195" s="7">
        <f>IF($S195="","",SUMIFS('Per Line'!$K$2:$K$501,'Per Line'!$A$2:$A$501,$B195,'Per Line'!$V$2:$V$501,0))</f>
        <v/>
      </c>
      <c r="K195" s="7">
        <f>IF($S195="","",J195*I195)</f>
        <v/>
      </c>
      <c r="L195">
        <f>IF($S195="","",Settings!$C$6)</f>
        <v/>
      </c>
      <c r="M195" s="7">
        <f>IF($S195="","",SUMIFS('Per Line'!$K$2:$K$501,'Per Line'!$A$2:$A$501,$B195,'Per Line'!$V$2:$V$501,1))</f>
        <v/>
      </c>
      <c r="N195" s="7">
        <f>IF($S195="","",M195*L195)</f>
        <v/>
      </c>
      <c r="O195" s="7">
        <f>IF($S195="","",N195+K195)</f>
        <v/>
      </c>
      <c r="P195" s="7">
        <f>IF($S195="","",Q195-O195)</f>
        <v/>
      </c>
      <c r="Q195" s="7">
        <f>IF($S195="","",J195+M195)</f>
        <v/>
      </c>
      <c r="R195" s="7">
        <f>IF($S195="","",Q195-O195-G195)</f>
        <v/>
      </c>
      <c r="S195" s="13">
        <f>IF(ROWS($S$2:$S195)&lt;=MAX('Per Line'!$U$2:$U$501),MATCH(ROWS($S$2:$S195),'Per Line'!$U$2:$U$501,0),"")</f>
        <v/>
      </c>
    </row>
    <row r="196">
      <c r="A196" s="12" t="n"/>
      <c r="B196">
        <f>IF($S196="","",INDEX('Per Line'!$A$2:$A$501,$S196)&amp;"")</f>
        <v/>
      </c>
      <c r="C196">
        <f>IF($S196="","",INDEX('Per Line'!$B$2:$B$501,$S196)&amp;"")</f>
        <v/>
      </c>
      <c r="D196">
        <f>IF($S196="","",INDEX('Per Line'!$C$2:$C$501,$S196)&amp;"")</f>
        <v/>
      </c>
      <c r="E196">
        <f>IF($S196="","",INDEX('Per Line'!$D$2:$D$501,$S196)&amp;"")</f>
        <v/>
      </c>
      <c r="F196">
        <f>IF($S196="","",INDEX('Per Line'!$E$2:$E$501,$S196))</f>
        <v/>
      </c>
      <c r="G196" s="7">
        <f>IF($S196="","",F196*Q196/100)</f>
        <v/>
      </c>
      <c r="H196" s="11">
        <f>IF($S196="","",INDEX('Per Line'!$O$2:$O$501,$S196))</f>
        <v/>
      </c>
      <c r="I196">
        <f>IF($S196="","",Settings!$C$7)</f>
        <v/>
      </c>
      <c r="J196" s="7">
        <f>IF($S196="","",SUMIFS('Per Line'!$K$2:$K$501,'Per Line'!$A$2:$A$501,$B196,'Per Line'!$V$2:$V$501,0))</f>
        <v/>
      </c>
      <c r="K196" s="7">
        <f>IF($S196="","",J196*I196)</f>
        <v/>
      </c>
      <c r="L196">
        <f>IF($S196="","",Settings!$C$6)</f>
        <v/>
      </c>
      <c r="M196" s="7">
        <f>IF($S196="","",SUMIFS('Per Line'!$K$2:$K$501,'Per Line'!$A$2:$A$501,$B196,'Per Line'!$V$2:$V$501,1))</f>
        <v/>
      </c>
      <c r="N196" s="7">
        <f>IF($S196="","",M196*L196)</f>
        <v/>
      </c>
      <c r="O196" s="7">
        <f>IF($S196="","",N196+K196)</f>
        <v/>
      </c>
      <c r="P196" s="7">
        <f>IF($S196="","",Q196-O196)</f>
        <v/>
      </c>
      <c r="Q196" s="7">
        <f>IF($S196="","",J196+M196)</f>
        <v/>
      </c>
      <c r="R196" s="7">
        <f>IF($S196="","",Q196-O196-G196)</f>
        <v/>
      </c>
      <c r="S196" s="13">
        <f>IF(ROWS($S$2:$S196)&lt;=MAX('Per Line'!$U$2:$U$501),MATCH(ROWS($S$2:$S196),'Per Line'!$U$2:$U$501,0),"")</f>
        <v/>
      </c>
    </row>
    <row r="197">
      <c r="A197" s="12" t="n"/>
      <c r="B197">
        <f>IF($S197="","",INDEX('Per Line'!$A$2:$A$501,$S197)&amp;"")</f>
        <v/>
      </c>
      <c r="C197">
        <f>IF($S197="","",INDEX('Per Line'!$B$2:$B$501,$S197)&amp;"")</f>
        <v/>
      </c>
      <c r="D197">
        <f>IF($S197="","",INDEX('Per Line'!$C$2:$C$501,$S197)&amp;"")</f>
        <v/>
      </c>
      <c r="E197">
        <f>IF($S197="","",INDEX('Per Line'!$D$2:$D$501,$S197)&amp;"")</f>
        <v/>
      </c>
      <c r="F197">
        <f>IF($S197="","",INDEX('Per Line'!$E$2:$E$501,$S197))</f>
        <v/>
      </c>
      <c r="G197" s="7">
        <f>IF($S197="","",F197*Q197/100)</f>
        <v/>
      </c>
      <c r="H197" s="11">
        <f>IF($S197="","",INDEX('Per Line'!$O$2:$O$501,$S197))</f>
        <v/>
      </c>
      <c r="I197">
        <f>IF($S197="","",Settings!$C$7)</f>
        <v/>
      </c>
      <c r="J197" s="7">
        <f>IF($S197="","",SUMIFS('Per Line'!$K$2:$K$501,'Per Line'!$A$2:$A$501,$B197,'Per Line'!$V$2:$V$501,0))</f>
        <v/>
      </c>
      <c r="K197" s="7">
        <f>IF($S197="","",J197*I197)</f>
        <v/>
      </c>
      <c r="L197">
        <f>IF($S197="","",Settings!$C$6)</f>
        <v/>
      </c>
      <c r="M197" s="7">
        <f>IF($S197="","",SUMIFS('Per Line'!$K$2:$K$501,'Per Line'!$A$2:$A$501,$B197,'Per Line'!$V$2:$V$501,1))</f>
        <v/>
      </c>
      <c r="N197" s="7">
        <f>IF($S197="","",M197*L197)</f>
        <v/>
      </c>
      <c r="O197" s="7">
        <f>IF($S197="","",N197+K197)</f>
        <v/>
      </c>
      <c r="P197" s="7">
        <f>IF($S197="","",Q197-O197)</f>
        <v/>
      </c>
      <c r="Q197" s="7">
        <f>IF($S197="","",J197+M197)</f>
        <v/>
      </c>
      <c r="R197" s="7">
        <f>IF($S197="","",Q197-O197-G197)</f>
        <v/>
      </c>
      <c r="S197" s="13">
        <f>IF(ROWS($S$2:$S197)&lt;=MAX('Per Line'!$U$2:$U$501),MATCH(ROWS($S$2:$S197),'Per Line'!$U$2:$U$501,0),"")</f>
        <v/>
      </c>
    </row>
    <row r="198">
      <c r="A198" s="12" t="n"/>
      <c r="B198">
        <f>IF($S198="","",INDEX('Per Line'!$A$2:$A$501,$S198)&amp;"")</f>
        <v/>
      </c>
      <c r="C198">
        <f>IF($S198="","",INDEX('Per Line'!$B$2:$B$501,$S198)&amp;"")</f>
        <v/>
      </c>
      <c r="D198">
        <f>IF($S198="","",INDEX('Per Line'!$C$2:$C$501,$S198)&amp;"")</f>
        <v/>
      </c>
      <c r="E198">
        <f>IF($S198="","",INDEX('Per Line'!$D$2:$D$501,$S198)&amp;"")</f>
        <v/>
      </c>
      <c r="F198">
        <f>IF($S198="","",INDEX('Per Line'!$E$2:$E$501,$S198))</f>
        <v/>
      </c>
      <c r="G198" s="7">
        <f>IF($S198="","",F198*Q198/100)</f>
        <v/>
      </c>
      <c r="H198" s="11">
        <f>IF($S198="","",INDEX('Per Line'!$O$2:$O$501,$S198))</f>
        <v/>
      </c>
      <c r="I198">
        <f>IF($S198="","",Settings!$C$7)</f>
        <v/>
      </c>
      <c r="J198" s="7">
        <f>IF($S198="","",SUMIFS('Per Line'!$K$2:$K$501,'Per Line'!$A$2:$A$501,$B198,'Per Line'!$V$2:$V$501,0))</f>
        <v/>
      </c>
      <c r="K198" s="7">
        <f>IF($S198="","",J198*I198)</f>
        <v/>
      </c>
      <c r="L198">
        <f>IF($S198="","",Settings!$C$6)</f>
        <v/>
      </c>
      <c r="M198" s="7">
        <f>IF($S198="","",SUMIFS('Per Line'!$K$2:$K$501,'Per Line'!$A$2:$A$501,$B198,'Per Line'!$V$2:$V$501,1))</f>
        <v/>
      </c>
      <c r="N198" s="7">
        <f>IF($S198="","",M198*L198)</f>
        <v/>
      </c>
      <c r="O198" s="7">
        <f>IF($S198="","",N198+K198)</f>
        <v/>
      </c>
      <c r="P198" s="7">
        <f>IF($S198="","",Q198-O198)</f>
        <v/>
      </c>
      <c r="Q198" s="7">
        <f>IF($S198="","",J198+M198)</f>
        <v/>
      </c>
      <c r="R198" s="7">
        <f>IF($S198="","",Q198-O198-G198)</f>
        <v/>
      </c>
      <c r="S198" s="13">
        <f>IF(ROWS($S$2:$S198)&lt;=MAX('Per Line'!$U$2:$U$501),MATCH(ROWS($S$2:$S198),'Per Line'!$U$2:$U$501,0),"")</f>
        <v/>
      </c>
    </row>
    <row r="199">
      <c r="A199" s="12" t="n"/>
      <c r="B199">
        <f>IF($S199="","",INDEX('Per Line'!$A$2:$A$501,$S199)&amp;"")</f>
        <v/>
      </c>
      <c r="C199">
        <f>IF($S199="","",INDEX('Per Line'!$B$2:$B$501,$S199)&amp;"")</f>
        <v/>
      </c>
      <c r="D199">
        <f>IF($S199="","",INDEX('Per Line'!$C$2:$C$501,$S199)&amp;"")</f>
        <v/>
      </c>
      <c r="E199">
        <f>IF($S199="","",INDEX('Per Line'!$D$2:$D$501,$S199)&amp;"")</f>
        <v/>
      </c>
      <c r="F199">
        <f>IF($S199="","",INDEX('Per Line'!$E$2:$E$501,$S199))</f>
        <v/>
      </c>
      <c r="G199" s="7">
        <f>IF($S199="","",F199*Q199/100)</f>
        <v/>
      </c>
      <c r="H199" s="11">
        <f>IF($S199="","",INDEX('Per Line'!$O$2:$O$501,$S199))</f>
        <v/>
      </c>
      <c r="I199">
        <f>IF($S199="","",Settings!$C$7)</f>
        <v/>
      </c>
      <c r="J199" s="7">
        <f>IF($S199="","",SUMIFS('Per Line'!$K$2:$K$501,'Per Line'!$A$2:$A$501,$B199,'Per Line'!$V$2:$V$501,0))</f>
        <v/>
      </c>
      <c r="K199" s="7">
        <f>IF($S199="","",J199*I199)</f>
        <v/>
      </c>
      <c r="L199">
        <f>IF($S199="","",Settings!$C$6)</f>
        <v/>
      </c>
      <c r="M199" s="7">
        <f>IF($S199="","",SUMIFS('Per Line'!$K$2:$K$501,'Per Line'!$A$2:$A$501,$B199,'Per Line'!$V$2:$V$501,1))</f>
        <v/>
      </c>
      <c r="N199" s="7">
        <f>IF($S199="","",M199*L199)</f>
        <v/>
      </c>
      <c r="O199" s="7">
        <f>IF($S199="","",N199+K199)</f>
        <v/>
      </c>
      <c r="P199" s="7">
        <f>IF($S199="","",Q199-O199)</f>
        <v/>
      </c>
      <c r="Q199" s="7">
        <f>IF($S199="","",J199+M199)</f>
        <v/>
      </c>
      <c r="R199" s="7">
        <f>IF($S199="","",Q199-O199-G199)</f>
        <v/>
      </c>
      <c r="S199" s="13">
        <f>IF(ROWS($S$2:$S199)&lt;=MAX('Per Line'!$U$2:$U$501),MATCH(ROWS($S$2:$S199),'Per Line'!$U$2:$U$501,0),"")</f>
        <v/>
      </c>
    </row>
    <row r="200">
      <c r="A200" s="12" t="n"/>
      <c r="B200">
        <f>IF($S200="","",INDEX('Per Line'!$A$2:$A$501,$S200)&amp;"")</f>
        <v/>
      </c>
      <c r="C200">
        <f>IF($S200="","",INDEX('Per Line'!$B$2:$B$501,$S200)&amp;"")</f>
        <v/>
      </c>
      <c r="D200">
        <f>IF($S200="","",INDEX('Per Line'!$C$2:$C$501,$S200)&amp;"")</f>
        <v/>
      </c>
      <c r="E200">
        <f>IF($S200="","",INDEX('Per Line'!$D$2:$D$501,$S200)&amp;"")</f>
        <v/>
      </c>
      <c r="F200">
        <f>IF($S200="","",INDEX('Per Line'!$E$2:$E$501,$S200))</f>
        <v/>
      </c>
      <c r="G200" s="7">
        <f>IF($S200="","",F200*Q200/100)</f>
        <v/>
      </c>
      <c r="H200" s="11">
        <f>IF($S200="","",INDEX('Per Line'!$O$2:$O$501,$S200))</f>
        <v/>
      </c>
      <c r="I200">
        <f>IF($S200="","",Settings!$C$7)</f>
        <v/>
      </c>
      <c r="J200" s="7">
        <f>IF($S200="","",SUMIFS('Per Line'!$K$2:$K$501,'Per Line'!$A$2:$A$501,$B200,'Per Line'!$V$2:$V$501,0))</f>
        <v/>
      </c>
      <c r="K200" s="7">
        <f>IF($S200="","",J200*I200)</f>
        <v/>
      </c>
      <c r="L200">
        <f>IF($S200="","",Settings!$C$6)</f>
        <v/>
      </c>
      <c r="M200" s="7">
        <f>IF($S200="","",SUMIFS('Per Line'!$K$2:$K$501,'Per Line'!$A$2:$A$501,$B200,'Per Line'!$V$2:$V$501,1))</f>
        <v/>
      </c>
      <c r="N200" s="7">
        <f>IF($S200="","",M200*L200)</f>
        <v/>
      </c>
      <c r="O200" s="7">
        <f>IF($S200="","",N200+K200)</f>
        <v/>
      </c>
      <c r="P200" s="7">
        <f>IF($S200="","",Q200-O200)</f>
        <v/>
      </c>
      <c r="Q200" s="7">
        <f>IF($S200="","",J200+M200)</f>
        <v/>
      </c>
      <c r="R200" s="7">
        <f>IF($S200="","",Q200-O200-G200)</f>
        <v/>
      </c>
      <c r="S200" s="13">
        <f>IF(ROWS($S$2:$S200)&lt;=MAX('Per Line'!$U$2:$U$501),MATCH(ROWS($S$2:$S200),'Per Line'!$U$2:$U$501,0),"")</f>
        <v/>
      </c>
    </row>
    <row r="201">
      <c r="A201" s="12" t="n"/>
      <c r="B201">
        <f>IF($S201="","",INDEX('Per Line'!$A$2:$A$501,$S201)&amp;"")</f>
        <v/>
      </c>
      <c r="C201">
        <f>IF($S201="","",INDEX('Per Line'!$B$2:$B$501,$S201)&amp;"")</f>
        <v/>
      </c>
      <c r="D201">
        <f>IF($S201="","",INDEX('Per Line'!$C$2:$C$501,$S201)&amp;"")</f>
        <v/>
      </c>
      <c r="E201">
        <f>IF($S201="","",INDEX('Per Line'!$D$2:$D$501,$S201)&amp;"")</f>
        <v/>
      </c>
      <c r="F201">
        <f>IF($S201="","",INDEX('Per Line'!$E$2:$E$501,$S201))</f>
        <v/>
      </c>
      <c r="G201" s="7">
        <f>IF($S201="","",F201*Q201/100)</f>
        <v/>
      </c>
      <c r="H201" s="11">
        <f>IF($S201="","",INDEX('Per Line'!$O$2:$O$501,$S201))</f>
        <v/>
      </c>
      <c r="I201">
        <f>IF($S201="","",Settings!$C$7)</f>
        <v/>
      </c>
      <c r="J201" s="7">
        <f>IF($S201="","",SUMIFS('Per Line'!$K$2:$K$501,'Per Line'!$A$2:$A$501,$B201,'Per Line'!$V$2:$V$501,0))</f>
        <v/>
      </c>
      <c r="K201" s="7">
        <f>IF($S201="","",J201*I201)</f>
        <v/>
      </c>
      <c r="L201">
        <f>IF($S201="","",Settings!$C$6)</f>
        <v/>
      </c>
      <c r="M201" s="7">
        <f>IF($S201="","",SUMIFS('Per Line'!$K$2:$K$501,'Per Line'!$A$2:$A$501,$B201,'Per Line'!$V$2:$V$501,1))</f>
        <v/>
      </c>
      <c r="N201" s="7">
        <f>IF($S201="","",M201*L201)</f>
        <v/>
      </c>
      <c r="O201" s="7">
        <f>IF($S201="","",N201+K201)</f>
        <v/>
      </c>
      <c r="P201" s="7">
        <f>IF($S201="","",Q201-O201)</f>
        <v/>
      </c>
      <c r="Q201" s="7">
        <f>IF($S201="","",J201+M201)</f>
        <v/>
      </c>
      <c r="R201" s="7">
        <f>IF($S201="","",Q201-O201-G201)</f>
        <v/>
      </c>
      <c r="S201" s="13">
        <f>IF(ROWS($S$2:$S201)&lt;=MAX('Per Line'!$U$2:$U$501),MATCH(ROWS($S$2:$S201),'Per Line'!$U$2:$U$501,0),"")</f>
        <v/>
      </c>
    </row>
  </sheetData>
  <autoFilter ref="A1:S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2026-10-12T10:14:39Z</dcterms:created>
  <dcterms:modified xmlns:dcterms="http://purl.org/dc/terms/" xmlns:xsi="http://www.w3.org/2001/XMLSchema-instance" xsi:type="dcterms:W3CDTF">2026-10-12T10:14:39Z</dcterms:modified>
</cp:coreProperties>
</file>